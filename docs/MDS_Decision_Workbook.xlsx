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Inputs" sheetId="2" state="visible" r:id="rId4"/>
    <sheet name="S2-3 Problem &amp; Root Cause" sheetId="3" state="visible" r:id="rId5"/>
    <sheet name="S4 Biases &amp; Ethics" sheetId="4" state="visible" r:id="rId6"/>
    <sheet name="S5-6 Priority Matrix" sheetId="5" state="visible" r:id="rId7"/>
    <sheet name="S15 Queuing" sheetId="6" state="visible" r:id="rId8"/>
    <sheet name="S7 Payoff Matrix" sheetId="7" state="visible" r:id="rId9"/>
    <sheet name="S7 Decision Tree" sheetId="8" state="visible" r:id="rId10"/>
    <sheet name="S10-11 LP Allocation" sheetId="9" state="visible" r:id="rId11"/>
    <sheet name="S12-14 IP Staffing" sheetId="10" state="visible" r:id="rId12"/>
    <sheet name="S16-17 AHP" sheetId="11" state="visible" r:id="rId13"/>
    <sheet name="S16-17 BWM" sheetId="12" state="visible" r:id="rId14"/>
    <sheet name="S16-17 ISM-MICMAC" sheetId="13" state="visible" r:id="rId15"/>
    <sheet name="S18 Heuristics" sheetId="14" state="visible" r:id="rId16"/>
    <sheet name="Simulation Result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<sst xmlns="http://schemas.openxmlformats.org/spreadsheetml/2006/main" count="948" uniqueCount="697">
  <si>
    <t xml:space="preserve">MDS decision workbook — Mess queue and allocation project (Group WGB3)</t>
  </si>
  <si>
    <t xml:space="preserve">Every Management Decision Science course topic applied to the Chefs Touch lunch problem (Central CT and Munch Mess, lunch 11:30–14:30).</t>
  </si>
  <si>
    <t xml:space="preserve">How to use</t>
  </si>
  <si>
    <t xml:space="preserve">1. Change only BLUE cells. Black cells are formulas; GREEN cells pull values from another tab.</t>
  </si>
  <si>
    <t xml:space="preserve">2. YELLOW-filled cells are assumed or illustrative. Replace them with measurements when you have them (biometric logs, stopwatch, CT data).</t>
  </si>
  <si>
    <t xml:space="preserve">3. Start with the Inputs tab — most tabs read from it, so one change updates the whole workbook.</t>
  </si>
  <si>
    <t xml:space="preserve">4. Green-filled cells are the key results of each tab.</t>
  </si>
  <si>
    <t xml:space="preserve">Status tags used</t>
  </si>
  <si>
    <t xml:space="preserve">Tag</t>
  </si>
  <si>
    <t xml:space="preserve">Meaning</t>
  </si>
  <si>
    <t xml:space="preserve">Example</t>
  </si>
  <si>
    <t xml:space="preserve">Measured</t>
  </si>
  <si>
    <t xml:space="preserve">From our field work, the Phase 1 deck or the group</t>
  </si>
  <si>
    <t xml:space="preserve">2,960 students (= plates); seats 900 / 500; 2 stations + 1 scanner per mess; ~18 min visit</t>
  </si>
  <si>
    <t xml:space="preserve">Assumed</t>
  </si>
  <si>
    <t xml:space="preserve">A placeholder until measured</t>
  </si>
  <si>
    <t xml:space="preserve">85% go to Central by habit; 10 students/min per serving station</t>
  </si>
  <si>
    <t xml:space="preserve">Illustrative</t>
  </si>
  <si>
    <t xml:space="preserve">Made-up numbers to demonstrate a method</t>
  </si>
  <si>
    <t xml:space="preserve">Probabilities, ₹ values in the decision tree, AHP judgements</t>
  </si>
  <si>
    <t xml:space="preserve">Simulated</t>
  </si>
  <si>
    <t xml:space="preserve">Output of our prototype's simulator</t>
  </si>
  <si>
    <t xml:space="preserve">Average wait 7.1 → 0.8 min</t>
  </si>
  <si>
    <t xml:space="preserve">Tabs and course sessions</t>
  </si>
  <si>
    <t xml:space="preserve">Tab</t>
  </si>
  <si>
    <t xml:space="preserve">Session(s)</t>
  </si>
  <si>
    <t xml:space="preserve">What it does</t>
  </si>
  <si>
    <t xml:space="preserve">Inputs</t>
  </si>
  <si>
    <t xml:space="preserve">—</t>
  </si>
  <si>
    <t xml:space="preserve">All shared numbers, with status and source</t>
  </si>
  <si>
    <t xml:space="preserve">S2-3 Problem &amp; Root Cause</t>
  </si>
  <si>
    <t xml:space="preserve">2–3</t>
  </si>
  <si>
    <t xml:space="preserve">Nature of the decision; problem statement; 5 Whys; fishbone; issue tree</t>
  </si>
  <si>
    <t xml:space="preserve">S4 Biases &amp; Ethics</t>
  </si>
  <si>
    <t xml:space="preserve">4</t>
  </si>
  <si>
    <t xml:space="preserve">Decision biases in the mess problem and how we counter them; ethics checklist (DPDP)</t>
  </si>
  <si>
    <t xml:space="preserve">S5-6 Priority Matrix</t>
  </si>
  <si>
    <t xml:space="preserve">5–6</t>
  </si>
  <si>
    <t xml:space="preserve">ABC/XYZ menu matrix; impact–effort matrix of interventions; decision dilemmas</t>
  </si>
  <si>
    <t xml:space="preserve">S7 Payoff Matrix</t>
  </si>
  <si>
    <t xml:space="preserve">7</t>
  </si>
  <si>
    <t xml:space="preserve">With vs without the system across normal / busy / surge days, in minutes saved: maximax, maximin, minimax regret, Hurwicz, Laplace, EMV, EVPI</t>
  </si>
  <si>
    <t xml:space="preserve">S7 Decision Tree</t>
  </si>
  <si>
    <t xml:space="preserve">Pre-stage a batch or wait and react: EMV, break-even probability, sensitivity</t>
  </si>
  <si>
    <t xml:space="preserve">S10-11 LP Allocation</t>
  </si>
  <si>
    <t xml:space="preserve">10–11</t>
  </si>
  <si>
    <t xml:space="preserve">LP formulation, constraints, graphical method (corner points), Solver/simplex</t>
  </si>
  <si>
    <t xml:space="preserve">S12-14 IP Staffing</t>
  </si>
  <si>
    <t xml:space="preserve">12–14</t>
  </si>
  <si>
    <t xml:space="preserve">Integer serving stations per slot, with vs without screens; branch-and-bound illustration</t>
  </si>
  <si>
    <t xml:space="preserve">S15 Queuing</t>
  </si>
  <si>
    <t xml:space="preserve">15</t>
  </si>
  <si>
    <t xml:space="preserve">Lecture check (Hatti Kaapi), utilisation curve, M/M/c by 10-min bin with overload, without vs with screens, Little's Law</t>
  </si>
  <si>
    <t xml:space="preserve">S16-17 AHP</t>
  </si>
  <si>
    <t xml:space="preserve">16–17</t>
  </si>
  <si>
    <t xml:space="preserve">Pairwise comparisons, weights, consistency ratio, ranking of alternatives</t>
  </si>
  <si>
    <t xml:space="preserve">S16-17 BWM</t>
  </si>
  <si>
    <t xml:space="preserve">Best–Worst Method weights and consistency; comparison with AHP</t>
  </si>
  <si>
    <t xml:space="preserve">S16-17 ISM-MICMAC</t>
  </si>
  <si>
    <t xml:space="preserve">Reachability matrices (transitivity by formula), driving power vs dependence</t>
  </si>
  <si>
    <t xml:space="preserve">S18 Heuristics</t>
  </si>
  <si>
    <t xml:space="preserve">18</t>
  </si>
  <si>
    <t xml:space="preserve">Door-screen rule, reorder-point rule, heuristic vs full model, metaheuristics</t>
  </si>
  <si>
    <t xml:space="preserve">Simulation Results</t>
  </si>
  <si>
    <t xml:space="preserve">Prototype simulator results used as anchors</t>
  </si>
  <si>
    <t xml:space="preserve">Only the queuing tab's arrival curve and the decision models' costs and probabilities are placeholders. Once the biometric logs arrive, paste arrivals per 10 minutes into S15 Queuing column B, and the share of normal / busy / surge days into S7 Payoff Matrix row 14.</t>
  </si>
  <si>
    <t xml:space="preserve">Inputs: every number the workbook uses</t>
  </si>
  <si>
    <t xml:space="preserve">Change BLUE cells only. Yellow = assumed or illustrative: replace with measured data when available.</t>
  </si>
  <si>
    <t xml:space="preserve">Parameter</t>
  </si>
  <si>
    <t xml:space="preserve">Value</t>
  </si>
  <si>
    <t xml:space="preserve">Unit</t>
  </si>
  <si>
    <t xml:space="preserve">Status</t>
  </si>
  <si>
    <t xml:space="preserve">Source / notes</t>
  </si>
  <si>
    <t xml:space="preserve">MEASURED (from Phase 1 field work / the group)</t>
  </si>
  <si>
    <t xml:space="preserve">Students per lunch at Central CT + Munch (= plates served)</t>
  </si>
  <si>
    <t xml:space="preserve">students</t>
  </si>
  <si>
    <t xml:space="preserve">Phase 1 deck: ~2,960 plates; one plate per student</t>
  </si>
  <si>
    <t xml:space="preserve">Lunch opens</t>
  </si>
  <si>
    <t xml:space="preserve">11:30</t>
  </si>
  <si>
    <t xml:space="preserve">time</t>
  </si>
  <si>
    <t xml:space="preserve">Mess timings 11:30–14:30</t>
  </si>
  <si>
    <t xml:space="preserve">Lunch window length</t>
  </si>
  <si>
    <t xml:space="preserve">minutes</t>
  </si>
  <si>
    <t xml:space="preserve">11:30–14:30</t>
  </si>
  <si>
    <t xml:space="preserve">Seats: Central CT</t>
  </si>
  <si>
    <t xml:space="preserve">seats</t>
  </si>
  <si>
    <t xml:space="preserve">Group measurement</t>
  </si>
  <si>
    <t xml:space="preserve">Seats: Munch Mess</t>
  </si>
  <si>
    <t xml:space="preserve">Serving stations: Central CT</t>
  </si>
  <si>
    <t xml:space="preserve">stations</t>
  </si>
  <si>
    <t xml:space="preserve">Group observation</t>
  </si>
  <si>
    <t xml:space="preserve">Serving stations: Munch Mess</t>
  </si>
  <si>
    <t xml:space="preserve">Face scanners at the entrance: Central CT</t>
  </si>
  <si>
    <t xml:space="preserve">scanners</t>
  </si>
  <si>
    <t xml:space="preserve">Face scanners at the entrance: Munch Mess</t>
  </si>
  <si>
    <t xml:space="preserve">Normal visit, scan to leaving</t>
  </si>
  <si>
    <t xml:space="preserve">Group observation; normal day. Surges add queue time</t>
  </si>
  <si>
    <t xml:space="preserve">Restock after a 'running low' call: kitchen makes it and sends it (total)</t>
  </si>
  <si>
    <t xml:space="preserve">Group: the 30 min starts when the mess calls the kitchen</t>
  </si>
  <si>
    <t xml:space="preserve">Restock when the food is already made: sending only (low)</t>
  </si>
  <si>
    <t xml:space="preserve">Group: 10–14 min</t>
  </si>
  <si>
    <t xml:space="preserve">Restock when the food is already made: sending only (high)</t>
  </si>
  <si>
    <t xml:space="preserve">Chance the next batch is already made when the mess calls</t>
  </si>
  <si>
    <t xml:space="preserve">share</t>
  </si>
  <si>
    <t xml:space="preserve">Simulator default; ask CT how often food is cooked ahead</t>
  </si>
  <si>
    <t xml:space="preserve">Delay faced by students (observed)</t>
  </si>
  <si>
    <t xml:space="preserve">Phase 1 deck: ~15 min</t>
  </si>
  <si>
    <t xml:space="preserve">ASSUMED (replace with measurements)</t>
  </si>
  <si>
    <t xml:space="preserve">Share who go to Central CT by habit</t>
  </si>
  <si>
    <t xml:space="preserve">fraction</t>
  </si>
  <si>
    <t xml:space="preserve">Pure assumption (group's estimate). A day of biometric logs without screens will measure it</t>
  </si>
  <si>
    <t xml:space="preserve">Service rate per serving station</t>
  </si>
  <si>
    <t xml:space="preserve">students/min</t>
  </si>
  <si>
    <t xml:space="preserve">≈6 s per student. Must be about this fast: 2 stations serve ~2,500 Central students in 3 hours. Stopwatch it</t>
  </si>
  <si>
    <t xml:space="preserve">Time for one face scan</t>
  </si>
  <si>
    <t xml:space="preserve">seconds</t>
  </si>
  <si>
    <t xml:space="preserve">Step up, recognise, move on. Stopwatch it</t>
  </si>
  <si>
    <t xml:space="preserve">Eating time after being served</t>
  </si>
  <si>
    <t xml:space="preserve">Derived</t>
  </si>
  <si>
    <t xml:space="preserve">Calibrated so a normal visit ≈ 18 min (simulator)</t>
  </si>
  <si>
    <t xml:space="preserve">Walk between the two mess doors</t>
  </si>
  <si>
    <t xml:space="preserve">30 s; time it</t>
  </si>
  <si>
    <t xml:space="preserve">Share of students who follow the screen</t>
  </si>
  <si>
    <t xml:space="preserve">Pilot will measure</t>
  </si>
  <si>
    <t xml:space="preserve">POLICY SETTINGS (our choice)</t>
  </si>
  <si>
    <t xml:space="preserve">Target maximum utilisation per station</t>
  </si>
  <si>
    <t xml:space="preserve">Policy</t>
  </si>
  <si>
    <t xml:space="preserve">Above ~85% waits rise steeply (see S15 Queuing)</t>
  </si>
  <si>
    <t xml:space="preserve">Minimum saving before suggesting a switch</t>
  </si>
  <si>
    <t xml:space="preserve">Prototype setting</t>
  </si>
  <si>
    <t xml:space="preserve">MONEY VALUES — used ONLY in 'S7 Decision Tree' and 'S12-14 IP Staffing' (see the note below)</t>
  </si>
  <si>
    <t xml:space="preserve">Value of one student-minute of waiting</t>
  </si>
  <si>
    <t xml:space="preserve">₹ per student-min</t>
  </si>
  <si>
    <t xml:space="preserve">Used in S7 Decision Tree to compare students' time with wasted food. A value judgement, not a price</t>
  </si>
  <si>
    <t xml:space="preserve">Cost of one portion wasted</t>
  </si>
  <si>
    <t xml:space="preserve">₹ per portion</t>
  </si>
  <si>
    <t xml:space="preserve">Used in S7 Decision Tree. Ask CT for food cost per portion</t>
  </si>
  <si>
    <t xml:space="preserve">Staff cost per staff-hour</t>
  </si>
  <si>
    <t xml:space="preserve">₹ per hour</t>
  </si>
  <si>
    <t xml:space="preserve">Used in S12-14 IP Staffing. Ask CT</t>
  </si>
  <si>
    <t xml:space="preserve">Staff needed per serving station</t>
  </si>
  <si>
    <t xml:space="preserve">staff</t>
  </si>
  <si>
    <t xml:space="preserve">Used in S12-14 IP Staffing. Observe</t>
  </si>
  <si>
    <t xml:space="preserve">Derived capacity</t>
  </si>
  <si>
    <t xml:space="preserve">Capacity: Central CT (lines × service rate)</t>
  </si>
  <si>
    <t xml:space="preserve">Capacity: Munch Mess (lines × service rate)</t>
  </si>
  <si>
    <t xml:space="preserve">Max arrivals seats can absorb: Central (Little's Law N/W)</t>
  </si>
  <si>
    <t xml:space="preserve">Max arrivals seats can absorb: Munch (Little's Law N/W)</t>
  </si>
  <si>
    <t xml:space="preserve">Scanner capacity: Central (scanners × 60 ÷ seconds per scan)</t>
  </si>
  <si>
    <t xml:space="preserve">Scanner capacity: Munch (scanners × 60 ÷ seconds per scan)</t>
  </si>
  <si>
    <t xml:space="preserve">About the money values</t>
  </si>
  <si>
    <t xml:space="preserve">Most tabs work in minutes and students, not rupees. Money appears in only two places, where two different things must be compared on one scale: (1) S7 Decision Tree weighs food thrown away against students' waiting time, so it needs a rupee value for each; the ₹5 per student-minute is a judgement you can change, and the tab shows the break-even point so the answer is clear whatever value you pick. (2) S12-14 IP Staffing uses staff cost to count what extra serving stations cost. The payoff matrix (S7) uses minutes only.</t>
  </si>
  <si>
    <t xml:space="preserve">Problem definition, decision context and root causes</t>
  </si>
  <si>
    <t xml:space="preserve">Sessions 2–3: Nature of business decisions · Problem identification, structuring, root cause analysis</t>
  </si>
  <si>
    <t xml:space="preserve">Problem statement</t>
  </si>
  <si>
    <t xml:space="preserve">During the 11:30–14:30 lunch window, Chefs Touch serves about 2,960 plates. Demand is concentrated while kitchen, delivery and serving capacity are fixed, so students wait (~15 min observed), star dishes run out mid-service and replenishment arrives during the peak. Decision question: are resources (food, serving lines, students' choice of mess) reaching the right centre, in the right quantity, at the right time?</t>
  </si>
  <si>
    <t xml:space="preserve">Session 2: nature of the decision</t>
  </si>
  <si>
    <t xml:space="preserve">Dimension</t>
  </si>
  <si>
    <t xml:space="preserve">Classification</t>
  </si>
  <si>
    <t xml:space="preserve">Why</t>
  </si>
  <si>
    <t xml:space="preserve">Level</t>
  </si>
  <si>
    <t xml:space="preserve">Operational</t>
  </si>
  <si>
    <t xml:space="preserve">Made every lunch, at centre and kitchen level</t>
  </si>
  <si>
    <t xml:space="preserve">Structure</t>
  </si>
  <si>
    <t xml:space="preserve">Structured / programmable</t>
  </si>
  <si>
    <t xml:space="preserve">Same choice repeats daily; inputs can be measured (scans, stock, lines)</t>
  </si>
  <si>
    <t xml:space="preserve">Certainty</t>
  </si>
  <si>
    <t xml:space="preserve">Under risk / uncertainty</t>
  </si>
  <si>
    <t xml:space="preserve">Daily demand varies; probabilities can be estimated from biometric logs</t>
  </si>
  <si>
    <t xml:space="preserve">Frequency</t>
  </si>
  <si>
    <t xml:space="preserve">Recurring (daily, 5 centres)</t>
  </si>
  <si>
    <t xml:space="preserve">Justifies building a model instead of ad-hoc judgement</t>
  </si>
  <si>
    <t xml:space="preserve">Decision makers</t>
  </si>
  <si>
    <t xml:space="preserve">CT operations, centre teams, students</t>
  </si>
  <si>
    <t xml:space="preserve">Students' choice of mess is itself a decision we can influence</t>
  </si>
  <si>
    <t xml:space="preserve">Session 3: 5 Whys</t>
  </si>
  <si>
    <t xml:space="preserve">Why?</t>
  </si>
  <si>
    <t xml:space="preserve">Answer</t>
  </si>
  <si>
    <t xml:space="preserve">Evidence</t>
  </si>
  <si>
    <t xml:space="preserve">1. Why do students wait ~15 min?</t>
  </si>
  <si>
    <t xml:space="preserve">The serving line runs at or above capacity at peak</t>
  </si>
  <si>
    <t xml:space="preserve">Phase 1 deck; field notes O5, O15</t>
  </si>
  <si>
    <t xml:space="preserve">2. Why is it above capacity?</t>
  </si>
  <si>
    <t xml:space="preserve">Arrivals cluster at peak times, and service stops when a dish runs out</t>
  </si>
  <si>
    <t xml:space="preserve">Run-outs 13:20–13:23 (O4, O10); timing of arrivals to be confirmed by logs</t>
  </si>
  <si>
    <t xml:space="preserve">3. Why do dishes run out?</t>
  </si>
  <si>
    <t xml:space="preserve">Replenishment is triggered when stock is already low</t>
  </si>
  <si>
    <t xml:space="preserve">Top-up arrives inside the peak (O2, O7)</t>
  </si>
  <si>
    <t xml:space="preserve">4. Why is it triggered late?</t>
  </si>
  <si>
    <t xml:space="preserve">The mess only calls the kitchen when the dish is running low; if it has to be made, the refill takes 30 min in total (10–14 min if already made)</t>
  </si>
  <si>
    <t xml:space="preserve">Phase 1 deck</t>
  </si>
  <si>
    <t xml:space="preserve">5. Why is there no early warning?</t>
  </si>
  <si>
    <t xml:space="preserve">Entry data (biometric scans) is not used for operations</t>
  </si>
  <si>
    <t xml:space="preserve">Root cause → our project</t>
  </si>
  <si>
    <t xml:space="preserve">Session 3: fishbone (cause-and-effect) for 'long wait at lunch'</t>
  </si>
  <si>
    <t xml:space="preserve">People</t>
  </si>
  <si>
    <t xml:space="preserve">Process</t>
  </si>
  <si>
    <t xml:space="preserve">Information</t>
  </si>
  <si>
    <t xml:space="preserve">Logistics / place</t>
  </si>
  <si>
    <t xml:space="preserve">Students arrive together at peak</t>
  </si>
  <si>
    <t xml:space="preserve">2 serving stations and 1 face scanner per hall</t>
  </si>
  <si>
    <t xml:space="preserve">Replenishment is reactive</t>
  </si>
  <si>
    <t xml:space="preserve">No live view of demand</t>
  </si>
  <si>
    <t xml:space="preserve">Delivery shares the student walkway (O3, O8)</t>
  </si>
  <si>
    <t xml:space="preserve">Habit: same mess every day</t>
  </si>
  <si>
    <t xml:space="preserve">Refilling at the counter stops the line (O14)</t>
  </si>
  <si>
    <t xml:space="preserve">Base foods under-buffered (O13)</t>
  </si>
  <si>
    <t xml:space="preserve">Published menu ≠ served menu</t>
  </si>
  <si>
    <t xml:space="preserve">Return station/waste point unmeasured (O19)</t>
  </si>
  <si>
    <t xml:space="preserve">Students queue for dishes already gone (O11)</t>
  </si>
  <si>
    <t xml:space="preserve">Serving rate not measured</t>
  </si>
  <si>
    <t xml:space="preserve">No reorder point</t>
  </si>
  <si>
    <t xml:space="preserve">No per-centre forecast</t>
  </si>
  <si>
    <t xml:space="preserve">One kitchen supplies five centres</t>
  </si>
  <si>
    <t xml:space="preserve">Issue tree (problem structuring)</t>
  </si>
  <si>
    <t xml:space="preserve">Branch</t>
  </si>
  <si>
    <t xml:space="preserve">Sub-question</t>
  </si>
  <si>
    <t xml:space="preserve">Tool in this workbook</t>
  </si>
  <si>
    <t xml:space="preserve">Demand side</t>
  </si>
  <si>
    <t xml:space="preserve">When and where do students arrive?</t>
  </si>
  <si>
    <t xml:space="preserve">S15 Queuing (λ per 10 min)</t>
  </si>
  <si>
    <t xml:space="preserve">Capacity side</t>
  </si>
  <si>
    <t xml:space="preserve">How many lines, how fast?</t>
  </si>
  <si>
    <t xml:space="preserve">S15 Queuing, S12-14 IP Staffing</t>
  </si>
  <si>
    <t xml:space="preserve">Allocation</t>
  </si>
  <si>
    <t xml:space="preserve">How much of each dish to each centre?</t>
  </si>
  <si>
    <t xml:space="preserve">S10-11 LP Allocation, S5-6 Priority Matrix</t>
  </si>
  <si>
    <t xml:space="preserve">Timing</t>
  </si>
  <si>
    <t xml:space="preserve">When to replenish?</t>
  </si>
  <si>
    <t xml:space="preserve">S7 Decision Tree, S18 Heuristics (reorder point)</t>
  </si>
  <si>
    <t xml:space="preserve">Choice of intervention</t>
  </si>
  <si>
    <t xml:space="preserve">Which option is best overall?</t>
  </si>
  <si>
    <t xml:space="preserve">S7 Payoff Matrix, S16-17 AHP / BWM</t>
  </si>
  <si>
    <t xml:space="preserve">Cause structure</t>
  </si>
  <si>
    <t xml:space="preserve">Which causes drive the others?</t>
  </si>
  <si>
    <t xml:space="preserve">Decision biases and ethical decision making</t>
  </si>
  <si>
    <t xml:space="preserve">Session 4: Decision-making frameworks, decision biases, ethical decision making</t>
  </si>
  <si>
    <t xml:space="preserve">Bias</t>
  </si>
  <si>
    <t xml:space="preserve">Where it shows up in the mess problem</t>
  </si>
  <si>
    <t xml:space="preserve">How the project counters it</t>
  </si>
  <si>
    <t xml:space="preserve">Status quo / habit</t>
  </si>
  <si>
    <t xml:space="preserve">Students go to the same mess daily even when the other is faster</t>
  </si>
  <si>
    <t xml:space="preserve">Door screens set a default ('Recommended'), show concrete gains, fresh-batch cues</t>
  </si>
  <si>
    <t xml:space="preserve">Herding</t>
  </si>
  <si>
    <t xml:space="preserve">If everyone follows one signal, the 'empty' mess becomes the busy one</t>
  </si>
  <si>
    <t xml:space="preserve">Equilibrium split + 2-minute minimum saving; soft vs strong messages</t>
  </si>
  <si>
    <t xml:space="preserve">Anchoring</t>
  </si>
  <si>
    <t xml:space="preserve">Kitchen plans from the published menu; served menu differed on the day</t>
  </si>
  <si>
    <t xml:space="preserve">Record the actual menu; forecast from observed arrivals, not the plan</t>
  </si>
  <si>
    <t xml:space="preserve">Availability</t>
  </si>
  <si>
    <t xml:space="preserve">Managers remember the worst day and over-react</t>
  </si>
  <si>
    <t xml:space="preserve">Use logged data (distribution of days) and EMV, not memorable events</t>
  </si>
  <si>
    <t xml:space="preserve">Confirmation</t>
  </si>
  <si>
    <t xml:space="preserve">Our team wants the screens to look good</t>
  </si>
  <si>
    <t xml:space="preserve">Report simulated vs measured separately; A/B test with screens on/off</t>
  </si>
  <si>
    <t xml:space="preserve">Overconfidence</t>
  </si>
  <si>
    <t xml:space="preserve">Point estimates of waits shown as exact</t>
  </si>
  <si>
    <t xml:space="preserve">Show '~' and ranges; explain estimates come from scans</t>
  </si>
  <si>
    <t xml:space="preserve">Ethics checklist</t>
  </si>
  <si>
    <t xml:space="preserve">Principle</t>
  </si>
  <si>
    <t xml:space="preserve">What we do</t>
  </si>
  <si>
    <t xml:space="preserve">Data minimisation (DPDP Act 2023)</t>
  </si>
  <si>
    <t xml:space="preserve">Request only scan time + mess; no face data or templates</t>
  </si>
  <si>
    <t xml:space="preserve">Built into data request</t>
  </si>
  <si>
    <t xml:space="preserve">Pseudonymisation</t>
  </si>
  <si>
    <t xml:space="preserve">IDs hashed on reading; names hidden by default</t>
  </si>
  <si>
    <t xml:space="preserve">Built into prototype</t>
  </si>
  <si>
    <t xml:space="preserve">Purpose limitation &amp; retention</t>
  </si>
  <si>
    <t xml:space="preserve">Use for this project only; delete at semester end</t>
  </si>
  <si>
    <t xml:space="preserve">Committed in email</t>
  </si>
  <si>
    <t xml:space="preserve">Honesty to students</t>
  </si>
  <si>
    <t xml:space="preserve">Never suggest switching unless it saves ≥ 2 min; stale kitchen taps expire</t>
  </si>
  <si>
    <t xml:space="preserve">Consent / approval</t>
  </si>
  <si>
    <t xml:space="preserve">Written approval from college and vendor before any live connection</t>
  </si>
  <si>
    <t xml:space="preserve">Pending</t>
  </si>
  <si>
    <t xml:space="preserve">Fairness</t>
  </si>
  <si>
    <t xml:space="preserve">Advice is the same for everyone; no priority for any group</t>
  </si>
  <si>
    <t xml:space="preserve">Decision dilemma and priority matrices</t>
  </si>
  <si>
    <t xml:space="preserve">Sessions 5–6: Decision dilemma and project priority matrix</t>
  </si>
  <si>
    <t xml:space="preserve">1. Menu criticality × predictability (ABC/XYZ) — from our CT Priority Matrix workbook, menu week 31 Aug–6 Sep</t>
  </si>
  <si>
    <t xml:space="preserve">Class</t>
  </si>
  <si>
    <t xml:space="preserve">Menu entries</t>
  </si>
  <si>
    <t xml:space="preserve">Share</t>
  </si>
  <si>
    <t xml:space="preserve">What to do</t>
  </si>
  <si>
    <t xml:space="preserve">Tight Control</t>
  </si>
  <si>
    <t xml:space="preserve">AZ</t>
  </si>
  <si>
    <t xml:space="preserve">Measure and model (chapattis, star dishes)</t>
  </si>
  <si>
    <t xml:space="preserve">Calculated Issue</t>
  </si>
  <si>
    <t xml:space="preserve">AX</t>
  </si>
  <si>
    <t xml:space="preserve">Derive from plate count (curd, raitha, sweets)</t>
  </si>
  <si>
    <t xml:space="preserve">Buffered Issue</t>
  </si>
  <si>
    <t xml:space="preserve">CZ</t>
  </si>
  <si>
    <t xml:space="preserve">Issue with a safety margin (rice, dal, sambar)</t>
  </si>
  <si>
    <t xml:space="preserve">Free Issue</t>
  </si>
  <si>
    <t xml:space="preserve">CX</t>
  </si>
  <si>
    <t xml:space="preserve">Issue without control (pickle, salt, sugar)</t>
  </si>
  <si>
    <t xml:space="preserve">Total</t>
  </si>
  <si>
    <t xml:space="preserve">2. Intervention priority matrix (impact vs effort). Scores 1–5 are illustrative: agree them as a group.</t>
  </si>
  <si>
    <t xml:space="preserve">Quadrant threshold (score above this = high)</t>
  </si>
  <si>
    <t xml:space="preserve">Intervention</t>
  </si>
  <si>
    <t xml:space="preserve">Impact (1–5)</t>
  </si>
  <si>
    <t xml:space="preserve">Effort (1–5)</t>
  </si>
  <si>
    <t xml:space="preserve">Quadrant</t>
  </si>
  <si>
    <t xml:space="preserve">Reason (impact)</t>
  </si>
  <si>
    <t xml:space="preserve">Reason (effort)</t>
  </si>
  <si>
    <t xml:space="preserve">A2 Door screens + routing</t>
  </si>
  <si>
    <t xml:space="preserve">Spreads students; ~halves waits in simulation</t>
  </si>
  <si>
    <t xml:space="preserve">Two screens + a laptop; needs data access</t>
  </si>
  <si>
    <t xml:space="preserve">A3 Screens + kitchen early alerts</t>
  </si>
  <si>
    <t xml:space="preserve">Also attacks stock-outs (root cause)</t>
  </si>
  <si>
    <t xml:space="preserve">Same as A2 + kitchen page habit</t>
  </si>
  <si>
    <t xml:space="preserve">A4 3rd serving station at peak</t>
  </si>
  <si>
    <t xml:space="preserve">Raises capacity directly</t>
  </si>
  <si>
    <t xml:space="preserve">Recurring staff cost; space at counter</t>
  </si>
  <si>
    <t xml:space="preserve">A6 Larger buffers for base foods (CZ)</t>
  </si>
  <si>
    <t xml:space="preserve">Base foods ran dry (O13)</t>
  </si>
  <si>
    <t xml:space="preserve">Just send more rice/dal/sambar</t>
  </si>
  <si>
    <t xml:space="preserve">A7 Stagger class end times</t>
  </si>
  <si>
    <t xml:space="preserve">Lowers peak arrivals</t>
  </si>
  <si>
    <t xml:space="preserve">Needs academic administration</t>
  </si>
  <si>
    <t xml:space="preserve">A8 Separate counter for one-per-plate items</t>
  </si>
  <si>
    <t xml:space="preserve">Shortens main line slightly</t>
  </si>
  <si>
    <t xml:space="preserve">Small layout change</t>
  </si>
  <si>
    <t xml:space="preserve">3. Decision dilemma</t>
  </si>
  <si>
    <t xml:space="preserve">Dilemma</t>
  </si>
  <si>
    <t xml:space="preserve">Option 1</t>
  </si>
  <si>
    <t xml:space="preserve">Option 2</t>
  </si>
  <si>
    <t xml:space="preserve">Trade-off</t>
  </si>
  <si>
    <t xml:space="preserve">How we resolve it</t>
  </si>
  <si>
    <t xml:space="preserve">Send more food early?</t>
  </si>
  <si>
    <t xml:space="preserve">Pre-stage (risk waste)</t>
  </si>
  <si>
    <t xml:space="preserve">Wait and react (risk run-out)</t>
  </si>
  <si>
    <t xml:space="preserve">Waste ₹ vs students' time</t>
  </si>
  <si>
    <t xml:space="preserve">S7 Decision Tree: break-even probability</t>
  </si>
  <si>
    <t xml:space="preserve">Send students to the other mess?</t>
  </si>
  <si>
    <t xml:space="preserve">Strong advice (risk herding)</t>
  </si>
  <si>
    <t xml:space="preserve">No advice (uneven load)</t>
  </si>
  <si>
    <t xml:space="preserve">Balance vs trust</t>
  </si>
  <si>
    <t xml:space="preserve">Equilibrium split + 2-min threshold (S18)</t>
  </si>
  <si>
    <t xml:space="preserve">Add a serving station?</t>
  </si>
  <si>
    <t xml:space="preserve">Yes (cost every day)</t>
  </si>
  <si>
    <t xml:space="preserve">No (long peak waits)</t>
  </si>
  <si>
    <t xml:space="preserve">Staff cost vs waiting</t>
  </si>
  <si>
    <t xml:space="preserve">S12-14 IP Staffing; S7 Payoff Matrix</t>
  </si>
  <si>
    <t xml:space="preserve">Queuing analysis: M/M/1, M/M/c and lunch-peak overload, without vs with the screens</t>
  </si>
  <si>
    <t xml:space="preserve">Session 15: Introduction to queuing theory and waiting-line models</t>
  </si>
  <si>
    <t xml:space="preserve">1. Check against the lecture example (Hatti Kaapi, M/M/1)</t>
  </si>
  <si>
    <t xml:space="preserve">2. Why waits explode near 100% busy (M/M/1, one serving station)</t>
  </si>
  <si>
    <t xml:space="preserve">λ /hour</t>
  </si>
  <si>
    <t xml:space="preserve">μ /hour</t>
  </si>
  <si>
    <t xml:space="preserve">ρ</t>
  </si>
  <si>
    <t xml:space="preserve">Wq (hours)</t>
  </si>
  <si>
    <t xml:space="preserve">Wq (min)</t>
  </si>
  <si>
    <t xml:space="preserve">W (min)</t>
  </si>
  <si>
    <t xml:space="preserve">Lq</t>
  </si>
  <si>
    <t xml:space="preserve">L</t>
  </si>
  <si>
    <t xml:space="preserve">μ per hour</t>
  </si>
  <si>
    <t xml:space="preserve">Lecture answers: ρ = 75%, Wq = 7.5 min, W = 10 min, Lq = 2.25. If these match, the formulas below are right.</t>
  </si>
  <si>
    <t xml:space="preserve">3. Lunch peak by 10-minute bin: without vs with the door screens (M/M/c + overload)</t>
  </si>
  <si>
    <t xml:space="preserve">Blue column B = arrivals per 10 min at both messes together, 11:30–14:30. ILLUSTRATIVE: 2,960 students (measured total) on an assumed bell-shaped curve. Replace them with counts from the biometric logs. 'With screens' moves students from the busier mess toward equal utilisation; only the share who comply move. When ρ ≥ 1 the steady-state formula does not apply, so the queue is carried forward (fluid model): backlog = max(0, previous + arrivals − capacity).</t>
  </si>
  <si>
    <t xml:space="preserve">Equal-utilisation share for Central</t>
  </si>
  <si>
    <t xml:space="preserve">Formula: capacity of Central ÷ (capacity of Central + capacity of Munch)</t>
  </si>
  <si>
    <t xml:space="preserve">Realised share for Central with screens</t>
  </si>
  <si>
    <t xml:space="preserve">Formula: habit + compliance × (target − habit). Only students who follow the screen move</t>
  </si>
  <si>
    <t xml:space="preserve">Without screens — Central CT</t>
  </si>
  <si>
    <t xml:space="preserve">Without screens — Munch</t>
  </si>
  <si>
    <t xml:space="preserve">With screens — Central CT</t>
  </si>
  <si>
    <t xml:space="preserve">With screens — Munch</t>
  </si>
  <si>
    <t xml:space="preserve">Bin start</t>
  </si>
  <si>
    <t xml:space="preserve">Arrivals (both messes)</t>
  </si>
  <si>
    <t xml:space="preserve">λ total /min</t>
  </si>
  <si>
    <t xml:space="preserve">λ /min</t>
  </si>
  <si>
    <t xml:space="preserve">Scanner ρ</t>
  </si>
  <si>
    <t xml:space="preserve">P(wait)</t>
  </si>
  <si>
    <t xml:space="preserve">Wq steady (min)</t>
  </si>
  <si>
    <t xml:space="preserve">Backlog end</t>
  </si>
  <si>
    <t xml:space="preserve">Est. wait (min)</t>
  </si>
  <si>
    <t xml:space="preserve">People inside</t>
  </si>
  <si>
    <t xml:space="preserve">11:40</t>
  </si>
  <si>
    <t xml:space="preserve">11:50</t>
  </si>
  <si>
    <t xml:space="preserve">12:00</t>
  </si>
  <si>
    <t xml:space="preserve">12:10</t>
  </si>
  <si>
    <t xml:space="preserve">12:20</t>
  </si>
  <si>
    <t xml:space="preserve">12:30</t>
  </si>
  <si>
    <t xml:space="preserve">12:40</t>
  </si>
  <si>
    <t xml:space="preserve">12:50</t>
  </si>
  <si>
    <t xml:space="preserve">13:00</t>
  </si>
  <si>
    <t xml:space="preserve">13:10</t>
  </si>
  <si>
    <t xml:space="preserve">13:20</t>
  </si>
  <si>
    <t xml:space="preserve">13:30</t>
  </si>
  <si>
    <t xml:space="preserve">13:40</t>
  </si>
  <si>
    <t xml:space="preserve">13:50</t>
  </si>
  <si>
    <t xml:space="preserve">14:00</t>
  </si>
  <si>
    <t xml:space="preserve">14:10</t>
  </si>
  <si>
    <t xml:space="preserve">14:20</t>
  </si>
  <si>
    <t xml:space="preserve">Summary</t>
  </si>
  <si>
    <t xml:space="preserve">Measure</t>
  </si>
  <si>
    <t xml:space="preserve">Without: Central</t>
  </si>
  <si>
    <t xml:space="preserve">Without: Munch</t>
  </si>
  <si>
    <t xml:space="preserve">With: Central</t>
  </si>
  <si>
    <t xml:space="preserve">With: Munch</t>
  </si>
  <si>
    <t xml:space="preserve">Without: both</t>
  </si>
  <si>
    <t xml:space="preserve">With: both</t>
  </si>
  <si>
    <t xml:space="preserve">Average wait per student (min)</t>
  </si>
  <si>
    <t xml:space="preserve">Peak utilisation ρ (serving)</t>
  </si>
  <si>
    <t xml:space="preserve">Peak scanner utilisation</t>
  </si>
  <si>
    <t xml:space="preserve">Largest queue (students)</t>
  </si>
  <si>
    <t xml:space="preserve">Longest wait (min)</t>
  </si>
  <si>
    <t xml:space="preserve">Peak people inside (Little's Law)</t>
  </si>
  <si>
    <t xml:space="preserve">Seats</t>
  </si>
  <si>
    <t xml:space="preserve">Reading it: utilisation above ~85–90% makes waits climb steeply; above 100% the queue grows every minute (backlog column). The screens lower the peak utilisation of the busier mess by moving some students to the other one. A scanner near 100% means a queue is forming OUTSIDE, before anyone is scanned, so the system cannot see it (multi-phase system: scanner → serving station → seat). Results depend on the assumed service rate μ — measure it.</t>
  </si>
  <si>
    <t xml:space="preserve">Decision making under uncertainty and risk: payoff matrix, with and without the system</t>
  </si>
  <si>
    <t xml:space="preserve">Session 7: Decision making under certainty, risk and uncertainty (maximax, maximin, minimax regret, Hurwicz, Laplace, EMV, EVPI)</t>
  </si>
  <si>
    <t xml:space="preserve">Everything on this tab is in MINUTES of waiting per student, so no rupee values are needed. Blue = input. S2 values for A1 and A2 come from our simulator (7.1 → 0.8 min); the other cells are illustrative estimates.</t>
  </si>
  <si>
    <t xml:space="preserve">Average wait per student (minutes)  [lower is better]</t>
  </si>
  <si>
    <t xml:space="preserve">S1 Normal day</t>
  </si>
  <si>
    <t xml:space="preserve">S2 Busy day</t>
  </si>
  <si>
    <t xml:space="preserve">S3 Surge + food run-out</t>
  </si>
  <si>
    <t xml:space="preserve">Why these numbers: A1/A2 on a busy day are simulator results (Simulation Results tab). A surge with a run-out adds the restock gap (up to 30 min after the call), which screens can only partly hide (A2) and early kitchen alerts mostly prevent (A3). A 3rd station (A4) raises Central's serving capacity from 20 to 30/min but leaves the 85/15 imbalance and the single scanner. Replace with simulator runs or logs when available.</t>
  </si>
  <si>
    <t xml:space="preserve">A1 No system (today)</t>
  </si>
  <si>
    <t xml:space="preserve">A4 3rd serving station at peak (no screens)</t>
  </si>
  <si>
    <t xml:space="preserve">A5 Screens + 3rd serving station</t>
  </si>
  <si>
    <t xml:space="preserve">Probability of each situation</t>
  </si>
  <si>
    <t xml:space="preserve">P(situation) — from biometric logs: share of lunches that are normal / busy / surge</t>
  </si>
  <si>
    <t xml:space="preserve">← must be 100%</t>
  </si>
  <si>
    <t xml:space="preserve">Students per lunch (to turn minutes per student into hours per lunch)</t>
  </si>
  <si>
    <t xml:space="preserve">Payoff = minutes saved per student compared with today = wait(A1) − wait(alternative)   [higher is better]</t>
  </si>
  <si>
    <t xml:space="preserve">Alternative</t>
  </si>
  <si>
    <t xml:space="preserve">Maximax (optimistic)</t>
  </si>
  <si>
    <t xml:space="preserve">Maximin (pessimistic)</t>
  </si>
  <si>
    <t xml:space="preserve">Hurwicz</t>
  </si>
  <si>
    <t xml:space="preserve">Laplace (equal likelihood)</t>
  </si>
  <si>
    <t xml:space="preserve">EMV (with probabilities)</t>
  </si>
  <si>
    <t xml:space="preserve">Student-hours saved per lunch (EMV)</t>
  </si>
  <si>
    <t xml:space="preserve">Best alternative by criterion</t>
  </si>
  <si>
    <t xml:space="preserve">Hurwicz α (degree of optimism)</t>
  </si>
  <si>
    <t xml:space="preserve">Regret (opportunity loss, minutes) = best payoff in that situation − this payoff</t>
  </si>
  <si>
    <t xml:space="preserve">Maximum regret</t>
  </si>
  <si>
    <t xml:space="preserve">Expected regret (EOL)</t>
  </si>
  <si>
    <t xml:space="preserve">Minimax regret choice</t>
  </si>
  <si>
    <t xml:space="preserve">Minimum expected regret (= EMV choice)</t>
  </si>
  <si>
    <t xml:space="preserve">Value of perfect information (in minutes per student)</t>
  </si>
  <si>
    <t xml:space="preserve">Expected payoff WITH perfect information (pick the best alternative in each situation)</t>
  </si>
  <si>
    <t xml:space="preserve">Best EMV without perfect information</t>
  </si>
  <si>
    <t xml:space="preserve">EVPI = extra minutes per student we could save if we knew the situation in advance</t>
  </si>
  <si>
    <t xml:space="preserve">Check: EVPI equals the minimum expected regret</t>
  </si>
  <si>
    <t xml:space="preserve">Why minutes and not rupees: a rupee value for a student's minute is a judgement nobody can verify, so the payoff matrix compares options only on waiting time. Cost and food waste are not ignored: they are separate criteria in S16-17 AHP, and staff cost is in S12-14 IP Staffing. Naming: for a table of waits (lower is better) the criteria would be called minimin and minimax; turning waits into minutes saved makes higher better, so the classic maximax / maximin names apply. 'With and without' the system: A1 and A4 are without; A2, A3 and A5 are with.</t>
  </si>
  <si>
    <t xml:space="preserve">Decision tree: pre-stage an extra batch of the star dish, or wait and react?</t>
  </si>
  <si>
    <t xml:space="preserve">Session 7: Decision tree analysis and decision making under risk</t>
  </si>
  <si>
    <t xml:space="preserve">Inputs (illustrative)</t>
  </si>
  <si>
    <t xml:space="preserve">Why rupees here: the two branches lose different things (pre-staging can waste FOOD; reacting late makes students WAIT). To add them up we need one unit, so each is given a rupee value on the Inputs tab: ₹30 per wasted portion (ask CT for the real food cost) and ₹5 per student-minute (a judgement, not a price). Cost of a branch = portions wasted × ₹30, or students delayed × minutes × ₹5. The break-even probability below shows how much the answer depends on these two values: change them on the Inputs tab and watch it move.</t>
  </si>
  <si>
    <t xml:space="preserve">P(high-demand day)</t>
  </si>
  <si>
    <t xml:space="preserve">Share of days with lunch arrivals above plan — from biometric logs</t>
  </si>
  <si>
    <t xml:space="preserve">Portions wasted if pre-staged on a normal day</t>
  </si>
  <si>
    <t xml:space="preserve">Ask CT</t>
  </si>
  <si>
    <t xml:space="preserve">Students delayed if the dish runs out (high day, reacting)</t>
  </si>
  <si>
    <t xml:space="preserve">Estimate from logs: arrivals during the refill gap</t>
  </si>
  <si>
    <t xml:space="preserve">Delay per student during a run-out (minutes)</t>
  </si>
  <si>
    <t xml:space="preserve">Field observation</t>
  </si>
  <si>
    <t xml:space="preserve">₹ per portion wasted</t>
  </si>
  <si>
    <t xml:space="preserve">₹ per student-minute waited</t>
  </si>
  <si>
    <t xml:space="preserve">Tree (□ decision node, ○ chance node)</t>
  </si>
  <si>
    <t xml:space="preserve">Probability</t>
  </si>
  <si>
    <t xml:space="preserve">Cost (₹)</t>
  </si>
  <si>
    <t xml:space="preserve">Prob × cost</t>
  </si>
  <si>
    <t xml:space="preserve">EMV of branch</t>
  </si>
  <si>
    <t xml:space="preserve">□ Cook the next batch ahead, before the ~13:05 peak (refill then takes 10–14 min, not 30)</t>
  </si>
  <si>
    <t xml:space="preserve">   ○ High-demand day</t>
  </si>
  <si>
    <t xml:space="preserve">   ○ Normal day</t>
  </si>
  <si>
    <t xml:space="preserve">□ Wait and react when it runs low</t>
  </si>
  <si>
    <t xml:space="preserve">Decision (lower expected cost)</t>
  </si>
  <si>
    <t xml:space="preserve">Break-even probability of a high-demand day</t>
  </si>
  <si>
    <t xml:space="preserve">If high-demand days are more likely than this, pre-staging is cheaper on average.</t>
  </si>
  <si>
    <t xml:space="preserve">Sensitivity: expected cost as P(high) varies</t>
  </si>
  <si>
    <t xml:space="preserve">P(high)</t>
  </si>
  <si>
    <t xml:space="preserve">EMV pre-stage</t>
  </si>
  <si>
    <t xml:space="preserve">EMV react</t>
  </si>
  <si>
    <t xml:space="preserve">Better</t>
  </si>
  <si>
    <t xml:space="preserve">Linear programming: splitting a limited batch of the star dish between the two messes</t>
  </si>
  <si>
    <t xml:space="preserve">Sessions 10–11: Linear programming, model formulation, graphical method, simplex</t>
  </si>
  <si>
    <t xml:space="preserve">Formulation</t>
  </si>
  <si>
    <t xml:space="preserve">Decision variables: x1 = portions sent to Central CT, x2 = portions sent to Munch Mess</t>
  </si>
  <si>
    <t xml:space="preserve">Objective: maximise value of shortages avoided = v1·x1 + v2·x2   (v = cost of one portion short at that mess)</t>
  </si>
  <si>
    <t xml:space="preserve">Subject to: x1 + x2 ≤ K (portions ready before the peak);  x1 ≤ d1;  x2 ≤ d2 (no point sending more than demand);  x1, x2 ≥ 0</t>
  </si>
  <si>
    <t xml:space="preserve">K: portions ready before the peak</t>
  </si>
  <si>
    <t xml:space="preserve">d1: forecast demand, Central CT</t>
  </si>
  <si>
    <t xml:space="preserve">d = forecast students × portions per student. Biometric arrival forecasts feed this.</t>
  </si>
  <si>
    <t xml:space="preserve">d2: forecast demand, Munch Mess</t>
  </si>
  <si>
    <t xml:space="preserve">v1: ₹ per portion short at Central (bigger queue)</t>
  </si>
  <si>
    <t xml:space="preserve">v2: ₹ per portion short at Munch</t>
  </si>
  <si>
    <t xml:space="preserve">Decision cells (Solver changes these)</t>
  </si>
  <si>
    <t xml:space="preserve">x1 (Central)</t>
  </si>
  <si>
    <t xml:space="preserve">x2 (Munch)</t>
  </si>
  <si>
    <t xml:space="preserve">Objective: value of shortages avoided</t>
  </si>
  <si>
    <t xml:space="preserve">Constraints</t>
  </si>
  <si>
    <t xml:space="preserve">Constraint</t>
  </si>
  <si>
    <t xml:space="preserve">Left side</t>
  </si>
  <si>
    <t xml:space="preserve">Sign</t>
  </si>
  <si>
    <t xml:space="preserve">Right side</t>
  </si>
  <si>
    <t xml:space="preserve">OK?</t>
  </si>
  <si>
    <t xml:space="preserve">Kitchen batch: x1 + x2 ≤ K</t>
  </si>
  <si>
    <t xml:space="preserve">≤</t>
  </si>
  <si>
    <t xml:space="preserve">Central demand: x1 ≤ d1</t>
  </si>
  <si>
    <t xml:space="preserve">Munch demand: x2 ≤ d2</t>
  </si>
  <si>
    <t xml:space="preserve">Non-negativity</t>
  </si>
  <si>
    <t xml:space="preserve">≥</t>
  </si>
  <si>
    <t xml:space="preserve">0</t>
  </si>
  <si>
    <t xml:space="preserve">Graphical method: evaluate every corner point of the feasible region</t>
  </si>
  <si>
    <t xml:space="preserve">Corner point</t>
  </si>
  <si>
    <t xml:space="preserve">x1</t>
  </si>
  <si>
    <t xml:space="preserve">x2</t>
  </si>
  <si>
    <t xml:space="preserve">Feasible?</t>
  </si>
  <si>
    <t xml:space="preserve">Objective (₹)</t>
  </si>
  <si>
    <t xml:space="preserve">Origin</t>
  </si>
  <si>
    <t xml:space="preserve">Central at demand, Munch 0</t>
  </si>
  <si>
    <t xml:space="preserve">Central at demand, rest to Munch</t>
  </si>
  <si>
    <t xml:space="preserve">Munch at demand, rest to Central</t>
  </si>
  <si>
    <t xml:space="preserve">Munch at demand, Central 0</t>
  </si>
  <si>
    <t xml:space="preserve">Optimal corner (graphical method)</t>
  </si>
  <si>
    <t xml:space="preserve">Simplex / Excel Solver check: Data → Solver. Set objective B19, To: Max, By changing B17:B18. Constraints: B23 ≤ D23, B24 ≤ D24, B25 ≤ D25. Tick 'Make unconstrained variables non-negative'; method: Simplex LP. Solver returns x1 = 650, x2 = 350 with these inputs: fill Central first because a shortage there costs more, then give Munch the rest.</t>
  </si>
  <si>
    <t xml:space="preserve">Link to queuing: staffing as an LP</t>
  </si>
  <si>
    <t xml:space="preserve">Choosing serving stations cᵢ so utilisation stays ≤ ρmax gives the linear constraint λᵢ ≤ ρmax·μ·cᵢ. Minimising staff cost subject to it is an LP; because lines must be whole numbers, it becomes an integer programme (next tab).</t>
  </si>
  <si>
    <t xml:space="preserve">Integer programming: how many serving stations to open in each 30-minute slot</t>
  </si>
  <si>
    <t xml:space="preserve">Sessions 12–14: Integer programming and branch-and-bound</t>
  </si>
  <si>
    <t xml:space="preserve">Decision variables: c(i,t) = number of serving stations at mess i in slot t (whole numbers ≥ 1)</t>
  </si>
  <si>
    <t xml:space="preserve">Objective: minimise staff cost = Σ c(i,t) × staff per line × ₹/staff-hour × 0.5 h</t>
  </si>
  <si>
    <t xml:space="preserve">Subject to: λ(i,t) ≤ ρmax × μ × c(i,t)   (keep utilisation at or below the target);  c(i,t) integer ≥ 1</t>
  </si>
  <si>
    <t xml:space="preserve">Arrivals come from the S15 Queuing tab (three 10-min bins per slot). Without screens = habit split; with screens = rebalanced split.</t>
  </si>
  <si>
    <t xml:space="preserve">Slot start</t>
  </si>
  <si>
    <t xml:space="preserve">λ Central /min (without)</t>
  </si>
  <si>
    <t xml:space="preserve">λ Munch /min (without)</t>
  </si>
  <si>
    <t xml:space="preserve">LP relaxation Central</t>
  </si>
  <si>
    <t xml:space="preserve">LP relaxation Munch</t>
  </si>
  <si>
    <t xml:space="preserve">Integer stations Central</t>
  </si>
  <si>
    <t xml:space="preserve">Integer stations Munch</t>
  </si>
  <si>
    <t xml:space="preserve">λ Central /min (with)</t>
  </si>
  <si>
    <t xml:space="preserve">λ Munch /min (with)</t>
  </si>
  <si>
    <t xml:space="preserve">Integer stations Central (with)</t>
  </si>
  <si>
    <t xml:space="preserve">Integer stations Munch (with)</t>
  </si>
  <si>
    <t xml:space="preserve">Station-slots needed</t>
  </si>
  <si>
    <t xml:space="preserve">Staff cost (₹)</t>
  </si>
  <si>
    <t xml:space="preserve">Without:</t>
  </si>
  <si>
    <t xml:space="preserve">With:</t>
  </si>
  <si>
    <t xml:space="preserve">Saving from screens</t>
  </si>
  <si>
    <t xml:space="preserve">Stations today (measured)</t>
  </si>
  <si>
    <t xml:space="preserve">Most stations needed at once (peak slot)</t>
  </si>
  <si>
    <t xml:space="preserve">Read this with the row above: screens move work from Central to Munch, so the total station-slots (and staff cost) barely change. What changes is the PEAK: without screens Central needs more stations than it has; with screens the need at Central drops and Munch's spare station gets used.</t>
  </si>
  <si>
    <t xml:space="preserve">Why ROUNDUP is optimal here: each slot and mess is a separate constraint, so the smallest integer ≥ the LP value is feasible and cheapest. With a shared limit (for example, a staff cap across both messes), the problem couples and branch-and-bound is needed. Tree for the busiest slot (computed live):</t>
  </si>
  <si>
    <t xml:space="preserve">Node</t>
  </si>
  <si>
    <t xml:space="preserve">Constraint added</t>
  </si>
  <si>
    <t xml:space="preserve">LP solution (Central, Munch)</t>
  </si>
  <si>
    <t xml:space="preserve">Stations</t>
  </si>
  <si>
    <t xml:space="preserve">0 (root)</t>
  </si>
  <si>
    <t xml:space="preserve">Fractional → branch on Central</t>
  </si>
  <si>
    <t xml:space="preserve">1</t>
  </si>
  <si>
    <t xml:space="preserve">Infeasible: Central would exceed ρmax</t>
  </si>
  <si>
    <t xml:space="preserve">2</t>
  </si>
  <si>
    <t xml:space="preserve">Fractional → branch on Munch</t>
  </si>
  <si>
    <t xml:space="preserve">3</t>
  </si>
  <si>
    <t xml:space="preserve">Infeasible: Munch would exceed ρmax</t>
  </si>
  <si>
    <t xml:space="preserve">Integer → optimal (same as ROUNDUP). Compare with today's 2 + 2 stations</t>
  </si>
  <si>
    <t xml:space="preserve">If the integer answer needs more stations than exist today (2 per mess), the peak cannot meet the 85% target: that is the case for an extra station at peak (alternative A4) or for rebalancing with the screens. Replenishment trips can be modelled the same way: binary y(t) = 1 if the vehicle leaves at time t; each trip carries ≤ Q portions and arrives 30 min after a call if it must be made, or 10–14 min if already made.</t>
  </si>
  <si>
    <t xml:space="preserve">AHP: weighting the decision criteria and ranking the alternatives</t>
  </si>
  <si>
    <t xml:space="preserve">Sessions 16–17: Multi-criteria decision making — Analytic Hierarchy Process</t>
  </si>
  <si>
    <t xml:space="preserve">Pairwise comparison matrix (Saaty 1–9 scale). Fill the BLUE upper triangle; the rest is computed. Values are illustrative.</t>
  </si>
  <si>
    <t xml:space="preserve">Service level</t>
  </si>
  <si>
    <t xml:space="preserve">Stock-out risk</t>
  </si>
  <si>
    <t xml:space="preserve">Waste</t>
  </si>
  <si>
    <t xml:space="preserve">Utilisation</t>
  </si>
  <si>
    <t xml:space="preserve">Column sum</t>
  </si>
  <si>
    <t xml:space="preserve">Normalised matrix (each cell ÷ its column sum) and weights (row average)</t>
  </si>
  <si>
    <t xml:space="preserve">Weight</t>
  </si>
  <si>
    <t xml:space="preserve">Consistency check</t>
  </si>
  <si>
    <t xml:space="preserve">λmax</t>
  </si>
  <si>
    <t xml:space="preserve">CI = (λmax − n)/(n − 1)</t>
  </si>
  <si>
    <t xml:space="preserve">RI (random index, n = 4)</t>
  </si>
  <si>
    <t xml:space="preserve">CR = CI / RI</t>
  </si>
  <si>
    <t xml:space="preserve">Scoring the alternatives (1–10, higher = better on that criterion; for risk and waste, higher = LESS risk / waste). Illustrative.</t>
  </si>
  <si>
    <t xml:space="preserve">Weighted score</t>
  </si>
  <si>
    <t xml:space="preserve">Rank</t>
  </si>
  <si>
    <t xml:space="preserve">Best alternative (AHP)</t>
  </si>
  <si>
    <t xml:space="preserve">Service-level scores can be anchored to the queuing results (S15) and the payoff matrix (S7): e.g. average wait 7.1 min → 3, 0.8 min → 8. Criteria come from our Phase 1 deck's weighted decision table.</t>
  </si>
  <si>
    <t xml:space="preserve">Best–Worst Method: the same criteria weights with fewer comparisons</t>
  </si>
  <si>
    <t xml:space="preserve">Sessions 16–17: Multi-criteria decision making — Best–Worst Method</t>
  </si>
  <si>
    <t xml:space="preserve">Best criterion</t>
  </si>
  <si>
    <t xml:space="preserve">Worst criterion</t>
  </si>
  <si>
    <t xml:space="preserve">Comparisons (1–9). Illustrative.</t>
  </si>
  <si>
    <t xml:space="preserve">Criterion</t>
  </si>
  <si>
    <t xml:space="preserve">Best-to-Others (a_Bj)</t>
  </si>
  <si>
    <t xml:space="preserve">Others-to-Worst (a_jW)</t>
  </si>
  <si>
    <t xml:space="preserve">Weight w_j</t>
  </si>
  <si>
    <t xml:space="preserve">|w_B − a_Bj·w_j|</t>
  </si>
  <si>
    <t xml:space="preserve">|w_j − a_jW·w_W|</t>
  </si>
  <si>
    <t xml:space="preserve">Sum of weights (must be 1)</t>
  </si>
  <si>
    <t xml:space="preserve">ξ* = largest deviation (the BWM objective)</t>
  </si>
  <si>
    <t xml:space="preserve">Consistency index for a_BW (table, a_BW = 7)</t>
  </si>
  <si>
    <t xml:space="preserve">Consistency ratio = ξ* / CI   (closer to 0 = more consistent)</t>
  </si>
  <si>
    <t xml:space="preserve">The weights in yellow were found by solving the linear BWM model: minimise ξ subject to |w_B − a_Bj·w_j| ≤ ξ, |w_j − a_jW·w_W| ≤ ξ, Σw = 1, w ≥ 0. If you change the comparisons, re-solve with Solver: set D14 to Min by changing D9:D12, with D13 = 1 and D9:D12 ≥ 0 (Simplex LP or GRG Nonlinear).</t>
  </si>
  <si>
    <t xml:space="preserve">Compare with AHP</t>
  </si>
  <si>
    <t xml:space="preserve">BWM weight</t>
  </si>
  <si>
    <t xml:space="preserve">AHP weight</t>
  </si>
  <si>
    <t xml:space="preserve">Difference</t>
  </si>
  <si>
    <t xml:space="preserve">ISM and MICMAC: which causes drive the others?</t>
  </si>
  <si>
    <t xml:space="preserve">Sessions 16–17: Interpretive Structural Modelling (ISM) and MICMAC analysis</t>
  </si>
  <si>
    <t xml:space="preserve">Initial reachability matrix: 1 if the row factor influences the column factor (diagonal = 1). Group judgements — illustrative.</t>
  </si>
  <si>
    <t xml:space="preserve">Step 1 — Initial reachability matrix (IRM)</t>
  </si>
  <si>
    <t xml:space="preserve">F1</t>
  </si>
  <si>
    <t xml:space="preserve">F2</t>
  </si>
  <si>
    <t xml:space="preserve">F3</t>
  </si>
  <si>
    <t xml:space="preserve">F4</t>
  </si>
  <si>
    <t xml:space="preserve">F5</t>
  </si>
  <si>
    <t xml:space="preserve">F6</t>
  </si>
  <si>
    <t xml:space="preserve">F7</t>
  </si>
  <si>
    <t xml:space="preserve">F8</t>
  </si>
  <si>
    <t xml:space="preserve">F9</t>
  </si>
  <si>
    <t xml:space="preserve">F10</t>
  </si>
  <si>
    <t xml:space="preserve">F1 No live demand data</t>
  </si>
  <si>
    <t xml:space="preserve">F2 Peak arrival concentration</t>
  </si>
  <si>
    <t xml:space="preserve">F3 Habitual choice of mess</t>
  </si>
  <si>
    <t xml:space="preserve">F4 Serving rate per line</t>
  </si>
  <si>
    <t xml:space="preserve">F5 Number of serving stations</t>
  </si>
  <si>
    <t xml:space="preserve">F6 Reactive replenishment</t>
  </si>
  <si>
    <t xml:space="preserve">F7 Base-food buffer sizing</t>
  </si>
  <si>
    <t xml:space="preserve">F8 Stock-outs</t>
  </si>
  <si>
    <t xml:space="preserve">F9 Queue length at counter</t>
  </si>
  <si>
    <t xml:space="preserve">F10 Student waiting time</t>
  </si>
  <si>
    <t xml:space="preserve">Step 2.1 — transitivity (Boolean matrix squared; paths up to 2 steps)</t>
  </si>
  <si>
    <t xml:space="preserve">Step 2.2 — transitivity (Boolean matrix squared; paths up to 4 steps)</t>
  </si>
  <si>
    <t xml:space="preserve">Step 2.3 — transitivity (Boolean matrix squared; paths up to 8 steps)</t>
  </si>
  <si>
    <t xml:space="preserve">Step 2.4 — transitivity (Boolean matrix squared; paths up to 16 steps)</t>
  </si>
  <si>
    <t xml:space="preserve">Step 3 — Final reachability matrix → driving power and dependence</t>
  </si>
  <si>
    <t xml:space="preserve">Driving power</t>
  </si>
  <si>
    <t xml:space="preserve">Dependence</t>
  </si>
  <si>
    <t xml:space="preserve">MICMAC class</t>
  </si>
  <si>
    <t xml:space="preserve">Drivers (high driving power, low dependence) are the levers to pull first; dependent factors are outcomes. Expect F1 'No live demand data' to come out as the strongest driver and F10 'Student waiting time' as the main outcome — which is the case for the project.</t>
  </si>
  <si>
    <t xml:space="preserve">Heuristics: simple rules that give good answers fast</t>
  </si>
  <si>
    <t xml:space="preserve">Session 18: Heuristics and metaheuristics — concepts and business applications</t>
  </si>
  <si>
    <t xml:space="preserve">1. Door-screen switching rule (used in the prototype)</t>
  </si>
  <si>
    <t xml:space="preserve">Predicted wait if you stay (min)</t>
  </si>
  <si>
    <t xml:space="preserve">Predicted wait at the other mess (min)</t>
  </si>
  <si>
    <t xml:space="preserve">Walk between doors (min)</t>
  </si>
  <si>
    <t xml:space="preserve">Minimum saving to suggest a switch (min)</t>
  </si>
  <si>
    <t xml:space="preserve">Saving after the walk (min)</t>
  </si>
  <si>
    <t xml:space="preserve">Screen says</t>
  </si>
  <si>
    <t xml:space="preserve">2. Reorder-point rule for the star dish (start cooking the next batch when stock falls to this level)</t>
  </si>
  <si>
    <t xml:space="preserve">Consumption rate at peak (portions/min)</t>
  </si>
  <si>
    <t xml:space="preserve">Central's serving capacity (2 stations × 10/min) — at peak the stations run flat out. Measure from trays issued per minute</t>
  </si>
  <si>
    <t xml:space="preserve">Lead time from the call (worst case: has to be made, then sent, min)</t>
  </si>
  <si>
    <t xml:space="preserve">Safety margin</t>
  </si>
  <si>
    <t xml:space="preserve">Reorder point (portions left when the next batch must start)</t>
  </si>
  <si>
    <t xml:space="preserve">Today the mess calls only when the dish is running low. If the kitchen then has to make it, the call must come this many portions before empty. If the batch is already made, the lead time is 10–14 min and the reorder point falls to about 40%.</t>
  </si>
  <si>
    <t xml:space="preserve">3. Heuristic vs full model (from 20 simulated lunches, door screens, 60% follow)</t>
  </si>
  <si>
    <t xml:space="preserve">Average wait (min)</t>
  </si>
  <si>
    <t xml:space="preserve">90th pct wait (min)</t>
  </si>
  <si>
    <t xml:space="preserve">Comment</t>
  </si>
  <si>
    <t xml:space="preserve">No advice (today)</t>
  </si>
  <si>
    <t xml:space="preserve">Baseline</t>
  </si>
  <si>
    <t xml:space="preserve">Heuristic: switch if it saves ≥ 2 min</t>
  </si>
  <si>
    <t xml:space="preserve">Simple rule; works because feedback is fast (30 s walk)</t>
  </si>
  <si>
    <t xml:space="preserve">Full model: equilibrium split (bisection search)</t>
  </si>
  <si>
    <t xml:space="preserve">Better when advice is read early, e.g. on phones (avoids herding)</t>
  </si>
  <si>
    <t xml:space="preserve">4. Metaheuristics (next step)</t>
  </si>
  <si>
    <t xml:space="preserve">A replenishment schedule that minimises waiting + waste over a whole lunch has no closed-form answer because of the queues. A metaheuristic (simulated annealing or a genetic algorithm) can search over schedules, scoring each candidate by running our simulator: 'simulation-optimisation'.</t>
  </si>
  <si>
    <t xml:space="preserve">Results from the prototype's simulator (simulated data, not measurements)</t>
  </si>
  <si>
    <t xml:space="preserve">Feeds S7 (payoff anchors) and S18. 20 simulated lunches per row, 2,960 students, 11:30–14:30. Measured: students, seats, stations, scanners, 18-min visit, restock 30 min after a call (10–14 min if already made). Assumed: 85% habit, 10/min per station, 2 s per scan, 50% chance food is already made, arrival curve.</t>
  </si>
  <si>
    <t xml:space="preserve">Setting</t>
  </si>
  <si>
    <t xml:space="preserve">Students who follow</t>
  </si>
  <si>
    <t xml:space="preserve">Walked to other mess</t>
  </si>
  <si>
    <t xml:space="preserve">Peak queue (people)</t>
  </si>
  <si>
    <t xml:space="preserve">Food run-outs per lunch</t>
  </si>
  <si>
    <t xml:space="preserve">No screens (today)</t>
  </si>
  <si>
    <t xml:space="preserve">–</t>
  </si>
  <si>
    <t xml:space="preserve">Screens, equilibrium split</t>
  </si>
  <si>
    <t xml:space="preserve">Reduction in average wait (60% follow)</t>
  </si>
  <si>
    <t xml:space="preserve">Visit time (scan to leaving)</t>
  </si>
  <si>
    <t xml:space="preserve">No screens</t>
  </si>
  <si>
    <t xml:space="preserve">With screens</t>
  </si>
  <si>
    <t xml:space="preserve">Normal time of day (min)</t>
  </si>
  <si>
    <t xml:space="preserve">Peak (min)</t>
  </si>
  <si>
    <t xml:space="preserve">Spreadsheet queuing model (S15 tab) — average wait, both messes</t>
  </si>
  <si>
    <t xml:space="preserve">Without screens (min)</t>
  </si>
  <si>
    <t xml:space="preserve">With screens (min)</t>
  </si>
  <si>
    <t xml:space="preserve">The spreadsheet model is simpler than the simulator (fixed 10-min bins, no stock-outs, no seat limit), so the two will not match exactly; both should show the same direction and rough size of improvement.</t>
  </si>
  <si>
    <t xml:space="preserve">Findings from the simulator: (1) Moving students moves the food run-outs: with screens Munch feeds more students and a 30-min call-back restock cannot keep up, so routing and food allocation (S10-11 LP) must be planned together; if the next batch is always made before the call (10–14 min to send), run-outs disappear in the model (table below). (2) The single face scanner (~30 scans/min at an assumed 2 s each) is close to Central's peak arrival rate, so a queue of 20–25 people can form OUTSIDE the scanner, which the biometric data cannot see.</t>
  </si>
  <si>
    <t xml:space="preserve">Next batch already made when the mess calls?</t>
  </si>
  <si>
    <t xml:space="preserve">Restock time</t>
  </si>
  <si>
    <t xml:space="preserve">Run-outs, no screens</t>
  </si>
  <si>
    <t xml:space="preserve">Run-outs, screens (60%)</t>
  </si>
  <si>
    <t xml:space="preserve">Avg wait no screens (min)</t>
  </si>
  <si>
    <t xml:space="preserve">Avg wait screens (min)</t>
  </si>
  <si>
    <t xml:space="preserve">Never</t>
  </si>
  <si>
    <t xml:space="preserve">30 min</t>
  </si>
  <si>
    <t xml:space="preserve">Half the time (simulator default)</t>
  </si>
  <si>
    <t xml:space="preserve">30 or 10–14 min</t>
  </si>
  <si>
    <t xml:space="preserve">Always</t>
  </si>
  <si>
    <t xml:space="preserve">10–14 min</t>
  </si>
  <si>
    <t xml:space="preserve">Reading: run-outs depend on whether the kitchen cooks ahead, not on the queue; waits barely move, because the serving stations set the queue. This is the case for early kitchen alerts (alternative A3) and for the pre-stage decision tree (S7).</t>
  </si>
</sst>
</file>

<file path=xl/styles.xml><?xml version="1.0" encoding="utf-8"?>
<styleSheet xmlns="http://schemas.openxmlformats.org/spreadsheetml/2006/main">
  <numFmts count="11">
    <numFmt numFmtId="164" formatCode="General"/>
    <numFmt numFmtId="165" formatCode="#,##0"/>
    <numFmt numFmtId="166" formatCode="@"/>
    <numFmt numFmtId="167" formatCode="0"/>
    <numFmt numFmtId="168" formatCode="0%"/>
    <numFmt numFmtId="169" formatCode="0.0"/>
    <numFmt numFmtId="170" formatCode="\₹#,##0;&quot;(₹&quot;#,##0\);\-"/>
    <numFmt numFmtId="171" formatCode="0.000"/>
    <numFmt numFmtId="172" formatCode="0.00"/>
    <numFmt numFmtId="173" formatCode="0.0%"/>
    <numFmt numFmtId="174" formatCode="0.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color rgb="FF000000"/>
      <name val="Arial"/>
      <family val="0"/>
      <charset val="1"/>
    </font>
    <font>
      <sz val="10"/>
      <color rgb="FF000000"/>
      <name val="Arial"/>
      <family val="0"/>
      <charset val="1"/>
    </font>
    <font>
      <u val="single"/>
      <sz val="10"/>
      <color rgb="FF0563C1"/>
      <name val="Arial"/>
      <family val="0"/>
      <charset val="1"/>
    </font>
    <font>
      <i val="true"/>
      <sz val="10"/>
      <color rgb="FF595959"/>
      <name val="Arial"/>
      <family val="0"/>
      <charset val="1"/>
    </font>
    <font>
      <b val="true"/>
      <sz val="10"/>
      <color rgb="FF1F3A5F"/>
      <name val="Arial"/>
      <family val="0"/>
      <charset val="1"/>
    </font>
    <font>
      <sz val="10"/>
      <color rgb="FF0000FF"/>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A5F"/>
        <bgColor rgb="FF333399"/>
      </patternFill>
    </fill>
    <fill>
      <patternFill patternType="solid">
        <fgColor rgb="FFE7E6E1"/>
        <bgColor rgb="FFE8F3E8"/>
      </patternFill>
    </fill>
    <fill>
      <patternFill patternType="solid">
        <fgColor rgb="FFFFFF00"/>
        <bgColor rgb="FFFFFF00"/>
      </patternFill>
    </fill>
    <fill>
      <patternFill patternType="solid">
        <fgColor rgb="FFE8F3E8"/>
        <bgColor rgb="FFE7E6E1"/>
      </patternFill>
    </fill>
  </fills>
  <borders count="3">
    <border diagonalUp="false" diagonalDown="false">
      <left/>
      <right/>
      <top/>
      <bottom/>
      <diagonal/>
    </border>
    <border diagonalUp="false" diagonalDown="false">
      <left style="thin">
        <color rgb="FFC9C8C3"/>
      </left>
      <right style="thin">
        <color rgb="FFC9C8C3"/>
      </right>
      <top style="thin">
        <color rgb="FFC9C8C3"/>
      </top>
      <bottom style="thin">
        <color rgb="FFC9C8C3"/>
      </bottom>
      <diagonal/>
    </border>
    <border diagonalUp="false" diagonalDown="false">
      <left style="thin">
        <color rgb="FFC9C8C3"/>
      </left>
      <right/>
      <top style="thin">
        <color rgb="FFC9C8C3"/>
      </top>
      <bottom style="thin">
        <color rgb="FFC9C8C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72" fontId="12" fillId="0"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72" fontId="7" fillId="5"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73" fontId="7" fillId="5"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7" fontId="12" fillId="5" borderId="1" xfId="0" applyFont="true" applyBorder="true" applyAlignment="false" applyProtection="false">
      <alignment horizontal="general" vertical="bottom" textRotation="0" wrapText="false" indent="0" shrinkToFit="false"/>
      <protection locked="true" hidden="false"/>
    </xf>
    <xf numFmtId="172" fontId="11" fillId="0" borderId="1" xfId="0" applyFont="true" applyBorder="true" applyAlignment="false" applyProtection="false">
      <alignment horizontal="general" vertical="bottom" textRotation="0" wrapText="false" indent="0" shrinkToFit="false"/>
      <protection locked="true" hidden="false"/>
    </xf>
    <xf numFmtId="171" fontId="7" fillId="5"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74" fontId="7" fillId="5"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71" fontId="12"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bottom" textRotation="0" wrapText="false" indent="0" shrinkToFit="false"/>
      <protection locked="true" hidden="false"/>
    </xf>
    <xf numFmtId="167" fontId="11" fillId="0"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8" fontId="7"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8C3"/>
      <rgbColor rgb="FF878787"/>
      <rgbColor rgb="FF9999FF"/>
      <rgbColor rgb="FFBE4B48"/>
      <rgbColor rgb="FFE8F3E8"/>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E7E6E1"/>
      <rgbColor rgb="FFFFFF99"/>
      <rgbColor rgb="FF99CCFF"/>
      <rgbColor rgb="FFFF99CC"/>
      <rgbColor rgb="FFCC99FF"/>
      <rgbColor rgb="FFFFCC99"/>
      <rgbColor rgb="FF2A78D6"/>
      <rgbColor rgb="FF33CCCC"/>
      <rgbColor rgb="FF98B855"/>
      <rgbColor rgb="FFFFCC00"/>
      <rgbColor rgb="FFFF9900"/>
      <rgbColor rgb="FFFF6600"/>
      <rgbColor rgb="FF7D5FA0"/>
      <rgbColor rgb="FF4F81BD"/>
      <rgbColor rgb="FF1F3A5F"/>
      <rgbColor rgb="FF4A7EBB"/>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 vs utilisation (M/M/1)</a:t>
            </a:r>
          </a:p>
        </c:rich>
      </c:tx>
      <c:overlay val="0"/>
      <c:spPr>
        <a:noFill/>
        <a:ln w="0">
          <a:noFill/>
        </a:ln>
      </c:spPr>
    </c:title>
    <c:autoTitleDeleted val="0"/>
    <c:plotArea>
      <c:lineChart>
        <c:grouping val="standard"/>
        <c:varyColors val="0"/>
        <c:ser>
          <c:idx val="0"/>
          <c:order val="0"/>
          <c:tx>
            <c:strRef>
              <c:f>'S15 Queuing'!L6</c:f>
              <c:strCache>
                <c:ptCount val="1"/>
                <c:pt idx="0">
                  <c:v>Wq (min)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Queuing'!$J$7:$J$18</c:f>
              <c:strCache>
                <c:ptCount val="12"/>
                <c:pt idx="0">
                  <c:v>50%</c:v>
                </c:pt>
                <c:pt idx="1">
                  <c:v>60%</c:v>
                </c:pt>
                <c:pt idx="2">
                  <c:v>70%</c:v>
                </c:pt>
                <c:pt idx="3">
                  <c:v>75%</c:v>
                </c:pt>
                <c:pt idx="4">
                  <c:v>80%</c:v>
                </c:pt>
                <c:pt idx="5">
                  <c:v>85%</c:v>
                </c:pt>
                <c:pt idx="6">
                  <c:v>90%</c:v>
                </c:pt>
                <c:pt idx="7">
                  <c:v>93%</c:v>
                </c:pt>
                <c:pt idx="8">
                  <c:v>95%</c:v>
                </c:pt>
                <c:pt idx="9">
                  <c:v>96%</c:v>
                </c:pt>
                <c:pt idx="10">
                  <c:v>97%</c:v>
                </c:pt>
                <c:pt idx="11">
                  <c:v>98%</c:v>
                </c:pt>
              </c:strCache>
            </c:strRef>
          </c:cat>
          <c:val>
            <c:numRef>
              <c:f>'S15 Queuing'!$L$7:$L$18</c:f>
              <c:numCache>
                <c:formatCode>0.00</c:formatCode>
                <c:ptCount val="12"/>
                <c:pt idx="0">
                  <c:v>0.1</c:v>
                </c:pt>
                <c:pt idx="1">
                  <c:v>0.15</c:v>
                </c:pt>
                <c:pt idx="2">
                  <c:v>0.233333333333333</c:v>
                </c:pt>
                <c:pt idx="3">
                  <c:v>0.3</c:v>
                </c:pt>
                <c:pt idx="4">
                  <c:v>0.4</c:v>
                </c:pt>
                <c:pt idx="5">
                  <c:v>0.566666666666667</c:v>
                </c:pt>
                <c:pt idx="6">
                  <c:v>0.9</c:v>
                </c:pt>
                <c:pt idx="7">
                  <c:v>1.32857142857143</c:v>
                </c:pt>
                <c:pt idx="8">
                  <c:v>1.9</c:v>
                </c:pt>
                <c:pt idx="9">
                  <c:v>2.4</c:v>
                </c:pt>
                <c:pt idx="10">
                  <c:v>3.23333333333333</c:v>
                </c:pt>
                <c:pt idx="11">
                  <c:v>4.9</c:v>
                </c:pt>
              </c:numCache>
            </c:numRef>
          </c:val>
          <c:smooth val="1"/>
        </c:ser>
        <c:hiLowLines>
          <c:spPr>
            <a:ln w="0">
              <a:noFill/>
            </a:ln>
          </c:spPr>
        </c:hiLowLines>
        <c:marker val="0"/>
        <c:axId val="5747881"/>
        <c:axId val="12922687"/>
      </c:lineChart>
      <c:catAx>
        <c:axId val="574788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Utilisation ρ</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922687"/>
        <c:crosses val="autoZero"/>
        <c:auto val="1"/>
        <c:lblAlgn val="ctr"/>
        <c:lblOffset val="100"/>
        <c:noMultiLvlLbl val="0"/>
      </c:catAx>
      <c:valAx>
        <c:axId val="129226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Wq (minutes)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478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Estimated wait per 10-min bin</a:t>
            </a:r>
          </a:p>
        </c:rich>
      </c:tx>
      <c:overlay val="0"/>
      <c:spPr>
        <a:noFill/>
        <a:ln w="0">
          <a:noFill/>
        </a:ln>
      </c:spPr>
    </c:title>
    <c:autoTitleDeleted val="0"/>
    <c:plotArea>
      <c:lineChart>
        <c:grouping val="standard"/>
        <c:varyColors val="0"/>
        <c:ser>
          <c:idx val="0"/>
          <c:order val="0"/>
          <c:tx>
            <c:strRef>
              <c:f>"Central, without"</c:f>
              <c:strCache>
                <c:ptCount val="1"/>
                <c:pt idx="0">
                  <c:v>Central, without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Queuing'!$J$30:$J$47</c:f>
              <c:numCache>
                <c:formatCode>0.0</c:formatCode>
                <c:ptCount val="18"/>
                <c:pt idx="0">
                  <c:v>0.000306190916910803</c:v>
                </c:pt>
                <c:pt idx="1">
                  <c:v>0.00114179605705029</c:v>
                </c:pt>
                <c:pt idx="2">
                  <c:v>0.00415582388265701</c:v>
                </c:pt>
                <c:pt idx="3">
                  <c:v>0.0127050183529556</c:v>
                </c:pt>
                <c:pt idx="4">
                  <c:v>0.0376022244775609</c:v>
                </c:pt>
                <c:pt idx="5">
                  <c:v>0.133804507867814</c:v>
                </c:pt>
                <c:pt idx="6">
                  <c:v>0.0300000000000011</c:v>
                </c:pt>
                <c:pt idx="7">
                  <c:v>2.3125</c:v>
                </c:pt>
                <c:pt idx="8">
                  <c:v>6.1675</c:v>
                </c:pt>
                <c:pt idx="9">
                  <c:v>10.6175</c:v>
                </c:pt>
                <c:pt idx="10">
                  <c:v>14.4725</c:v>
                </c:pt>
                <c:pt idx="11">
                  <c:v>16.755</c:v>
                </c:pt>
                <c:pt idx="12">
                  <c:v>16.785</c:v>
                </c:pt>
                <c:pt idx="13">
                  <c:v>14.4838045078678</c:v>
                </c:pt>
                <c:pt idx="14">
                  <c:v>9.61510222447756</c:v>
                </c:pt>
                <c:pt idx="15">
                  <c:v>2.94770501835296</c:v>
                </c:pt>
                <c:pt idx="16">
                  <c:v>0.00415582388265701</c:v>
                </c:pt>
                <c:pt idx="17">
                  <c:v>0.00114179605705029</c:v>
                </c:pt>
              </c:numCache>
            </c:numRef>
          </c:val>
          <c:smooth val="1"/>
        </c:ser>
        <c:ser>
          <c:idx val="1"/>
          <c:order val="1"/>
          <c:tx>
            <c:strRef>
              <c:f>"Central, with"</c:f>
              <c:strCache>
                <c:ptCount val="1"/>
                <c:pt idx="0">
                  <c:v>Central, with</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Queuing'!$Z$30:$Z$47</c:f>
              <c:numCache>
                <c:formatCode>0.0</c:formatCode>
                <c:ptCount val="18"/>
                <c:pt idx="0">
                  <c:v>0.00017335600296449</c:v>
                </c:pt>
                <c:pt idx="1">
                  <c:v>0.000644122383252818</c:v>
                </c:pt>
                <c:pt idx="2">
                  <c:v>0.00231436735998156</c:v>
                </c:pt>
                <c:pt idx="3">
                  <c:v>0.00682708847812592</c:v>
                </c:pt>
                <c:pt idx="4">
                  <c:v>0.0183321266611937</c:v>
                </c:pt>
                <c:pt idx="5">
                  <c:v>0.0480262534626301</c:v>
                </c:pt>
                <c:pt idx="6">
                  <c:v>0.132735148146162</c:v>
                </c:pt>
                <c:pt idx="7">
                  <c:v>0.590870341875806</c:v>
                </c:pt>
                <c:pt idx="8">
                  <c:v>0.432</c:v>
                </c:pt>
                <c:pt idx="9">
                  <c:v>1.312</c:v>
                </c:pt>
                <c:pt idx="10">
                  <c:v>1.744</c:v>
                </c:pt>
                <c:pt idx="11">
                  <c:v>1.58287034187581</c:v>
                </c:pt>
                <c:pt idx="12">
                  <c:v>0.132735148146162</c:v>
                </c:pt>
                <c:pt idx="13">
                  <c:v>0.0480262534626301</c:v>
                </c:pt>
                <c:pt idx="14">
                  <c:v>0.0183321266611937</c:v>
                </c:pt>
                <c:pt idx="15">
                  <c:v>0.00682708847812592</c:v>
                </c:pt>
                <c:pt idx="16">
                  <c:v>0.00231436735998156</c:v>
                </c:pt>
                <c:pt idx="17">
                  <c:v>0.000644122383252818</c:v>
                </c:pt>
              </c:numCache>
            </c:numRef>
          </c:val>
          <c:smooth val="1"/>
        </c:ser>
        <c:ser>
          <c:idx val="2"/>
          <c:order val="2"/>
          <c:tx>
            <c:strRef>
              <c:f>"Munch, without"</c:f>
              <c:strCache>
                <c:ptCount val="1"/>
                <c:pt idx="0">
                  <c:v>Munch, without</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Queuing'!$R$30:$R$47</c:f>
              <c:numCache>
                <c:formatCode>0.0</c:formatCode>
                <c:ptCount val="18"/>
                <c:pt idx="0">
                  <c:v>9.50715377380563E-006</c:v>
                </c:pt>
                <c:pt idx="1">
                  <c:v>3.51686139658474E-005</c:v>
                </c:pt>
                <c:pt idx="2">
                  <c:v>0.000124410838242193</c:v>
                </c:pt>
                <c:pt idx="3">
                  <c:v>0.000352292996582816</c:v>
                </c:pt>
                <c:pt idx="4">
                  <c:v>0.000858310526222562</c:v>
                </c:pt>
                <c:pt idx="5">
                  <c:v>0.0018145646243768</c:v>
                </c:pt>
                <c:pt idx="6">
                  <c:v>0.00323422503615779</c:v>
                </c:pt>
                <c:pt idx="7">
                  <c:v>0.00492965417612482</c:v>
                </c:pt>
                <c:pt idx="8">
                  <c:v>0.00635811468542328</c:v>
                </c:pt>
                <c:pt idx="9">
                  <c:v>0.00695473140993075</c:v>
                </c:pt>
                <c:pt idx="10">
                  <c:v>0.00635811468542328</c:v>
                </c:pt>
                <c:pt idx="11">
                  <c:v>0.00492965417612482</c:v>
                </c:pt>
                <c:pt idx="12">
                  <c:v>0.00323422503615779</c:v>
                </c:pt>
                <c:pt idx="13">
                  <c:v>0.0018145646243768</c:v>
                </c:pt>
                <c:pt idx="14">
                  <c:v>0.000858310526222562</c:v>
                </c:pt>
                <c:pt idx="15">
                  <c:v>0.000352292996582816</c:v>
                </c:pt>
                <c:pt idx="16">
                  <c:v>0.000124410838242193</c:v>
                </c:pt>
                <c:pt idx="17">
                  <c:v>3.51686139658474E-005</c:v>
                </c:pt>
              </c:numCache>
            </c:numRef>
          </c:val>
          <c:smooth val="1"/>
        </c:ser>
        <c:ser>
          <c:idx val="3"/>
          <c:order val="3"/>
          <c:tx>
            <c:strRef>
              <c:f>"Munch, with"</c:f>
              <c:strCache>
                <c:ptCount val="1"/>
                <c:pt idx="0">
                  <c:v>Munch, with</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'S15 Queuing'!$A$30:$A$47</c:f>
              <c:strCache>
                <c:ptCount val="18"/>
                <c:pt idx="0">
                  <c:v>11:30</c:v>
                </c:pt>
                <c:pt idx="1">
                  <c:v>11:40</c:v>
                </c:pt>
                <c:pt idx="2">
                  <c:v>11:50</c:v>
                </c:pt>
                <c:pt idx="3">
                  <c:v>12:00</c:v>
                </c:pt>
                <c:pt idx="4">
                  <c:v>12:10</c:v>
                </c:pt>
                <c:pt idx="5">
                  <c:v>12:20</c:v>
                </c:pt>
                <c:pt idx="6">
                  <c:v>12:30</c:v>
                </c:pt>
                <c:pt idx="7">
                  <c:v>12:40</c:v>
                </c:pt>
                <c:pt idx="8">
                  <c:v>12:50</c:v>
                </c:pt>
                <c:pt idx="9">
                  <c:v>13:00</c:v>
                </c:pt>
                <c:pt idx="10">
                  <c:v>13:10</c:v>
                </c:pt>
                <c:pt idx="11">
                  <c:v>13:20</c:v>
                </c:pt>
                <c:pt idx="12">
                  <c:v>13:30</c:v>
                </c:pt>
                <c:pt idx="13">
                  <c:v>13:40</c:v>
                </c:pt>
                <c:pt idx="14">
                  <c:v>13:50</c:v>
                </c:pt>
                <c:pt idx="15">
                  <c:v>14:00</c:v>
                </c:pt>
                <c:pt idx="16">
                  <c:v>14:10</c:v>
                </c:pt>
                <c:pt idx="17">
                  <c:v>14:20</c:v>
                </c:pt>
              </c:strCache>
            </c:strRef>
          </c:cat>
          <c:val>
            <c:numRef>
              <c:f>'S15 Queuing'!$AH$30:$AH$47</c:f>
              <c:numCache>
                <c:formatCode>0.0</c:formatCode>
                <c:ptCount val="18"/>
                <c:pt idx="0">
                  <c:v>5.47859986214051E-005</c:v>
                </c:pt>
                <c:pt idx="1">
                  <c:v>0.000202910894561487</c:v>
                </c:pt>
                <c:pt idx="2">
                  <c:v>0.000720875420726205</c:v>
                </c:pt>
                <c:pt idx="3">
                  <c:v>0.00206381609504738</c:v>
                </c:pt>
                <c:pt idx="4">
                  <c:v>0.00515445696534921</c:v>
                </c:pt>
                <c:pt idx="5">
                  <c:v>0.0114400027530138</c:v>
                </c:pt>
                <c:pt idx="6">
                  <c:v>0.022018931090736</c:v>
                </c:pt>
                <c:pt idx="7">
                  <c:v>0.0371004966931634</c:v>
                </c:pt>
                <c:pt idx="8">
                  <c:v>0.0525167335259355</c:v>
                </c:pt>
                <c:pt idx="9">
                  <c:v>0.0598833491084904</c:v>
                </c:pt>
                <c:pt idx="10">
                  <c:v>0.0525167335259355</c:v>
                </c:pt>
                <c:pt idx="11">
                  <c:v>0.0371004966931634</c:v>
                </c:pt>
                <c:pt idx="12">
                  <c:v>0.022018931090736</c:v>
                </c:pt>
                <c:pt idx="13">
                  <c:v>0.0114400027530138</c:v>
                </c:pt>
                <c:pt idx="14">
                  <c:v>0.00515445696534921</c:v>
                </c:pt>
                <c:pt idx="15">
                  <c:v>0.00206381609504738</c:v>
                </c:pt>
                <c:pt idx="16">
                  <c:v>0.000720875420726205</c:v>
                </c:pt>
                <c:pt idx="17">
                  <c:v>0.000202910894561487</c:v>
                </c:pt>
              </c:numCache>
            </c:numRef>
          </c:val>
          <c:smooth val="1"/>
        </c:ser>
        <c:hiLowLines>
          <c:spPr>
            <a:ln w="0">
              <a:noFill/>
            </a:ln>
          </c:spPr>
        </c:hiLowLines>
        <c:marker val="0"/>
        <c:axId val="1309127"/>
        <c:axId val="65752071"/>
      </c:lineChart>
      <c:catAx>
        <c:axId val="13091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752071"/>
        <c:crosses val="autoZero"/>
        <c:auto val="1"/>
        <c:lblAlgn val="ctr"/>
        <c:lblOffset val="100"/>
        <c:noMultiLvlLbl val="0"/>
      </c:catAx>
      <c:valAx>
        <c:axId val="6575207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Minutes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0912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Expected minutes saved per student (EMV)</a:t>
            </a:r>
          </a:p>
        </c:rich>
      </c:tx>
      <c:overlay val="0"/>
      <c:spPr>
        <a:noFill/>
        <a:ln w="0">
          <a:noFill/>
        </a:ln>
      </c:spPr>
    </c:title>
    <c:autoTitleDeleted val="0"/>
    <c:plotArea>
      <c:barChart>
        <c:barDir val="col"/>
        <c:grouping val="clustered"/>
        <c:varyColors val="0"/>
        <c:ser>
          <c:idx val="0"/>
          <c:order val="0"/>
          <c:tx>
            <c:strRef>
              <c:f>'S7 Payoff Matrix'!I18</c:f>
              <c:strCache>
                <c:ptCount val="1"/>
                <c:pt idx="0">
                  <c:v>EMV (with probabilities)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'S7 Payoff Matrix'!$A$19:$A$23</c:f>
              <c:strCache>
                <c:ptCount val="5"/>
                <c:pt idx="0">
                  <c:v>A1 No system (today)</c:v>
                </c:pt>
                <c:pt idx="1">
                  <c:v>A2 Door screens + routing</c:v>
                </c:pt>
                <c:pt idx="2">
                  <c:v>A3 Screens + kitchen early alerts</c:v>
                </c:pt>
                <c:pt idx="3">
                  <c:v>A4 3rd serving station at peak (no screens)</c:v>
                </c:pt>
                <c:pt idx="4">
                  <c:v>A5 Screens + 3rd serving station</c:v>
                </c:pt>
              </c:strCache>
            </c:strRef>
          </c:cat>
          <c:val>
            <c:numRef>
              <c:f>'S7 Payoff Matrix'!$I$19:$I$23</c:f>
              <c:numCache>
                <c:formatCode>0.00</c:formatCode>
                <c:ptCount val="5"/>
                <c:pt idx="0">
                  <c:v>0</c:v>
                </c:pt>
                <c:pt idx="1">
                  <c:v>5.49</c:v>
                </c:pt>
                <c:pt idx="2">
                  <c:v>5.99</c:v>
                </c:pt>
                <c:pt idx="3">
                  <c:v>3.3</c:v>
                </c:pt>
                <c:pt idx="4">
                  <c:v>5.95</c:v>
                </c:pt>
              </c:numCache>
            </c:numRef>
          </c:val>
        </c:ser>
        <c:gapWidth val="150"/>
        <c:overlap val="0"/>
        <c:axId val="7307287"/>
        <c:axId val="39068584"/>
      </c:barChart>
      <c:catAx>
        <c:axId val="73072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068584"/>
        <c:crosses val="autoZero"/>
        <c:auto val="1"/>
        <c:lblAlgn val="ctr"/>
        <c:lblOffset val="100"/>
        <c:noMultiLvlLbl val="0"/>
      </c:catAx>
      <c:valAx>
        <c:axId val="39068584"/>
        <c:scaling>
          <c:orientation val="minMax"/>
        </c:scaling>
        <c:delete val="0"/>
        <c:axPos val="l"/>
        <c:majorGridlines>
          <c:spPr>
            <a:ln w="9360">
              <a:solidFill>
                <a:srgbClr val="878787"/>
              </a:solidFill>
              <a:round/>
            </a:ln>
          </c:spPr>
        </c:majorGridlines>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072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Expected cost vs chance of a high-demand day</a:t>
            </a:r>
          </a:p>
        </c:rich>
      </c:tx>
      <c:overlay val="0"/>
      <c:spPr>
        <a:noFill/>
        <a:ln w="0">
          <a:noFill/>
        </a:ln>
      </c:spPr>
    </c:title>
    <c:autoTitleDeleted val="0"/>
    <c:plotArea>
      <c:lineChart>
        <c:grouping val="standard"/>
        <c:varyColors val="0"/>
        <c:ser>
          <c:idx val="0"/>
          <c:order val="0"/>
          <c:tx>
            <c:strRef>
              <c:f>'S7 Decision Tree'!B25</c:f>
              <c:strCache>
                <c:ptCount val="1"/>
                <c:pt idx="0">
                  <c:v>EMV pre-stage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'S7 Decision Tree'!$A$26:$A$36</c:f>
              <c:strCache>
                <c:ptCount val="11"/>
                <c:pt idx="0">
                  <c:v>0%</c:v>
                </c:pt>
                <c:pt idx="1">
                  <c:v>10%</c:v>
                </c:pt>
                <c:pt idx="2">
                  <c:v>20%</c:v>
                </c:pt>
                <c:pt idx="3">
                  <c:v>30%</c:v>
                </c:pt>
                <c:pt idx="4">
                  <c:v>40%</c:v>
                </c:pt>
                <c:pt idx="5">
                  <c:v>50%</c:v>
                </c:pt>
                <c:pt idx="6">
                  <c:v>60%</c:v>
                </c:pt>
                <c:pt idx="7">
                  <c:v>70%</c:v>
                </c:pt>
                <c:pt idx="8">
                  <c:v>80%</c:v>
                </c:pt>
                <c:pt idx="9">
                  <c:v>90%</c:v>
                </c:pt>
                <c:pt idx="10">
                  <c:v>100%</c:v>
                </c:pt>
              </c:strCache>
            </c:strRef>
          </c:cat>
          <c:val>
            <c:numRef>
              <c:f>'S7 Decision Tree'!$B$26:$B$36</c:f>
              <c:numCache>
                <c:formatCode>\₹#,##0;"(₹"#,##0\);\-</c:formatCode>
                <c:ptCount val="11"/>
                <c:pt idx="0">
                  <c:v>1200</c:v>
                </c:pt>
                <c:pt idx="1">
                  <c:v>1080</c:v>
                </c:pt>
                <c:pt idx="2">
                  <c:v>960</c:v>
                </c:pt>
                <c:pt idx="3">
                  <c:v>840</c:v>
                </c:pt>
                <c:pt idx="4">
                  <c:v>720</c:v>
                </c:pt>
                <c:pt idx="5">
                  <c:v>600</c:v>
                </c:pt>
                <c:pt idx="6">
                  <c:v>480</c:v>
                </c:pt>
                <c:pt idx="7">
                  <c:v>360</c:v>
                </c:pt>
                <c:pt idx="8">
                  <c:v>240</c:v>
                </c:pt>
                <c:pt idx="9">
                  <c:v>120</c:v>
                </c:pt>
                <c:pt idx="10">
                  <c:v>0</c:v>
                </c:pt>
              </c:numCache>
            </c:numRef>
          </c:val>
          <c:smooth val="1"/>
        </c:ser>
        <c:ser>
          <c:idx val="1"/>
          <c:order val="1"/>
          <c:tx>
            <c:strRef>
              <c:f>'S7 Decision Tree'!C25</c:f>
              <c:strCache>
                <c:ptCount val="1"/>
                <c:pt idx="0">
                  <c:v>EMV react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'S7 Decision Tree'!$A$26:$A$36</c:f>
              <c:strCache>
                <c:ptCount val="11"/>
                <c:pt idx="0">
                  <c:v>0%</c:v>
                </c:pt>
                <c:pt idx="1">
                  <c:v>10%</c:v>
                </c:pt>
                <c:pt idx="2">
                  <c:v>20%</c:v>
                </c:pt>
                <c:pt idx="3">
                  <c:v>30%</c:v>
                </c:pt>
                <c:pt idx="4">
                  <c:v>40%</c:v>
                </c:pt>
                <c:pt idx="5">
                  <c:v>50%</c:v>
                </c:pt>
                <c:pt idx="6">
                  <c:v>60%</c:v>
                </c:pt>
                <c:pt idx="7">
                  <c:v>70%</c:v>
                </c:pt>
                <c:pt idx="8">
                  <c:v>80%</c:v>
                </c:pt>
                <c:pt idx="9">
                  <c:v>90%</c:v>
                </c:pt>
                <c:pt idx="10">
                  <c:v>100%</c:v>
                </c:pt>
              </c:strCache>
            </c:strRef>
          </c:cat>
          <c:val>
            <c:numRef>
              <c:f>'S7 Decision Tree'!$C$26:$C$36</c:f>
              <c:numCache>
                <c:formatCode>\₹#,##0;"(₹"#,##0\);\-</c:formatCode>
                <c:ptCount val="11"/>
                <c:pt idx="0">
                  <c:v>0</c:v>
                </c:pt>
                <c:pt idx="1">
                  <c:v>1500</c:v>
                </c:pt>
                <c:pt idx="2">
                  <c:v>3000</c:v>
                </c:pt>
                <c:pt idx="3">
                  <c:v>4500</c:v>
                </c:pt>
                <c:pt idx="4">
                  <c:v>6000</c:v>
                </c:pt>
                <c:pt idx="5">
                  <c:v>7500</c:v>
                </c:pt>
                <c:pt idx="6">
                  <c:v>9000</c:v>
                </c:pt>
                <c:pt idx="7">
                  <c:v>10500</c:v>
                </c:pt>
                <c:pt idx="8">
                  <c:v>12000</c:v>
                </c:pt>
                <c:pt idx="9">
                  <c:v>13500</c:v>
                </c:pt>
                <c:pt idx="10">
                  <c:v>15000</c:v>
                </c:pt>
              </c:numCache>
            </c:numRef>
          </c:val>
          <c:smooth val="1"/>
        </c:ser>
        <c:hiLowLines>
          <c:spPr>
            <a:ln w="0">
              <a:noFill/>
            </a:ln>
          </c:spPr>
        </c:hiLowLines>
        <c:marker val="0"/>
        <c:axId val="56633981"/>
        <c:axId val="29712866"/>
      </c:lineChart>
      <c:catAx>
        <c:axId val="5663398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712866"/>
        <c:crosses val="autoZero"/>
        <c:auto val="1"/>
        <c:lblAlgn val="ctr"/>
        <c:lblOffset val="100"/>
        <c:noMultiLvlLbl val="0"/>
      </c:catAx>
      <c:valAx>
        <c:axId val="29712866"/>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6339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MICMAC: driving power vs dependence</a:t>
            </a:r>
          </a:p>
        </c:rich>
      </c:tx>
      <c:overlay val="0"/>
      <c:spPr>
        <a:noFill/>
        <a:ln w="0">
          <a:noFill/>
        </a:ln>
      </c:spPr>
    </c:title>
    <c:autoTitleDeleted val="0"/>
    <c:plotArea>
      <c:scatterChart>
        <c:scatterStyle val="lineMarker"/>
        <c:varyColors val="0"/>
        <c:ser>
          <c:idx val="0"/>
          <c:order val="0"/>
          <c:tx>
            <c:strRef>
              <c:f>"Factors"</c:f>
              <c:strCache>
                <c:ptCount val="1"/>
                <c:pt idx="0">
                  <c:v>Factors</c:v>
                </c:pt>
              </c:strCache>
            </c:strRef>
          </c:tx>
          <c:spPr>
            <a:solidFill>
              <a:srgbClr val="2a78d6"/>
            </a:solidFill>
            <a:ln w="47520">
              <a:noFill/>
            </a:ln>
          </c:spPr>
          <c:marker>
            <c:symbol val="circle"/>
            <c:size val="9"/>
            <c:spPr>
              <a:solidFill>
                <a:srgbClr val="2a78d6"/>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'S16-17 ISM-MICMAC'!$M$71:$M$80</c:f>
              <c:numCache>
                <c:formatCode>0</c:formatCode>
                <c:ptCount val="10"/>
                <c:pt idx="0">
                  <c:v>1</c:v>
                </c:pt>
                <c:pt idx="1">
                  <c:v>1</c:v>
                </c:pt>
                <c:pt idx="2">
                  <c:v>2</c:v>
                </c:pt>
                <c:pt idx="3">
                  <c:v>5</c:v>
                </c:pt>
                <c:pt idx="4">
                  <c:v>2</c:v>
                </c:pt>
                <c:pt idx="5">
                  <c:v>2</c:v>
                </c:pt>
                <c:pt idx="6">
                  <c:v>2</c:v>
                </c:pt>
                <c:pt idx="7">
                  <c:v>4</c:v>
                </c:pt>
                <c:pt idx="8">
                  <c:v>9</c:v>
                </c:pt>
                <c:pt idx="9">
                  <c:v>10</c:v>
                </c:pt>
              </c:numCache>
            </c:numRef>
          </c:xVal>
          <c:yVal>
            <c:numRef>
              <c:f>'S16-17 ISM-MICMAC'!$L$71:$L$80</c:f>
              <c:numCache>
                <c:formatCode>0</c:formatCode>
                <c:ptCount val="10"/>
                <c:pt idx="0">
                  <c:v>9</c:v>
                </c:pt>
                <c:pt idx="1">
                  <c:v>3</c:v>
                </c:pt>
                <c:pt idx="2">
                  <c:v>3</c:v>
                </c:pt>
                <c:pt idx="3">
                  <c:v>3</c:v>
                </c:pt>
                <c:pt idx="4">
                  <c:v>3</c:v>
                </c:pt>
                <c:pt idx="5">
                  <c:v>5</c:v>
                </c:pt>
                <c:pt idx="6">
                  <c:v>5</c:v>
                </c:pt>
                <c:pt idx="7">
                  <c:v>4</c:v>
                </c:pt>
                <c:pt idx="8">
                  <c:v>2</c:v>
                </c:pt>
                <c:pt idx="9">
                  <c:v>1</c:v>
                </c:pt>
              </c:numCache>
            </c:numRef>
          </c:yVal>
          <c:smooth val="1"/>
        </c:ser>
        <c:axId val="60833793"/>
        <c:axId val="5964943"/>
      </c:scatterChart>
      <c:valAx>
        <c:axId val="6083379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Dependence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64943"/>
        <c:crosses val="autoZero"/>
        <c:crossBetween val="midCat"/>
      </c:valAx>
      <c:valAx>
        <c:axId val="59649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Driving power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33793"/>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wait: simulated lunches</a:t>
            </a:r>
          </a:p>
        </c:rich>
      </c:tx>
      <c:overlay val="0"/>
      <c:spPr>
        <a:noFill/>
        <a:ln w="0">
          <a:noFill/>
        </a:ln>
      </c:spPr>
    </c:title>
    <c:autoTitleDeleted val="0"/>
    <c:plotArea>
      <c:barChart>
        <c:barDir val="col"/>
        <c:grouping val="clustered"/>
        <c:varyColors val="0"/>
        <c:ser>
          <c:idx val="0"/>
          <c:order val="0"/>
          <c:tx>
            <c:strRef>
              <c:f>'Simulation Results'!C4</c:f>
              <c:strCache>
                <c:ptCount val="1"/>
                <c:pt idx="0">
                  <c:v>Average wait (min)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'Simulation Results'!$B$5:$B$8</c:f>
              <c:strCache>
                <c:ptCount val="4"/>
                <c:pt idx="0">
                  <c:v>–</c:v>
                </c:pt>
                <c:pt idx="1">
                  <c:v>30%</c:v>
                </c:pt>
                <c:pt idx="2">
                  <c:v>60%</c:v>
                </c:pt>
                <c:pt idx="3">
                  <c:v>100%</c:v>
                </c:pt>
              </c:strCache>
            </c:strRef>
          </c:cat>
          <c:val>
            <c:numRef>
              <c:f>'Simulation Results'!$C$5:$C$8</c:f>
              <c:numCache>
                <c:formatCode>0.0</c:formatCode>
                <c:ptCount val="4"/>
                <c:pt idx="0">
                  <c:v>7.1</c:v>
                </c:pt>
                <c:pt idx="1">
                  <c:v>1.3</c:v>
                </c:pt>
                <c:pt idx="2">
                  <c:v>0.8</c:v>
                </c:pt>
                <c:pt idx="3">
                  <c:v>1.1</c:v>
                </c:pt>
              </c:numCache>
            </c:numRef>
          </c:val>
        </c:ser>
        <c:gapWidth val="150"/>
        <c:overlap val="0"/>
        <c:axId val="17273015"/>
        <c:axId val="27964619"/>
      </c:barChart>
      <c:catAx>
        <c:axId val="1727301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964619"/>
        <c:crosses val="autoZero"/>
        <c:auto val="1"/>
        <c:lblAlgn val="ctr"/>
        <c:lblOffset val="100"/>
        <c:noMultiLvlLbl val="0"/>
      </c:catAx>
      <c:valAx>
        <c:axId val="2796461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27301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2</xdr:row>
      <xdr:rowOff>160920</xdr:rowOff>
    </xdr:from>
    <xdr:to>
      <xdr:col>19</xdr:col>
      <xdr:colOff>443160</xdr:colOff>
      <xdr:row>16</xdr:row>
      <xdr:rowOff>13320</xdr:rowOff>
    </xdr:to>
    <xdr:graphicFrame>
      <xdr:nvGraphicFramePr>
        <xdr:cNvPr id="0" name="Chart 1"/>
        <xdr:cNvGraphicFramePr/>
      </xdr:nvGraphicFramePr>
      <xdr:xfrm>
        <a:off x="10925280" y="57168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47</xdr:row>
      <xdr:rowOff>160560</xdr:rowOff>
    </xdr:from>
    <xdr:to>
      <xdr:col>17</xdr:col>
      <xdr:colOff>332280</xdr:colOff>
      <xdr:row>60</xdr:row>
      <xdr:rowOff>137160</xdr:rowOff>
    </xdr:to>
    <xdr:graphicFrame>
      <xdr:nvGraphicFramePr>
        <xdr:cNvPr id="1" name="Chart 2"/>
        <xdr:cNvGraphicFramePr/>
      </xdr:nvGraphicFramePr>
      <xdr:xfrm>
        <a:off x="7823880" y="972504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16</xdr:row>
      <xdr:rowOff>48240</xdr:rowOff>
    </xdr:from>
    <xdr:to>
      <xdr:col>20</xdr:col>
      <xdr:colOff>255960</xdr:colOff>
      <xdr:row>26</xdr:row>
      <xdr:rowOff>118800</xdr:rowOff>
    </xdr:to>
    <xdr:graphicFrame>
      <xdr:nvGraphicFramePr>
        <xdr:cNvPr id="2" name="Chart 1"/>
        <xdr:cNvGraphicFramePr/>
      </xdr:nvGraphicFramePr>
      <xdr:xfrm>
        <a:off x="12946320" y="351468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22</xdr:row>
      <xdr:rowOff>160920</xdr:rowOff>
    </xdr:from>
    <xdr:to>
      <xdr:col>10</xdr:col>
      <xdr:colOff>479160</xdr:colOff>
      <xdr:row>37</xdr:row>
      <xdr:rowOff>2880</xdr:rowOff>
    </xdr:to>
    <xdr:graphicFrame>
      <xdr:nvGraphicFramePr>
        <xdr:cNvPr id="3" name="Chart 1"/>
        <xdr:cNvGraphicFramePr/>
      </xdr:nvGraphicFramePr>
      <xdr:xfrm>
        <a:off x="7612560" y="4438800"/>
        <a:ext cx="50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68</xdr:row>
      <xdr:rowOff>160920</xdr:rowOff>
    </xdr:from>
    <xdr:to>
      <xdr:col>22</xdr:col>
      <xdr:colOff>38880</xdr:colOff>
      <xdr:row>81</xdr:row>
      <xdr:rowOff>451440</xdr:rowOff>
    </xdr:to>
    <xdr:graphicFrame>
      <xdr:nvGraphicFramePr>
        <xdr:cNvPr id="4" name="Chart 1"/>
        <xdr:cNvGraphicFramePr/>
      </xdr:nvGraphicFramePr>
      <xdr:xfrm>
        <a:off x="10197360" y="1314468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2</xdr:row>
      <xdr:rowOff>160920</xdr:rowOff>
    </xdr:from>
    <xdr:to>
      <xdr:col>15</xdr:col>
      <xdr:colOff>38880</xdr:colOff>
      <xdr:row>15</xdr:row>
      <xdr:rowOff>91440</xdr:rowOff>
    </xdr:to>
    <xdr:graphicFrame>
      <xdr:nvGraphicFramePr>
        <xdr:cNvPr id="5" name="Chart 1"/>
        <xdr:cNvGraphicFramePr/>
      </xdr:nvGraphicFramePr>
      <xdr:xfrm>
        <a:off x="10197360" y="571680"/>
        <a:ext cx="431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DS_Decision_Workbook.xlsx" TargetMode="External"/><Relationship Id="rId2" Type="http://schemas.openxmlformats.org/officeDocument/2006/relationships/hyperlink" Target="MDS_Decision_Workbook.xlsx" TargetMode="External"/><Relationship Id="rId3" Type="http://schemas.openxmlformats.org/officeDocument/2006/relationships/hyperlink" Target="MDS_Decision_Workbook.xlsx" TargetMode="External"/><Relationship Id="rId4" Type="http://schemas.openxmlformats.org/officeDocument/2006/relationships/hyperlink" Target="MDS_Decision_Workbook.xlsx" TargetMode="External"/><Relationship Id="rId5" Type="http://schemas.openxmlformats.org/officeDocument/2006/relationships/hyperlink" Target="MDS_Decision_Workbook.xlsx" TargetMode="External"/><Relationship Id="rId6" Type="http://schemas.openxmlformats.org/officeDocument/2006/relationships/hyperlink" Target="MDS_Decision_Workbook.xlsx" TargetMode="External"/><Relationship Id="rId7" Type="http://schemas.openxmlformats.org/officeDocument/2006/relationships/hyperlink" Target="MDS_Decision_Workbook.xlsx" TargetMode="External"/><Relationship Id="rId8" Type="http://schemas.openxmlformats.org/officeDocument/2006/relationships/hyperlink" Target="MDS_Decision_Workbook.xlsx" TargetMode="External"/><Relationship Id="rId9" Type="http://schemas.openxmlformats.org/officeDocument/2006/relationships/hyperlink" Target="MDS_Decision_Workbook.xlsx" TargetMode="External"/><Relationship Id="rId10" Type="http://schemas.openxmlformats.org/officeDocument/2006/relationships/hyperlink" Target="MDS_Decision_Workbook.xlsx" TargetMode="External"/><Relationship Id="rId11" Type="http://schemas.openxmlformats.org/officeDocument/2006/relationships/hyperlink" Target="MDS_Decision_Workbook.xlsx" TargetMode="External"/><Relationship Id="rId12" Type="http://schemas.openxmlformats.org/officeDocument/2006/relationships/hyperlink" Target="MDS_Decision_Workbook.xlsx" TargetMode="External"/><Relationship Id="rId13" Type="http://schemas.openxmlformats.org/officeDocument/2006/relationships/hyperlink" Target="MDS_Decision_Workbook.xlsx" TargetMode="External"/><Relationship Id="rId14" Type="http://schemas.openxmlformats.org/officeDocument/2006/relationships/hyperlink" Target="MDS_Decision_Workbook.xlsx"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_rels/sheet1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70"/>
  </cols>
  <sheetData>
    <row r="1" customFormat="false" ht="17.35" hidden="false" customHeight="false" outlineLevel="0" collapsed="false">
      <c r="A1" s="1" t="s">
        <v>0</v>
      </c>
      <c r="B1" s="2"/>
      <c r="C1" s="2"/>
    </row>
    <row r="2" customFormat="false" ht="15" hidden="false" customHeight="true" outlineLevel="0" collapsed="false">
      <c r="A2" s="3" t="s">
        <v>1</v>
      </c>
      <c r="B2" s="3"/>
      <c r="C2" s="3"/>
    </row>
    <row r="4" customFormat="false" ht="15" hidden="false" customHeight="false" outlineLevel="0" collapsed="false">
      <c r="A4" s="4" t="s">
        <v>2</v>
      </c>
    </row>
    <row r="5" customFormat="false" ht="15" hidden="false" customHeight="false" outlineLevel="0" collapsed="false">
      <c r="A5" s="5" t="s">
        <v>3</v>
      </c>
      <c r="B5" s="5"/>
      <c r="C5" s="5"/>
    </row>
    <row r="6" customFormat="false" ht="15" hidden="false" customHeight="false" outlineLevel="0" collapsed="false">
      <c r="A6" s="5" t="s">
        <v>4</v>
      </c>
      <c r="B6" s="5"/>
      <c r="C6" s="5"/>
    </row>
    <row r="7" customFormat="false" ht="15" hidden="false" customHeight="false" outlineLevel="0" collapsed="false">
      <c r="A7" s="5" t="s">
        <v>5</v>
      </c>
      <c r="B7" s="5"/>
      <c r="C7" s="5"/>
    </row>
    <row r="8" customFormat="false" ht="15" hidden="false" customHeight="false" outlineLevel="0" collapsed="false">
      <c r="A8" s="5" t="s">
        <v>6</v>
      </c>
      <c r="B8" s="5"/>
      <c r="C8" s="5"/>
    </row>
    <row r="10" customFormat="false" ht="15" hidden="false" customHeight="false" outlineLevel="0" collapsed="false">
      <c r="A10" s="4" t="s">
        <v>7</v>
      </c>
    </row>
    <row r="11" customFormat="false" ht="15" hidden="false" customHeight="false" outlineLevel="0" collapsed="false">
      <c r="A11" s="6" t="s">
        <v>8</v>
      </c>
      <c r="B11" s="6" t="s">
        <v>9</v>
      </c>
      <c r="C11" s="6" t="s">
        <v>10</v>
      </c>
    </row>
    <row r="12" customFormat="false" ht="23.85" hidden="false" customHeight="false" outlineLevel="0" collapsed="false">
      <c r="A12" s="7" t="s">
        <v>11</v>
      </c>
      <c r="B12" s="8" t="s">
        <v>12</v>
      </c>
      <c r="C12" s="8" t="s">
        <v>13</v>
      </c>
    </row>
    <row r="13" customFormat="false" ht="15" hidden="false" customHeight="false" outlineLevel="0" collapsed="false">
      <c r="A13" s="7" t="s">
        <v>14</v>
      </c>
      <c r="B13" s="8" t="s">
        <v>15</v>
      </c>
      <c r="C13" s="8" t="s">
        <v>16</v>
      </c>
    </row>
    <row r="14" customFormat="false" ht="23.85" hidden="false" customHeight="false" outlineLevel="0" collapsed="false">
      <c r="A14" s="7" t="s">
        <v>17</v>
      </c>
      <c r="B14" s="8" t="s">
        <v>18</v>
      </c>
      <c r="C14" s="8" t="s">
        <v>19</v>
      </c>
    </row>
    <row r="15" customFormat="false" ht="15" hidden="false" customHeight="false" outlineLevel="0" collapsed="false">
      <c r="A15" s="7" t="s">
        <v>20</v>
      </c>
      <c r="B15" s="8" t="s">
        <v>21</v>
      </c>
      <c r="C15" s="8" t="s">
        <v>22</v>
      </c>
    </row>
    <row r="17" customFormat="false" ht="15" hidden="false" customHeight="false" outlineLevel="0" collapsed="false">
      <c r="A17" s="4" t="s">
        <v>23</v>
      </c>
    </row>
    <row r="18" customFormat="false" ht="15" hidden="false" customHeight="false" outlineLevel="0" collapsed="false">
      <c r="A18" s="6" t="s">
        <v>24</v>
      </c>
      <c r="B18" s="6" t="s">
        <v>25</v>
      </c>
      <c r="C18" s="6" t="s">
        <v>26</v>
      </c>
    </row>
    <row r="19" customFormat="false" ht="15" hidden="false" customHeight="false" outlineLevel="0" collapsed="false">
      <c r="A19" s="9" t="s">
        <v>27</v>
      </c>
      <c r="B19" s="7" t="s">
        <v>28</v>
      </c>
      <c r="C19" s="8" t="s">
        <v>29</v>
      </c>
    </row>
    <row r="20" customFormat="false" ht="15" hidden="false" customHeight="false" outlineLevel="0" collapsed="false">
      <c r="A20" s="9" t="s">
        <v>30</v>
      </c>
      <c r="B20" s="7" t="s">
        <v>31</v>
      </c>
      <c r="C20" s="8" t="s">
        <v>32</v>
      </c>
    </row>
    <row r="21" customFormat="false" ht="23.85" hidden="false" customHeight="false" outlineLevel="0" collapsed="false">
      <c r="A21" s="9" t="s">
        <v>33</v>
      </c>
      <c r="B21" s="7" t="s">
        <v>34</v>
      </c>
      <c r="C21" s="8" t="s">
        <v>35</v>
      </c>
    </row>
    <row r="22" customFormat="false" ht="15" hidden="false" customHeight="false" outlineLevel="0" collapsed="false">
      <c r="A22" s="9" t="s">
        <v>36</v>
      </c>
      <c r="B22" s="7" t="s">
        <v>37</v>
      </c>
      <c r="C22" s="8" t="s">
        <v>38</v>
      </c>
    </row>
    <row r="23" customFormat="false" ht="23.85" hidden="false" customHeight="false" outlineLevel="0" collapsed="false">
      <c r="A23" s="9" t="s">
        <v>39</v>
      </c>
      <c r="B23" s="7" t="s">
        <v>40</v>
      </c>
      <c r="C23" s="8" t="s">
        <v>41</v>
      </c>
    </row>
    <row r="24" customFormat="false" ht="15" hidden="false" customHeight="false" outlineLevel="0" collapsed="false">
      <c r="A24" s="9" t="s">
        <v>42</v>
      </c>
      <c r="B24" s="7" t="s">
        <v>40</v>
      </c>
      <c r="C24" s="8" t="s">
        <v>43</v>
      </c>
    </row>
    <row r="25" customFormat="false" ht="15" hidden="false" customHeight="false" outlineLevel="0" collapsed="false">
      <c r="A25" s="9" t="s">
        <v>44</v>
      </c>
      <c r="B25" s="7" t="s">
        <v>45</v>
      </c>
      <c r="C25" s="8" t="s">
        <v>46</v>
      </c>
    </row>
    <row r="26" customFormat="false" ht="15" hidden="false" customHeight="false" outlineLevel="0" collapsed="false">
      <c r="A26" s="9" t="s">
        <v>47</v>
      </c>
      <c r="B26" s="7" t="s">
        <v>48</v>
      </c>
      <c r="C26" s="8" t="s">
        <v>49</v>
      </c>
    </row>
    <row r="27" customFormat="false" ht="23.85" hidden="false" customHeight="false" outlineLevel="0" collapsed="false">
      <c r="A27" s="9" t="s">
        <v>50</v>
      </c>
      <c r="B27" s="7" t="s">
        <v>51</v>
      </c>
      <c r="C27" s="8" t="s">
        <v>52</v>
      </c>
    </row>
    <row r="28" customFormat="false" ht="15" hidden="false" customHeight="false" outlineLevel="0" collapsed="false">
      <c r="A28" s="9" t="s">
        <v>53</v>
      </c>
      <c r="B28" s="7" t="s">
        <v>54</v>
      </c>
      <c r="C28" s="8" t="s">
        <v>55</v>
      </c>
    </row>
    <row r="29" customFormat="false" ht="15" hidden="false" customHeight="false" outlineLevel="0" collapsed="false">
      <c r="A29" s="9" t="s">
        <v>56</v>
      </c>
      <c r="B29" s="7" t="s">
        <v>54</v>
      </c>
      <c r="C29" s="8" t="s">
        <v>57</v>
      </c>
    </row>
    <row r="30" customFormat="false" ht="15" hidden="false" customHeight="false" outlineLevel="0" collapsed="false">
      <c r="A30" s="9" t="s">
        <v>58</v>
      </c>
      <c r="B30" s="7" t="s">
        <v>54</v>
      </c>
      <c r="C30" s="8" t="s">
        <v>59</v>
      </c>
    </row>
    <row r="31" customFormat="false" ht="15" hidden="false" customHeight="false" outlineLevel="0" collapsed="false">
      <c r="A31" s="9" t="s">
        <v>60</v>
      </c>
      <c r="B31" s="7" t="s">
        <v>61</v>
      </c>
      <c r="C31" s="8" t="s">
        <v>62</v>
      </c>
    </row>
    <row r="32" customFormat="false" ht="15" hidden="false" customHeight="false" outlineLevel="0" collapsed="false">
      <c r="A32" s="9" t="s">
        <v>63</v>
      </c>
      <c r="B32" s="7" t="s">
        <v>28</v>
      </c>
      <c r="C32" s="8" t="s">
        <v>64</v>
      </c>
    </row>
    <row r="34" customFormat="false" ht="39.75" hidden="false" customHeight="true" outlineLevel="0" collapsed="false">
      <c r="A34" s="3" t="s">
        <v>65</v>
      </c>
      <c r="B34" s="3"/>
      <c r="C34" s="3"/>
    </row>
  </sheetData>
  <mergeCells count="6">
    <mergeCell ref="A2:C2"/>
    <mergeCell ref="A5:C5"/>
    <mergeCell ref="A6:C6"/>
    <mergeCell ref="A7:C7"/>
    <mergeCell ref="A8:C8"/>
    <mergeCell ref="A34:C34"/>
  </mergeCells>
  <hyperlinks>
    <hyperlink ref="A19" r:id="rId1" location="'Inputs'!A1" display="Inputs"/>
    <hyperlink ref="A20" r:id="rId2" location="'S2-3%20Problem%20&amp;%20Root%20Cause'!A1" display="S2-3 Problem &amp; Root Cause"/>
    <hyperlink ref="A21" r:id="rId3" location="'S4%20Biases%20&amp;%20Ethics'!A1" display="S4 Biases &amp; Ethics"/>
    <hyperlink ref="A22" r:id="rId4" location="'S5-6%20Priority%20Matrix'!A1" display="S5-6 Priority Matrix"/>
    <hyperlink ref="A23" r:id="rId5" location="'S7%20Payoff%20Matrix'!A1" display="S7 Payoff Matrix"/>
    <hyperlink ref="A24" r:id="rId6" location="'S7%20Decision%20Tree'!A1" display="S7 Decision Tree"/>
    <hyperlink ref="A25" r:id="rId7" location="'S10-11%20LP%20Allocation'!A1" display="S10-11 LP Allocation"/>
    <hyperlink ref="A26" r:id="rId8" location="'S12-14%20IP%20Staffing'!A1" display="S12-14 IP Staffing"/>
    <hyperlink ref="A27" r:id="rId9" location="'S15%20Queuing'!A1" display="S15 Queuing"/>
    <hyperlink ref="A28" r:id="rId10" location="'S16-17%20AHP'!A1" display="S16-17 AHP"/>
    <hyperlink ref="A29" r:id="rId11" location="'S16-17%20BWM'!A1" display="S16-17 BWM"/>
    <hyperlink ref="A30" r:id="rId12" location="'S16-17%20ISM-MICMAC'!A1" display="S16-17 ISM-MICMAC"/>
    <hyperlink ref="A31" r:id="rId13" location="'S18%20Heuristics'!A1" display="S18 Heuristics"/>
    <hyperlink ref="A32" r:id="rId14" location="'Simulation%20Results'!A1" display="Simulation Resul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18"/>
    <col collapsed="false" customWidth="true" hidden="false" outlineLevel="0" max="4" min="4" style="0" width="16"/>
    <col collapsed="false" customWidth="true" hidden="false" outlineLevel="0" max="5" min="5" style="0" width="70"/>
  </cols>
  <sheetData>
    <row r="1" customFormat="false" ht="17.35" hidden="false" customHeight="false" outlineLevel="0" collapsed="false">
      <c r="A1" s="1" t="s">
        <v>66</v>
      </c>
      <c r="B1" s="2"/>
      <c r="C1" s="2"/>
      <c r="D1" s="2"/>
      <c r="E1" s="2"/>
    </row>
    <row r="2" customFormat="false" ht="15" hidden="false" customHeight="false" outlineLevel="0" collapsed="false">
      <c r="A2" s="10" t="s">
        <v>67</v>
      </c>
    </row>
    <row r="4" customFormat="false" ht="15" hidden="false" customHeight="false" outlineLevel="0" collapsed="false">
      <c r="A4" s="6" t="s">
        <v>68</v>
      </c>
      <c r="B4" s="6" t="s">
        <v>69</v>
      </c>
      <c r="C4" s="6" t="s">
        <v>70</v>
      </c>
      <c r="D4" s="6" t="s">
        <v>71</v>
      </c>
      <c r="E4" s="6" t="s">
        <v>72</v>
      </c>
    </row>
    <row r="5" customFormat="false" ht="15" hidden="false" customHeight="false" outlineLevel="0" collapsed="false">
      <c r="A5" s="11" t="s">
        <v>73</v>
      </c>
    </row>
    <row r="6" customFormat="false" ht="15" hidden="false" customHeight="false" outlineLevel="0" collapsed="false">
      <c r="A6" s="12" t="s">
        <v>74</v>
      </c>
      <c r="B6" s="13" t="n">
        <v>2960</v>
      </c>
      <c r="C6" s="12" t="s">
        <v>75</v>
      </c>
      <c r="D6" s="4" t="s">
        <v>11</v>
      </c>
      <c r="E6" s="14" t="s">
        <v>76</v>
      </c>
    </row>
    <row r="7" customFormat="false" ht="15" hidden="false" customHeight="false" outlineLevel="0" collapsed="false">
      <c r="A7" s="12" t="s">
        <v>77</v>
      </c>
      <c r="B7" s="15" t="s">
        <v>78</v>
      </c>
      <c r="C7" s="12" t="s">
        <v>79</v>
      </c>
      <c r="D7" s="4" t="s">
        <v>11</v>
      </c>
      <c r="E7" s="14" t="s">
        <v>80</v>
      </c>
    </row>
    <row r="8" customFormat="false" ht="15" hidden="false" customHeight="false" outlineLevel="0" collapsed="false">
      <c r="A8" s="12" t="s">
        <v>81</v>
      </c>
      <c r="B8" s="16" t="n">
        <v>180</v>
      </c>
      <c r="C8" s="12" t="s">
        <v>82</v>
      </c>
      <c r="D8" s="4" t="s">
        <v>11</v>
      </c>
      <c r="E8" s="14" t="s">
        <v>83</v>
      </c>
    </row>
    <row r="9" customFormat="false" ht="15" hidden="false" customHeight="false" outlineLevel="0" collapsed="false">
      <c r="A9" s="12" t="s">
        <v>84</v>
      </c>
      <c r="B9" s="13" t="n">
        <v>900</v>
      </c>
      <c r="C9" s="12" t="s">
        <v>85</v>
      </c>
      <c r="D9" s="4" t="s">
        <v>11</v>
      </c>
      <c r="E9" s="14" t="s">
        <v>86</v>
      </c>
    </row>
    <row r="10" customFormat="false" ht="15" hidden="false" customHeight="false" outlineLevel="0" collapsed="false">
      <c r="A10" s="12" t="s">
        <v>87</v>
      </c>
      <c r="B10" s="13" t="n">
        <v>500</v>
      </c>
      <c r="C10" s="12" t="s">
        <v>85</v>
      </c>
      <c r="D10" s="4" t="s">
        <v>11</v>
      </c>
      <c r="E10" s="14" t="s">
        <v>86</v>
      </c>
    </row>
    <row r="11" customFormat="false" ht="15" hidden="false" customHeight="false" outlineLevel="0" collapsed="false">
      <c r="A11" s="12" t="s">
        <v>88</v>
      </c>
      <c r="B11" s="16" t="n">
        <v>2</v>
      </c>
      <c r="C11" s="12" t="s">
        <v>89</v>
      </c>
      <c r="D11" s="4" t="s">
        <v>11</v>
      </c>
      <c r="E11" s="14" t="s">
        <v>90</v>
      </c>
    </row>
    <row r="12" customFormat="false" ht="15" hidden="false" customHeight="false" outlineLevel="0" collapsed="false">
      <c r="A12" s="12" t="s">
        <v>91</v>
      </c>
      <c r="B12" s="16" t="n">
        <v>2</v>
      </c>
      <c r="C12" s="12" t="s">
        <v>89</v>
      </c>
      <c r="D12" s="4" t="s">
        <v>11</v>
      </c>
      <c r="E12" s="14" t="s">
        <v>90</v>
      </c>
    </row>
    <row r="13" customFormat="false" ht="15" hidden="false" customHeight="false" outlineLevel="0" collapsed="false">
      <c r="A13" s="12" t="s">
        <v>92</v>
      </c>
      <c r="B13" s="16" t="n">
        <v>1</v>
      </c>
      <c r="C13" s="12" t="s">
        <v>93</v>
      </c>
      <c r="D13" s="4" t="s">
        <v>11</v>
      </c>
      <c r="E13" s="14" t="s">
        <v>90</v>
      </c>
    </row>
    <row r="14" customFormat="false" ht="15" hidden="false" customHeight="false" outlineLevel="0" collapsed="false">
      <c r="A14" s="12" t="s">
        <v>94</v>
      </c>
      <c r="B14" s="16" t="n">
        <v>1</v>
      </c>
      <c r="C14" s="12" t="s">
        <v>93</v>
      </c>
      <c r="D14" s="4" t="s">
        <v>11</v>
      </c>
      <c r="E14" s="14" t="s">
        <v>90</v>
      </c>
    </row>
    <row r="15" customFormat="false" ht="15" hidden="false" customHeight="false" outlineLevel="0" collapsed="false">
      <c r="A15" s="12" t="s">
        <v>95</v>
      </c>
      <c r="B15" s="16" t="n">
        <v>18</v>
      </c>
      <c r="C15" s="12" t="s">
        <v>82</v>
      </c>
      <c r="D15" s="4" t="s">
        <v>11</v>
      </c>
      <c r="E15" s="14" t="s">
        <v>96</v>
      </c>
    </row>
    <row r="16" customFormat="false" ht="15" hidden="false" customHeight="false" outlineLevel="0" collapsed="false">
      <c r="A16" s="12" t="s">
        <v>97</v>
      </c>
      <c r="B16" s="16" t="n">
        <v>30</v>
      </c>
      <c r="C16" s="12" t="s">
        <v>82</v>
      </c>
      <c r="D16" s="4" t="s">
        <v>11</v>
      </c>
      <c r="E16" s="14" t="s">
        <v>98</v>
      </c>
    </row>
    <row r="17" customFormat="false" ht="15" hidden="false" customHeight="false" outlineLevel="0" collapsed="false">
      <c r="A17" s="12" t="s">
        <v>99</v>
      </c>
      <c r="B17" s="16" t="n">
        <v>10</v>
      </c>
      <c r="C17" s="12" t="s">
        <v>82</v>
      </c>
      <c r="D17" s="4" t="s">
        <v>11</v>
      </c>
      <c r="E17" s="14" t="s">
        <v>100</v>
      </c>
    </row>
    <row r="18" customFormat="false" ht="15" hidden="false" customHeight="false" outlineLevel="0" collapsed="false">
      <c r="A18" s="12" t="s">
        <v>101</v>
      </c>
      <c r="B18" s="16" t="n">
        <v>14</v>
      </c>
      <c r="C18" s="12" t="s">
        <v>82</v>
      </c>
      <c r="D18" s="4" t="s">
        <v>11</v>
      </c>
      <c r="E18" s="14" t="s">
        <v>100</v>
      </c>
    </row>
    <row r="19" customFormat="false" ht="15" hidden="false" customHeight="false" outlineLevel="0" collapsed="false">
      <c r="A19" s="12" t="s">
        <v>102</v>
      </c>
      <c r="B19" s="17" t="n">
        <v>0.5</v>
      </c>
      <c r="C19" s="12" t="s">
        <v>103</v>
      </c>
      <c r="D19" s="12" t="s">
        <v>14</v>
      </c>
      <c r="E19" s="14" t="s">
        <v>104</v>
      </c>
    </row>
    <row r="20" customFormat="false" ht="15" hidden="false" customHeight="false" outlineLevel="0" collapsed="false">
      <c r="A20" s="12" t="s">
        <v>105</v>
      </c>
      <c r="B20" s="16" t="n">
        <v>15</v>
      </c>
      <c r="C20" s="12" t="s">
        <v>82</v>
      </c>
      <c r="D20" s="4" t="s">
        <v>11</v>
      </c>
      <c r="E20" s="14" t="s">
        <v>106</v>
      </c>
    </row>
    <row r="21" customFormat="false" ht="15" hidden="false" customHeight="false" outlineLevel="0" collapsed="false">
      <c r="A21" s="11" t="s">
        <v>107</v>
      </c>
    </row>
    <row r="22" customFormat="false" ht="23.85" hidden="false" customHeight="false" outlineLevel="0" collapsed="false">
      <c r="A22" s="12" t="s">
        <v>108</v>
      </c>
      <c r="B22" s="17" t="n">
        <v>0.85</v>
      </c>
      <c r="C22" s="12" t="s">
        <v>109</v>
      </c>
      <c r="D22" s="12" t="s">
        <v>14</v>
      </c>
      <c r="E22" s="14" t="s">
        <v>110</v>
      </c>
    </row>
    <row r="23" customFormat="false" ht="23.85" hidden="false" customHeight="false" outlineLevel="0" collapsed="false">
      <c r="A23" s="12" t="s">
        <v>111</v>
      </c>
      <c r="B23" s="18" t="n">
        <v>10</v>
      </c>
      <c r="C23" s="12" t="s">
        <v>112</v>
      </c>
      <c r="D23" s="12" t="s">
        <v>14</v>
      </c>
      <c r="E23" s="14" t="s">
        <v>113</v>
      </c>
    </row>
    <row r="24" customFormat="false" ht="15" hidden="false" customHeight="false" outlineLevel="0" collapsed="false">
      <c r="A24" s="12" t="s">
        <v>114</v>
      </c>
      <c r="B24" s="18" t="n">
        <v>2</v>
      </c>
      <c r="C24" s="12" t="s">
        <v>115</v>
      </c>
      <c r="D24" s="12" t="s">
        <v>14</v>
      </c>
      <c r="E24" s="14" t="s">
        <v>116</v>
      </c>
    </row>
    <row r="25" customFormat="false" ht="15" hidden="false" customHeight="false" outlineLevel="0" collapsed="false">
      <c r="A25" s="12" t="s">
        <v>117</v>
      </c>
      <c r="B25" s="19" t="n">
        <v>17</v>
      </c>
      <c r="C25" s="12" t="s">
        <v>82</v>
      </c>
      <c r="D25" s="12" t="s">
        <v>118</v>
      </c>
      <c r="E25" s="14" t="s">
        <v>119</v>
      </c>
    </row>
    <row r="26" customFormat="false" ht="15" hidden="false" customHeight="false" outlineLevel="0" collapsed="false">
      <c r="A26" s="12" t="s">
        <v>120</v>
      </c>
      <c r="B26" s="18" t="n">
        <v>0.5</v>
      </c>
      <c r="C26" s="12" t="s">
        <v>82</v>
      </c>
      <c r="D26" s="12" t="s">
        <v>14</v>
      </c>
      <c r="E26" s="14" t="s">
        <v>121</v>
      </c>
    </row>
    <row r="27" customFormat="false" ht="15" hidden="false" customHeight="false" outlineLevel="0" collapsed="false">
      <c r="A27" s="12" t="s">
        <v>122</v>
      </c>
      <c r="B27" s="17" t="n">
        <v>0.6</v>
      </c>
      <c r="C27" s="12" t="s">
        <v>109</v>
      </c>
      <c r="D27" s="12" t="s">
        <v>14</v>
      </c>
      <c r="E27" s="14" t="s">
        <v>123</v>
      </c>
    </row>
    <row r="28" customFormat="false" ht="15" hidden="false" customHeight="false" outlineLevel="0" collapsed="false">
      <c r="A28" s="11" t="s">
        <v>124</v>
      </c>
    </row>
    <row r="29" customFormat="false" ht="15" hidden="false" customHeight="false" outlineLevel="0" collapsed="false">
      <c r="A29" s="12" t="s">
        <v>125</v>
      </c>
      <c r="B29" s="20" t="n">
        <v>0.85</v>
      </c>
      <c r="C29" s="12" t="s">
        <v>109</v>
      </c>
      <c r="D29" s="12" t="s">
        <v>126</v>
      </c>
      <c r="E29" s="14" t="s">
        <v>127</v>
      </c>
    </row>
    <row r="30" customFormat="false" ht="15" hidden="false" customHeight="false" outlineLevel="0" collapsed="false">
      <c r="A30" s="12" t="s">
        <v>128</v>
      </c>
      <c r="B30" s="16" t="n">
        <v>2</v>
      </c>
      <c r="C30" s="12" t="s">
        <v>82</v>
      </c>
      <c r="D30" s="12" t="s">
        <v>126</v>
      </c>
      <c r="E30" s="14" t="s">
        <v>129</v>
      </c>
    </row>
    <row r="31" customFormat="false" ht="15" hidden="false" customHeight="false" outlineLevel="0" collapsed="false">
      <c r="A31" s="11" t="s">
        <v>130</v>
      </c>
    </row>
    <row r="32" customFormat="false" ht="23.85" hidden="false" customHeight="false" outlineLevel="0" collapsed="false">
      <c r="A32" s="12" t="s">
        <v>131</v>
      </c>
      <c r="B32" s="21" t="n">
        <v>5</v>
      </c>
      <c r="C32" s="12" t="s">
        <v>132</v>
      </c>
      <c r="D32" s="12" t="s">
        <v>17</v>
      </c>
      <c r="E32" s="14" t="s">
        <v>133</v>
      </c>
    </row>
    <row r="33" customFormat="false" ht="15" hidden="false" customHeight="false" outlineLevel="0" collapsed="false">
      <c r="A33" s="12" t="s">
        <v>134</v>
      </c>
      <c r="B33" s="21" t="n">
        <v>30</v>
      </c>
      <c r="C33" s="12" t="s">
        <v>135</v>
      </c>
      <c r="D33" s="12" t="s">
        <v>17</v>
      </c>
      <c r="E33" s="14" t="s">
        <v>136</v>
      </c>
    </row>
    <row r="34" customFormat="false" ht="15" hidden="false" customHeight="false" outlineLevel="0" collapsed="false">
      <c r="A34" s="12" t="s">
        <v>137</v>
      </c>
      <c r="B34" s="21" t="n">
        <v>150</v>
      </c>
      <c r="C34" s="12" t="s">
        <v>138</v>
      </c>
      <c r="D34" s="12" t="s">
        <v>17</v>
      </c>
      <c r="E34" s="14" t="s">
        <v>139</v>
      </c>
    </row>
    <row r="35" customFormat="false" ht="15" hidden="false" customHeight="false" outlineLevel="0" collapsed="false">
      <c r="A35" s="12" t="s">
        <v>140</v>
      </c>
      <c r="B35" s="19" t="n">
        <v>2</v>
      </c>
      <c r="C35" s="12" t="s">
        <v>141</v>
      </c>
      <c r="D35" s="12" t="s">
        <v>14</v>
      </c>
      <c r="E35" s="14" t="s">
        <v>142</v>
      </c>
    </row>
    <row r="36" customFormat="false" ht="15" hidden="false" customHeight="false" outlineLevel="0" collapsed="false">
      <c r="A36" s="11" t="s">
        <v>143</v>
      </c>
    </row>
    <row r="37" customFormat="false" ht="15" hidden="false" customHeight="false" outlineLevel="0" collapsed="false">
      <c r="A37" s="12" t="s">
        <v>144</v>
      </c>
      <c r="B37" s="22" t="n">
        <f aca="false">B11*B23</f>
        <v>20</v>
      </c>
      <c r="C37" s="12" t="s">
        <v>112</v>
      </c>
    </row>
    <row r="38" customFormat="false" ht="15" hidden="false" customHeight="false" outlineLevel="0" collapsed="false">
      <c r="A38" s="12" t="s">
        <v>145</v>
      </c>
      <c r="B38" s="22" t="n">
        <f aca="false">B12*B23</f>
        <v>20</v>
      </c>
      <c r="C38" s="12" t="s">
        <v>112</v>
      </c>
    </row>
    <row r="39" customFormat="false" ht="15" hidden="false" customHeight="false" outlineLevel="0" collapsed="false">
      <c r="A39" s="12" t="s">
        <v>146</v>
      </c>
      <c r="B39" s="22" t="n">
        <f aca="false">Inputs!$B$9/Inputs!$B$15</f>
        <v>50</v>
      </c>
      <c r="C39" s="12" t="s">
        <v>112</v>
      </c>
    </row>
    <row r="40" customFormat="false" ht="15" hidden="false" customHeight="false" outlineLevel="0" collapsed="false">
      <c r="A40" s="12" t="s">
        <v>147</v>
      </c>
      <c r="B40" s="22" t="n">
        <f aca="false">Inputs!$B$10/Inputs!$B$15</f>
        <v>27.7777777777778</v>
      </c>
      <c r="C40" s="12" t="s">
        <v>112</v>
      </c>
    </row>
    <row r="41" customFormat="false" ht="15" hidden="false" customHeight="false" outlineLevel="0" collapsed="false">
      <c r="A41" s="12" t="s">
        <v>148</v>
      </c>
      <c r="B41" s="22" t="n">
        <f aca="false">Inputs!$B$13*60/Inputs!$B$24</f>
        <v>30</v>
      </c>
      <c r="C41" s="12" t="s">
        <v>112</v>
      </c>
    </row>
    <row r="42" customFormat="false" ht="15" hidden="false" customHeight="false" outlineLevel="0" collapsed="false">
      <c r="A42" s="12" t="s">
        <v>149</v>
      </c>
      <c r="B42" s="22" t="n">
        <f aca="false">Inputs!$B$14*60/Inputs!$B$24</f>
        <v>30</v>
      </c>
      <c r="C42" s="12" t="s">
        <v>112</v>
      </c>
    </row>
    <row r="44" customFormat="false" ht="15" hidden="false" customHeight="false" outlineLevel="0" collapsed="false">
      <c r="A44" s="4" t="s">
        <v>150</v>
      </c>
    </row>
    <row r="45" customFormat="false" ht="69.75" hidden="false" customHeight="true" outlineLevel="0" collapsed="false">
      <c r="A45" s="3" t="s">
        <v>151</v>
      </c>
      <c r="B45" s="3"/>
      <c r="C45" s="3"/>
      <c r="D45" s="3"/>
      <c r="E45" s="3"/>
    </row>
  </sheetData>
  <mergeCells count="1">
    <mergeCell ref="A45:E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5" min="2" style="0" width="34"/>
  </cols>
  <sheetData>
    <row r="1" customFormat="false" ht="17.35" hidden="false" customHeight="false" outlineLevel="0" collapsed="false">
      <c r="A1" s="1" t="s">
        <v>152</v>
      </c>
      <c r="B1" s="2"/>
      <c r="C1" s="2"/>
      <c r="D1" s="2"/>
      <c r="E1" s="2"/>
    </row>
    <row r="2" customFormat="false" ht="15" hidden="false" customHeight="false" outlineLevel="0" collapsed="false">
      <c r="A2" s="10" t="s">
        <v>153</v>
      </c>
    </row>
    <row r="4" customFormat="false" ht="15" hidden="false" customHeight="false" outlineLevel="0" collapsed="false">
      <c r="A4" s="4" t="s">
        <v>154</v>
      </c>
    </row>
    <row r="5" customFormat="false" ht="57.75" hidden="false" customHeight="true" outlineLevel="0" collapsed="false">
      <c r="A5" s="23" t="s">
        <v>155</v>
      </c>
      <c r="B5" s="23"/>
      <c r="C5" s="23"/>
      <c r="D5" s="23"/>
      <c r="E5" s="23"/>
    </row>
    <row r="7" customFormat="false" ht="15" hidden="false" customHeight="false" outlineLevel="0" collapsed="false">
      <c r="A7" s="4" t="s">
        <v>156</v>
      </c>
    </row>
    <row r="8" customFormat="false" ht="15" hidden="false" customHeight="false" outlineLevel="0" collapsed="false">
      <c r="A8" s="6" t="s">
        <v>157</v>
      </c>
      <c r="B8" s="6" t="s">
        <v>158</v>
      </c>
      <c r="C8" s="6" t="s">
        <v>159</v>
      </c>
    </row>
    <row r="9" customFormat="false" ht="23.85" hidden="false" customHeight="false" outlineLevel="0" collapsed="false">
      <c r="A9" s="7" t="s">
        <v>160</v>
      </c>
      <c r="B9" s="8" t="s">
        <v>161</v>
      </c>
      <c r="C9" s="8" t="s">
        <v>162</v>
      </c>
    </row>
    <row r="10" customFormat="false" ht="23.85" hidden="false" customHeight="false" outlineLevel="0" collapsed="false">
      <c r="A10" s="7" t="s">
        <v>163</v>
      </c>
      <c r="B10" s="8" t="s">
        <v>164</v>
      </c>
      <c r="C10" s="8" t="s">
        <v>165</v>
      </c>
    </row>
    <row r="11" customFormat="false" ht="23.85" hidden="false" customHeight="false" outlineLevel="0" collapsed="false">
      <c r="A11" s="7" t="s">
        <v>166</v>
      </c>
      <c r="B11" s="8" t="s">
        <v>167</v>
      </c>
      <c r="C11" s="8" t="s">
        <v>168</v>
      </c>
    </row>
    <row r="12" customFormat="false" ht="23.85" hidden="false" customHeight="false" outlineLevel="0" collapsed="false">
      <c r="A12" s="7" t="s">
        <v>169</v>
      </c>
      <c r="B12" s="8" t="s">
        <v>170</v>
      </c>
      <c r="C12" s="8" t="s">
        <v>171</v>
      </c>
    </row>
    <row r="13" customFormat="false" ht="23.85" hidden="false" customHeight="false" outlineLevel="0" collapsed="false">
      <c r="A13" s="7" t="s">
        <v>172</v>
      </c>
      <c r="B13" s="8" t="s">
        <v>173</v>
      </c>
      <c r="C13" s="8" t="s">
        <v>174</v>
      </c>
    </row>
    <row r="15" customFormat="false" ht="15" hidden="false" customHeight="false" outlineLevel="0" collapsed="false">
      <c r="A15" s="4" t="s">
        <v>175</v>
      </c>
    </row>
    <row r="16" customFormat="false" ht="15" hidden="false" customHeight="false" outlineLevel="0" collapsed="false">
      <c r="A16" s="6" t="s">
        <v>176</v>
      </c>
      <c r="B16" s="6" t="s">
        <v>177</v>
      </c>
      <c r="C16" s="6" t="s">
        <v>178</v>
      </c>
    </row>
    <row r="17" customFormat="false" ht="23.85" hidden="false" customHeight="false" outlineLevel="0" collapsed="false">
      <c r="A17" s="8" t="s">
        <v>179</v>
      </c>
      <c r="B17" s="8" t="s">
        <v>180</v>
      </c>
      <c r="C17" s="8" t="s">
        <v>181</v>
      </c>
    </row>
    <row r="18" customFormat="false" ht="23.85" hidden="false" customHeight="false" outlineLevel="0" collapsed="false">
      <c r="A18" s="8" t="s">
        <v>182</v>
      </c>
      <c r="B18" s="8" t="s">
        <v>183</v>
      </c>
      <c r="C18" s="8" t="s">
        <v>184</v>
      </c>
    </row>
    <row r="19" customFormat="false" ht="23.85" hidden="false" customHeight="false" outlineLevel="0" collapsed="false">
      <c r="A19" s="8" t="s">
        <v>185</v>
      </c>
      <c r="B19" s="8" t="s">
        <v>186</v>
      </c>
      <c r="C19" s="8" t="s">
        <v>187</v>
      </c>
    </row>
    <row r="20" customFormat="false" ht="46.25" hidden="false" customHeight="false" outlineLevel="0" collapsed="false">
      <c r="A20" s="8" t="s">
        <v>188</v>
      </c>
      <c r="B20" s="8" t="s">
        <v>189</v>
      </c>
      <c r="C20" s="8" t="s">
        <v>190</v>
      </c>
    </row>
    <row r="21" customFormat="false" ht="23.85" hidden="false" customHeight="false" outlineLevel="0" collapsed="false">
      <c r="A21" s="8" t="s">
        <v>191</v>
      </c>
      <c r="B21" s="8" t="s">
        <v>192</v>
      </c>
      <c r="C21" s="8" t="s">
        <v>193</v>
      </c>
    </row>
    <row r="23" customFormat="false" ht="15" hidden="false" customHeight="false" outlineLevel="0" collapsed="false">
      <c r="A23" s="4" t="s">
        <v>194</v>
      </c>
    </row>
    <row r="24" customFormat="false" ht="15" hidden="false" customHeight="false" outlineLevel="0" collapsed="false">
      <c r="A24" s="6" t="s">
        <v>195</v>
      </c>
      <c r="B24" s="6" t="s">
        <v>196</v>
      </c>
      <c r="C24" s="6" t="s">
        <v>126</v>
      </c>
      <c r="D24" s="6" t="s">
        <v>197</v>
      </c>
      <c r="E24" s="6" t="s">
        <v>198</v>
      </c>
    </row>
    <row r="25" customFormat="false" ht="39.75" hidden="false" customHeight="true" outlineLevel="0" collapsed="false">
      <c r="A25" s="8" t="s">
        <v>199</v>
      </c>
      <c r="B25" s="8" t="s">
        <v>200</v>
      </c>
      <c r="C25" s="8" t="s">
        <v>201</v>
      </c>
      <c r="D25" s="8" t="s">
        <v>202</v>
      </c>
      <c r="E25" s="8" t="s">
        <v>203</v>
      </c>
    </row>
    <row r="26" customFormat="false" ht="39.75" hidden="false" customHeight="true" outlineLevel="0" collapsed="false">
      <c r="A26" s="8" t="s">
        <v>204</v>
      </c>
      <c r="B26" s="8" t="s">
        <v>205</v>
      </c>
      <c r="C26" s="8" t="s">
        <v>206</v>
      </c>
      <c r="D26" s="8" t="s">
        <v>207</v>
      </c>
      <c r="E26" s="8" t="s">
        <v>208</v>
      </c>
    </row>
    <row r="27" customFormat="false" ht="39.75" hidden="false" customHeight="true" outlineLevel="0" collapsed="false">
      <c r="A27" s="8" t="s">
        <v>209</v>
      </c>
      <c r="B27" s="8" t="s">
        <v>210</v>
      </c>
      <c r="C27" s="8" t="s">
        <v>211</v>
      </c>
      <c r="D27" s="8" t="s">
        <v>212</v>
      </c>
      <c r="E27" s="8" t="s">
        <v>213</v>
      </c>
    </row>
    <row r="29" customFormat="false" ht="15" hidden="false" customHeight="false" outlineLevel="0" collapsed="false">
      <c r="A29" s="4" t="s">
        <v>214</v>
      </c>
    </row>
    <row r="30" customFormat="false" ht="15" hidden="false" customHeight="false" outlineLevel="0" collapsed="false">
      <c r="A30" s="6" t="s">
        <v>215</v>
      </c>
      <c r="B30" s="6" t="s">
        <v>216</v>
      </c>
      <c r="C30" s="6" t="s">
        <v>217</v>
      </c>
    </row>
    <row r="31" customFormat="false" ht="15" hidden="false" customHeight="false" outlineLevel="0" collapsed="false">
      <c r="A31" s="7" t="s">
        <v>218</v>
      </c>
      <c r="B31" s="8" t="s">
        <v>219</v>
      </c>
      <c r="C31" s="8" t="s">
        <v>220</v>
      </c>
    </row>
    <row r="32" customFormat="false" ht="15" hidden="false" customHeight="false" outlineLevel="0" collapsed="false">
      <c r="A32" s="7" t="s">
        <v>221</v>
      </c>
      <c r="B32" s="8" t="s">
        <v>222</v>
      </c>
      <c r="C32" s="8" t="s">
        <v>223</v>
      </c>
    </row>
    <row r="33" customFormat="false" ht="15" hidden="false" customHeight="false" outlineLevel="0" collapsed="false">
      <c r="A33" s="7" t="s">
        <v>224</v>
      </c>
      <c r="B33" s="8" t="s">
        <v>225</v>
      </c>
      <c r="C33" s="8" t="s">
        <v>226</v>
      </c>
    </row>
    <row r="34" customFormat="false" ht="23.85" hidden="false" customHeight="false" outlineLevel="0" collapsed="false">
      <c r="A34" s="7" t="s">
        <v>227</v>
      </c>
      <c r="B34" s="8" t="s">
        <v>228</v>
      </c>
      <c r="C34" s="8" t="s">
        <v>229</v>
      </c>
    </row>
    <row r="35" customFormat="false" ht="15" hidden="false" customHeight="false" outlineLevel="0" collapsed="false">
      <c r="A35" s="7" t="s">
        <v>230</v>
      </c>
      <c r="B35" s="8" t="s">
        <v>231</v>
      </c>
      <c r="C35" s="8" t="s">
        <v>232</v>
      </c>
    </row>
    <row r="36" customFormat="false" ht="15" hidden="false" customHeight="false" outlineLevel="0" collapsed="false">
      <c r="A36" s="7" t="s">
        <v>233</v>
      </c>
      <c r="B36" s="8" t="s">
        <v>234</v>
      </c>
      <c r="C36" s="8" t="s">
        <v>58</v>
      </c>
    </row>
  </sheetData>
  <mergeCells count="1">
    <mergeCell ref="A5:E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8"/>
    <col collapsed="false" customWidth="true" hidden="false" outlineLevel="0" max="3" min="3" style="0" width="52"/>
  </cols>
  <sheetData>
    <row r="1" customFormat="false" ht="17.35" hidden="false" customHeight="false" outlineLevel="0" collapsed="false">
      <c r="A1" s="1" t="s">
        <v>235</v>
      </c>
      <c r="B1" s="2"/>
      <c r="C1" s="2"/>
    </row>
    <row r="2" customFormat="false" ht="15" hidden="false" customHeight="false" outlineLevel="0" collapsed="false">
      <c r="A2" s="10" t="s">
        <v>236</v>
      </c>
    </row>
    <row r="4" customFormat="false" ht="15" hidden="false" customHeight="false" outlineLevel="0" collapsed="false">
      <c r="A4" s="6" t="s">
        <v>237</v>
      </c>
      <c r="B4" s="6" t="s">
        <v>238</v>
      </c>
      <c r="C4" s="6" t="s">
        <v>239</v>
      </c>
    </row>
    <row r="5" customFormat="false" ht="23.85" hidden="false" customHeight="false" outlineLevel="0" collapsed="false">
      <c r="A5" s="7" t="s">
        <v>240</v>
      </c>
      <c r="B5" s="8" t="s">
        <v>241</v>
      </c>
      <c r="C5" s="8" t="s">
        <v>242</v>
      </c>
    </row>
    <row r="6" customFormat="false" ht="23.85" hidden="false" customHeight="false" outlineLevel="0" collapsed="false">
      <c r="A6" s="7" t="s">
        <v>243</v>
      </c>
      <c r="B6" s="8" t="s">
        <v>244</v>
      </c>
      <c r="C6" s="8" t="s">
        <v>245</v>
      </c>
    </row>
    <row r="7" customFormat="false" ht="23.85" hidden="false" customHeight="false" outlineLevel="0" collapsed="false">
      <c r="A7" s="7" t="s">
        <v>246</v>
      </c>
      <c r="B7" s="8" t="s">
        <v>247</v>
      </c>
      <c r="C7" s="8" t="s">
        <v>248</v>
      </c>
    </row>
    <row r="8" customFormat="false" ht="23.85" hidden="false" customHeight="false" outlineLevel="0" collapsed="false">
      <c r="A8" s="7" t="s">
        <v>249</v>
      </c>
      <c r="B8" s="8" t="s">
        <v>250</v>
      </c>
      <c r="C8" s="8" t="s">
        <v>251</v>
      </c>
    </row>
    <row r="9" customFormat="false" ht="23.85" hidden="false" customHeight="false" outlineLevel="0" collapsed="false">
      <c r="A9" s="7" t="s">
        <v>252</v>
      </c>
      <c r="B9" s="8" t="s">
        <v>253</v>
      </c>
      <c r="C9" s="8" t="s">
        <v>254</v>
      </c>
    </row>
    <row r="10" customFormat="false" ht="15" hidden="false" customHeight="false" outlineLevel="0" collapsed="false">
      <c r="A10" s="7" t="s">
        <v>255</v>
      </c>
      <c r="B10" s="8" t="s">
        <v>256</v>
      </c>
      <c r="C10" s="8" t="s">
        <v>257</v>
      </c>
    </row>
    <row r="12" customFormat="false" ht="15" hidden="false" customHeight="false" outlineLevel="0" collapsed="false">
      <c r="A12" s="4" t="s">
        <v>258</v>
      </c>
    </row>
    <row r="13" customFormat="false" ht="15" hidden="false" customHeight="false" outlineLevel="0" collapsed="false">
      <c r="A13" s="6" t="s">
        <v>259</v>
      </c>
      <c r="B13" s="6" t="s">
        <v>260</v>
      </c>
      <c r="C13" s="6" t="s">
        <v>71</v>
      </c>
    </row>
    <row r="14" customFormat="false" ht="15" hidden="false" customHeight="false" outlineLevel="0" collapsed="false">
      <c r="A14" s="7" t="s">
        <v>261</v>
      </c>
      <c r="B14" s="8" t="s">
        <v>262</v>
      </c>
      <c r="C14" s="24" t="s">
        <v>263</v>
      </c>
    </row>
    <row r="15" customFormat="false" ht="15" hidden="false" customHeight="false" outlineLevel="0" collapsed="false">
      <c r="A15" s="7" t="s">
        <v>264</v>
      </c>
      <c r="B15" s="8" t="s">
        <v>265</v>
      </c>
      <c r="C15" s="24" t="s">
        <v>266</v>
      </c>
    </row>
    <row r="16" customFormat="false" ht="15" hidden="false" customHeight="false" outlineLevel="0" collapsed="false">
      <c r="A16" s="7" t="s">
        <v>267</v>
      </c>
      <c r="B16" s="8" t="s">
        <v>268</v>
      </c>
      <c r="C16" s="24" t="s">
        <v>269</v>
      </c>
    </row>
    <row r="17" customFormat="false" ht="23.85" hidden="false" customHeight="false" outlineLevel="0" collapsed="false">
      <c r="A17" s="7" t="s">
        <v>270</v>
      </c>
      <c r="B17" s="8" t="s">
        <v>271</v>
      </c>
      <c r="C17" s="24" t="s">
        <v>266</v>
      </c>
    </row>
    <row r="18" customFormat="false" ht="23.85" hidden="false" customHeight="false" outlineLevel="0" collapsed="false">
      <c r="A18" s="7" t="s">
        <v>272</v>
      </c>
      <c r="B18" s="8" t="s">
        <v>273</v>
      </c>
      <c r="C18" s="24" t="s">
        <v>274</v>
      </c>
    </row>
    <row r="19" customFormat="false" ht="15" hidden="false" customHeight="false" outlineLevel="0" collapsed="false">
      <c r="A19" s="7" t="s">
        <v>275</v>
      </c>
      <c r="B19" s="8" t="s">
        <v>276</v>
      </c>
      <c r="C19" s="24"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4" min="3" style="0" width="14"/>
    <col collapsed="false" customWidth="true" hidden="false" outlineLevel="0" max="5" min="5" style="0" width="30"/>
    <col collapsed="false" customWidth="true" hidden="false" outlineLevel="0" max="6" min="6" style="0" width="40"/>
  </cols>
  <sheetData>
    <row r="1" customFormat="false" ht="17.35" hidden="false" customHeight="false" outlineLevel="0" collapsed="false">
      <c r="A1" s="1" t="s">
        <v>277</v>
      </c>
      <c r="B1" s="2"/>
      <c r="C1" s="2"/>
      <c r="D1" s="2"/>
      <c r="E1" s="2"/>
      <c r="F1" s="2"/>
    </row>
    <row r="2" customFormat="false" ht="15" hidden="false" customHeight="false" outlineLevel="0" collapsed="false">
      <c r="A2" s="10" t="s">
        <v>278</v>
      </c>
    </row>
    <row r="4" customFormat="false" ht="15" hidden="false" customHeight="false" outlineLevel="0" collapsed="false">
      <c r="A4" s="4" t="s">
        <v>279</v>
      </c>
    </row>
    <row r="5" customFormat="false" ht="15" hidden="false" customHeight="false" outlineLevel="0" collapsed="false">
      <c r="A5" s="6" t="s">
        <v>126</v>
      </c>
      <c r="B5" s="6" t="s">
        <v>280</v>
      </c>
      <c r="C5" s="6" t="s">
        <v>281</v>
      </c>
      <c r="D5" s="6" t="s">
        <v>282</v>
      </c>
      <c r="E5" s="6" t="s">
        <v>283</v>
      </c>
    </row>
    <row r="6" customFormat="false" ht="23.85" hidden="false" customHeight="false" outlineLevel="0" collapsed="false">
      <c r="A6" s="7" t="s">
        <v>284</v>
      </c>
      <c r="B6" s="7" t="s">
        <v>285</v>
      </c>
      <c r="C6" s="16" t="n">
        <v>20</v>
      </c>
      <c r="D6" s="25" t="n">
        <f aca="false">C6/$C$10</f>
        <v>0.194174757281553</v>
      </c>
      <c r="E6" s="8" t="s">
        <v>286</v>
      </c>
    </row>
    <row r="7" customFormat="false" ht="23.85" hidden="false" customHeight="false" outlineLevel="0" collapsed="false">
      <c r="A7" s="7" t="s">
        <v>287</v>
      </c>
      <c r="B7" s="7" t="s">
        <v>288</v>
      </c>
      <c r="C7" s="16" t="n">
        <v>16</v>
      </c>
      <c r="D7" s="25" t="n">
        <f aca="false">C7/$C$10</f>
        <v>0.155339805825243</v>
      </c>
      <c r="E7" s="8" t="s">
        <v>289</v>
      </c>
    </row>
    <row r="8" customFormat="false" ht="23.85" hidden="false" customHeight="false" outlineLevel="0" collapsed="false">
      <c r="A8" s="7" t="s">
        <v>290</v>
      </c>
      <c r="B8" s="7" t="s">
        <v>291</v>
      </c>
      <c r="C8" s="16" t="n">
        <v>40</v>
      </c>
      <c r="D8" s="25" t="n">
        <f aca="false">C8/$C$10</f>
        <v>0.388349514563107</v>
      </c>
      <c r="E8" s="8" t="s">
        <v>292</v>
      </c>
    </row>
    <row r="9" customFormat="false" ht="23.85" hidden="false" customHeight="false" outlineLevel="0" collapsed="false">
      <c r="A9" s="7" t="s">
        <v>293</v>
      </c>
      <c r="B9" s="7" t="s">
        <v>294</v>
      </c>
      <c r="C9" s="16" t="n">
        <v>27</v>
      </c>
      <c r="D9" s="25" t="n">
        <f aca="false">C9/$C$10</f>
        <v>0.262135922330097</v>
      </c>
      <c r="E9" s="8" t="s">
        <v>295</v>
      </c>
    </row>
    <row r="10" customFormat="false" ht="15" hidden="false" customHeight="false" outlineLevel="0" collapsed="false">
      <c r="A10" s="7" t="s">
        <v>296</v>
      </c>
      <c r="B10" s="7"/>
      <c r="C10" s="26" t="n">
        <f aca="false">SUM(C6:C9)</f>
        <v>103</v>
      </c>
      <c r="D10" s="25" t="n">
        <f aca="false">SUM(D6:D9)</f>
        <v>1</v>
      </c>
      <c r="E10" s="8"/>
    </row>
    <row r="12" customFormat="false" ht="15" hidden="false" customHeight="false" outlineLevel="0" collapsed="false">
      <c r="A12" s="4" t="s">
        <v>297</v>
      </c>
    </row>
    <row r="13" customFormat="false" ht="15" hidden="false" customHeight="false" outlineLevel="0" collapsed="false">
      <c r="A13" s="12" t="s">
        <v>298</v>
      </c>
      <c r="C13" s="24" t="n">
        <v>3</v>
      </c>
    </row>
    <row r="15" customFormat="false" ht="15" hidden="false" customHeight="false" outlineLevel="0" collapsed="false">
      <c r="A15" s="6" t="s">
        <v>299</v>
      </c>
      <c r="B15" s="6" t="s">
        <v>300</v>
      </c>
      <c r="C15" s="6" t="s">
        <v>301</v>
      </c>
      <c r="D15" s="6" t="s">
        <v>302</v>
      </c>
      <c r="E15" s="6" t="s">
        <v>303</v>
      </c>
      <c r="F15" s="6" t="s">
        <v>304</v>
      </c>
    </row>
    <row r="16" customFormat="false" ht="23.85" hidden="false" customHeight="false" outlineLevel="0" collapsed="false">
      <c r="A16" s="7" t="s">
        <v>305</v>
      </c>
      <c r="B16" s="24" t="n">
        <v>4</v>
      </c>
      <c r="C16" s="24" t="n">
        <v>3</v>
      </c>
      <c r="D16" s="7" t="str">
        <f aca="false">IF(B16&gt;$C$13,IF(C16&gt;$C$13,"Major project","Quick win"),IF(C16&gt;$C$13,"Thankless task","Fill-in"))</f>
        <v>Quick win</v>
      </c>
      <c r="E16" s="8" t="s">
        <v>306</v>
      </c>
      <c r="F16" s="8" t="s">
        <v>307</v>
      </c>
    </row>
    <row r="17" customFormat="false" ht="15" hidden="false" customHeight="false" outlineLevel="0" collapsed="false">
      <c r="A17" s="7" t="s">
        <v>308</v>
      </c>
      <c r="B17" s="24" t="n">
        <v>5</v>
      </c>
      <c r="C17" s="24" t="n">
        <v>3</v>
      </c>
      <c r="D17" s="7" t="str">
        <f aca="false">IF(B17&gt;$C$13,IF(C17&gt;$C$13,"Major project","Quick win"),IF(C17&gt;$C$13,"Thankless task","Fill-in"))</f>
        <v>Quick win</v>
      </c>
      <c r="E17" s="8" t="s">
        <v>309</v>
      </c>
      <c r="F17" s="8" t="s">
        <v>310</v>
      </c>
    </row>
    <row r="18" customFormat="false" ht="15" hidden="false" customHeight="false" outlineLevel="0" collapsed="false">
      <c r="A18" s="7" t="s">
        <v>311</v>
      </c>
      <c r="B18" s="24" t="n">
        <v>4</v>
      </c>
      <c r="C18" s="24" t="n">
        <v>4</v>
      </c>
      <c r="D18" s="7" t="str">
        <f aca="false">IF(B18&gt;$C$13,IF(C18&gt;$C$13,"Major project","Quick win"),IF(C18&gt;$C$13,"Thankless task","Fill-in"))</f>
        <v>Major project</v>
      </c>
      <c r="E18" s="8" t="s">
        <v>312</v>
      </c>
      <c r="F18" s="8" t="s">
        <v>313</v>
      </c>
    </row>
    <row r="19" customFormat="false" ht="15" hidden="false" customHeight="false" outlineLevel="0" collapsed="false">
      <c r="A19" s="7" t="s">
        <v>314</v>
      </c>
      <c r="B19" s="24" t="n">
        <v>3</v>
      </c>
      <c r="C19" s="24" t="n">
        <v>1</v>
      </c>
      <c r="D19" s="7" t="str">
        <f aca="false">IF(B19&gt;$C$13,IF(C19&gt;$C$13,"Major project","Quick win"),IF(C19&gt;$C$13,"Thankless task","Fill-in"))</f>
        <v>Fill-in</v>
      </c>
      <c r="E19" s="8" t="s">
        <v>315</v>
      </c>
      <c r="F19" s="8" t="s">
        <v>316</v>
      </c>
    </row>
    <row r="20" customFormat="false" ht="15" hidden="false" customHeight="false" outlineLevel="0" collapsed="false">
      <c r="A20" s="7" t="s">
        <v>317</v>
      </c>
      <c r="B20" s="24" t="n">
        <v>4</v>
      </c>
      <c r="C20" s="24" t="n">
        <v>5</v>
      </c>
      <c r="D20" s="7" t="str">
        <f aca="false">IF(B20&gt;$C$13,IF(C20&gt;$C$13,"Major project","Quick win"),IF(C20&gt;$C$13,"Thankless task","Fill-in"))</f>
        <v>Major project</v>
      </c>
      <c r="E20" s="8" t="s">
        <v>318</v>
      </c>
      <c r="F20" s="8" t="s">
        <v>319</v>
      </c>
    </row>
    <row r="21" customFormat="false" ht="15" hidden="false" customHeight="false" outlineLevel="0" collapsed="false">
      <c r="A21" s="7" t="s">
        <v>320</v>
      </c>
      <c r="B21" s="24" t="n">
        <v>2</v>
      </c>
      <c r="C21" s="24" t="n">
        <v>2</v>
      </c>
      <c r="D21" s="7" t="str">
        <f aca="false">IF(B21&gt;$C$13,IF(C21&gt;$C$13,"Major project","Quick win"),IF(C21&gt;$C$13,"Thankless task","Fill-in"))</f>
        <v>Fill-in</v>
      </c>
      <c r="E21" s="8" t="s">
        <v>321</v>
      </c>
      <c r="F21" s="8" t="s">
        <v>322</v>
      </c>
    </row>
    <row r="23" customFormat="false" ht="15" hidden="false" customHeight="false" outlineLevel="0" collapsed="false">
      <c r="A23" s="4" t="s">
        <v>323</v>
      </c>
    </row>
    <row r="24" customFormat="false" ht="15" hidden="false" customHeight="false" outlineLevel="0" collapsed="false">
      <c r="A24" s="6" t="s">
        <v>324</v>
      </c>
      <c r="B24" s="6" t="s">
        <v>325</v>
      </c>
      <c r="C24" s="6" t="s">
        <v>326</v>
      </c>
      <c r="D24" s="6"/>
      <c r="E24" s="6" t="s">
        <v>327</v>
      </c>
      <c r="F24" s="6" t="s">
        <v>328</v>
      </c>
    </row>
    <row r="25" customFormat="false" ht="23.85" hidden="false" customHeight="false" outlineLevel="0" collapsed="false">
      <c r="A25" s="8" t="s">
        <v>329</v>
      </c>
      <c r="B25" s="8" t="s">
        <v>330</v>
      </c>
      <c r="C25" s="8" t="s">
        <v>331</v>
      </c>
      <c r="D25" s="7"/>
      <c r="E25" s="8" t="s">
        <v>332</v>
      </c>
      <c r="F25" s="8" t="s">
        <v>333</v>
      </c>
    </row>
    <row r="26" customFormat="false" ht="23.85" hidden="false" customHeight="false" outlineLevel="0" collapsed="false">
      <c r="A26" s="8" t="s">
        <v>334</v>
      </c>
      <c r="B26" s="8" t="s">
        <v>335</v>
      </c>
      <c r="C26" s="8" t="s">
        <v>336</v>
      </c>
      <c r="D26" s="7"/>
      <c r="E26" s="8" t="s">
        <v>337</v>
      </c>
      <c r="F26" s="8" t="s">
        <v>338</v>
      </c>
    </row>
    <row r="27" customFormat="false" ht="23.85" hidden="false" customHeight="false" outlineLevel="0" collapsed="false">
      <c r="A27" s="8" t="s">
        <v>339</v>
      </c>
      <c r="B27" s="8" t="s">
        <v>340</v>
      </c>
      <c r="C27" s="8" t="s">
        <v>341</v>
      </c>
      <c r="D27" s="7"/>
      <c r="E27" s="8" t="s">
        <v>342</v>
      </c>
      <c r="F27" s="8"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1" min="2" style="0" width="11"/>
  </cols>
  <sheetData>
    <row r="1" customFormat="false" ht="17.35" hidden="false" customHeight="false" outlineLevel="0" collapsed="false">
      <c r="A1" s="1" t="s">
        <v>344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customFormat="false" ht="15" hidden="false" customHeight="false" outlineLevel="0" collapsed="false">
      <c r="A2" s="10" t="s">
        <v>345</v>
      </c>
    </row>
    <row r="4" customFormat="false" ht="15" hidden="false" customHeight="false" outlineLevel="0" collapsed="false">
      <c r="A4" s="4" t="s">
        <v>346</v>
      </c>
      <c r="J4" s="4" t="s">
        <v>347</v>
      </c>
    </row>
    <row r="5" customFormat="false" ht="15" hidden="false" customHeight="false" outlineLevel="0" collapsed="false">
      <c r="A5" s="6" t="s">
        <v>348</v>
      </c>
      <c r="B5" s="6" t="s">
        <v>349</v>
      </c>
      <c r="C5" s="6" t="s">
        <v>350</v>
      </c>
      <c r="D5" s="6" t="s">
        <v>351</v>
      </c>
      <c r="E5" s="6" t="s">
        <v>352</v>
      </c>
      <c r="F5" s="6" t="s">
        <v>353</v>
      </c>
      <c r="G5" s="6" t="s">
        <v>354</v>
      </c>
      <c r="H5" s="6" t="s">
        <v>355</v>
      </c>
      <c r="J5" s="6" t="s">
        <v>356</v>
      </c>
      <c r="K5" s="27" t="n">
        <f aca="false">Inputs!$B$23*60</f>
        <v>600</v>
      </c>
    </row>
    <row r="6" customFormat="false" ht="15" hidden="false" customHeight="false" outlineLevel="0" collapsed="false">
      <c r="A6" s="16" t="n">
        <v>18</v>
      </c>
      <c r="B6" s="16" t="n">
        <v>24</v>
      </c>
      <c r="C6" s="25" t="n">
        <f aca="false">A6/B6</f>
        <v>0.75</v>
      </c>
      <c r="D6" s="28" t="n">
        <f aca="false">A6/(B6*(B6-A6))</f>
        <v>0.125</v>
      </c>
      <c r="E6" s="22" t="n">
        <f aca="false">D6*60</f>
        <v>7.5</v>
      </c>
      <c r="F6" s="22" t="n">
        <f aca="false">60/(B6-A6)</f>
        <v>10</v>
      </c>
      <c r="G6" s="29" t="n">
        <f aca="false">A6*D6</f>
        <v>2.25</v>
      </c>
      <c r="H6" s="29" t="n">
        <f aca="false">A6*F6/60</f>
        <v>3</v>
      </c>
      <c r="J6" s="6" t="s">
        <v>350</v>
      </c>
      <c r="K6" s="6" t="s">
        <v>348</v>
      </c>
      <c r="L6" s="6" t="s">
        <v>352</v>
      </c>
      <c r="M6" s="6" t="s">
        <v>354</v>
      </c>
    </row>
    <row r="7" customFormat="false" ht="15" hidden="false" customHeight="true" outlineLevel="0" collapsed="false">
      <c r="A7" s="3" t="s">
        <v>357</v>
      </c>
      <c r="B7" s="3"/>
      <c r="C7" s="3"/>
      <c r="D7" s="3"/>
      <c r="E7" s="3"/>
      <c r="F7" s="3"/>
      <c r="G7" s="3"/>
      <c r="H7" s="3"/>
      <c r="J7" s="20" t="n">
        <v>0.5</v>
      </c>
      <c r="K7" s="26" t="n">
        <f aca="false">J7*$K$5</f>
        <v>300</v>
      </c>
      <c r="L7" s="29" t="n">
        <f aca="false">K7/($K$5*($K$5-K7))*60</f>
        <v>0.1</v>
      </c>
      <c r="M7" s="22" t="n">
        <f aca="false">K7*L7/60</f>
        <v>0.5</v>
      </c>
    </row>
    <row r="8" customFormat="false" ht="15" hidden="false" customHeight="false" outlineLevel="0" collapsed="false">
      <c r="J8" s="20" t="n">
        <v>0.6</v>
      </c>
      <c r="K8" s="26" t="n">
        <f aca="false">J8*$K$5</f>
        <v>360</v>
      </c>
      <c r="L8" s="29" t="n">
        <f aca="false">K8/($K$5*($K$5-K8))*60</f>
        <v>0.15</v>
      </c>
      <c r="M8" s="22" t="n">
        <f aca="false">K8*L8/60</f>
        <v>0.9</v>
      </c>
    </row>
    <row r="9" customFormat="false" ht="15" hidden="false" customHeight="false" outlineLevel="0" collapsed="false">
      <c r="J9" s="20" t="n">
        <v>0.7</v>
      </c>
      <c r="K9" s="26" t="n">
        <f aca="false">J9*$K$5</f>
        <v>420</v>
      </c>
      <c r="L9" s="29" t="n">
        <f aca="false">K9/($K$5*($K$5-K9))*60</f>
        <v>0.233333333333333</v>
      </c>
      <c r="M9" s="22" t="n">
        <f aca="false">K9*L9/60</f>
        <v>1.63333333333333</v>
      </c>
    </row>
    <row r="10" customFormat="false" ht="15" hidden="false" customHeight="false" outlineLevel="0" collapsed="false">
      <c r="J10" s="20" t="n">
        <v>0.75</v>
      </c>
      <c r="K10" s="26" t="n">
        <f aca="false">J10*$K$5</f>
        <v>450</v>
      </c>
      <c r="L10" s="29" t="n">
        <f aca="false">K10/($K$5*($K$5-K10))*60</f>
        <v>0.3</v>
      </c>
      <c r="M10" s="22" t="n">
        <f aca="false">K10*L10/60</f>
        <v>2.25</v>
      </c>
    </row>
    <row r="11" customFormat="false" ht="15" hidden="false" customHeight="false" outlineLevel="0" collapsed="false">
      <c r="J11" s="20" t="n">
        <v>0.8</v>
      </c>
      <c r="K11" s="26" t="n">
        <f aca="false">J11*$K$5</f>
        <v>480</v>
      </c>
      <c r="L11" s="29" t="n">
        <f aca="false">K11/($K$5*($K$5-K11))*60</f>
        <v>0.4</v>
      </c>
      <c r="M11" s="22" t="n">
        <f aca="false">K11*L11/60</f>
        <v>3.2</v>
      </c>
    </row>
    <row r="12" customFormat="false" ht="15" hidden="false" customHeight="false" outlineLevel="0" collapsed="false">
      <c r="J12" s="20" t="n">
        <v>0.85</v>
      </c>
      <c r="K12" s="26" t="n">
        <f aca="false">J12*$K$5</f>
        <v>510</v>
      </c>
      <c r="L12" s="29" t="n">
        <f aca="false">K12/($K$5*($K$5-K12))*60</f>
        <v>0.566666666666667</v>
      </c>
      <c r="M12" s="22" t="n">
        <f aca="false">K12*L12/60</f>
        <v>4.81666666666667</v>
      </c>
    </row>
    <row r="13" customFormat="false" ht="15" hidden="false" customHeight="false" outlineLevel="0" collapsed="false">
      <c r="J13" s="20" t="n">
        <v>0.9</v>
      </c>
      <c r="K13" s="26" t="n">
        <f aca="false">J13*$K$5</f>
        <v>540</v>
      </c>
      <c r="L13" s="29" t="n">
        <f aca="false">K13/($K$5*($K$5-K13))*60</f>
        <v>0.9</v>
      </c>
      <c r="M13" s="22" t="n">
        <f aca="false">K13*L13/60</f>
        <v>8.1</v>
      </c>
    </row>
    <row r="14" customFormat="false" ht="15" hidden="false" customHeight="false" outlineLevel="0" collapsed="false">
      <c r="J14" s="20" t="n">
        <v>0.93</v>
      </c>
      <c r="K14" s="26" t="n">
        <f aca="false">J14*$K$5</f>
        <v>558</v>
      </c>
      <c r="L14" s="29" t="n">
        <f aca="false">K14/($K$5*($K$5-K14))*60</f>
        <v>1.32857142857143</v>
      </c>
      <c r="M14" s="22" t="n">
        <f aca="false">K14*L14/60</f>
        <v>12.3557142857143</v>
      </c>
    </row>
    <row r="15" customFormat="false" ht="15" hidden="false" customHeight="false" outlineLevel="0" collapsed="false">
      <c r="J15" s="20" t="n">
        <v>0.95</v>
      </c>
      <c r="K15" s="26" t="n">
        <f aca="false">J15*$K$5</f>
        <v>570</v>
      </c>
      <c r="L15" s="29" t="n">
        <f aca="false">K15/($K$5*($K$5-K15))*60</f>
        <v>1.9</v>
      </c>
      <c r="M15" s="22" t="n">
        <f aca="false">K15*L15/60</f>
        <v>18.05</v>
      </c>
    </row>
    <row r="16" customFormat="false" ht="15" hidden="false" customHeight="false" outlineLevel="0" collapsed="false">
      <c r="J16" s="20" t="n">
        <v>0.96</v>
      </c>
      <c r="K16" s="26" t="n">
        <f aca="false">J16*$K$5</f>
        <v>576</v>
      </c>
      <c r="L16" s="29" t="n">
        <f aca="false">K16/($K$5*($K$5-K16))*60</f>
        <v>2.4</v>
      </c>
      <c r="M16" s="22" t="n">
        <f aca="false">K16*L16/60</f>
        <v>23.04</v>
      </c>
    </row>
    <row r="17" customFormat="false" ht="15" hidden="false" customHeight="false" outlineLevel="0" collapsed="false">
      <c r="J17" s="20" t="n">
        <v>0.97</v>
      </c>
      <c r="K17" s="26" t="n">
        <f aca="false">J17*$K$5</f>
        <v>582</v>
      </c>
      <c r="L17" s="29" t="n">
        <f aca="false">K17/($K$5*($K$5-K17))*60</f>
        <v>3.23333333333333</v>
      </c>
      <c r="M17" s="22" t="n">
        <f aca="false">K17*L17/60</f>
        <v>31.3633333333333</v>
      </c>
    </row>
    <row r="18" customFormat="false" ht="15" hidden="false" customHeight="false" outlineLevel="0" collapsed="false">
      <c r="J18" s="20" t="n">
        <v>0.98</v>
      </c>
      <c r="K18" s="26" t="n">
        <f aca="false">J18*$K$5</f>
        <v>588</v>
      </c>
      <c r="L18" s="29" t="n">
        <f aca="false">K18/($K$5*($K$5-K18))*60</f>
        <v>4.9</v>
      </c>
      <c r="M18" s="22" t="n">
        <f aca="false">K18*L18/60</f>
        <v>48.02</v>
      </c>
    </row>
    <row r="22" customFormat="false" ht="15" hidden="false" customHeight="false" outlineLevel="0" collapsed="false">
      <c r="A22" s="4" t="s">
        <v>358</v>
      </c>
    </row>
    <row r="23" customFormat="false" ht="45.75" hidden="false" customHeight="true" outlineLevel="0" collapsed="false">
      <c r="A23" s="3" t="s">
        <v>359</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5" customFormat="false" ht="15" hidden="false" customHeight="true" outlineLevel="0" collapsed="false">
      <c r="A25" s="12" t="s">
        <v>360</v>
      </c>
      <c r="E25" s="30" t="n">
        <f aca="false">Inputs!$B$37/(Inputs!$B$37+Inputs!$B$38)</f>
        <v>0.5</v>
      </c>
      <c r="F25" s="3" t="s">
        <v>361</v>
      </c>
      <c r="G25" s="3"/>
      <c r="H25" s="3"/>
      <c r="I25" s="3"/>
      <c r="J25" s="3"/>
      <c r="K25" s="3"/>
      <c r="L25" s="3"/>
      <c r="M25" s="3"/>
      <c r="N25" s="3"/>
    </row>
    <row r="26" customFormat="false" ht="15" hidden="false" customHeight="true" outlineLevel="0" collapsed="false">
      <c r="A26" s="12" t="s">
        <v>362</v>
      </c>
      <c r="E26" s="30" t="n">
        <f aca="false">Inputs!$B$22+Inputs!$B$27*(E25-Inputs!$B$22)</f>
        <v>0.64</v>
      </c>
      <c r="F26" s="3" t="s">
        <v>363</v>
      </c>
      <c r="G26" s="3"/>
      <c r="H26" s="3"/>
      <c r="I26" s="3"/>
      <c r="J26" s="3"/>
      <c r="K26" s="3"/>
      <c r="L26" s="3"/>
      <c r="M26" s="3"/>
      <c r="N26" s="3"/>
    </row>
    <row r="28" customFormat="false" ht="15" hidden="false" customHeight="true" outlineLevel="0" collapsed="false">
      <c r="D28" s="31" t="s">
        <v>364</v>
      </c>
      <c r="E28" s="31"/>
      <c r="F28" s="31"/>
      <c r="G28" s="31"/>
      <c r="H28" s="31"/>
      <c r="I28" s="31"/>
      <c r="J28" s="31"/>
      <c r="K28" s="31"/>
      <c r="L28" s="31" t="s">
        <v>365</v>
      </c>
      <c r="M28" s="31"/>
      <c r="N28" s="31"/>
      <c r="O28" s="31"/>
      <c r="P28" s="31"/>
      <c r="Q28" s="31"/>
      <c r="R28" s="31"/>
      <c r="S28" s="31"/>
      <c r="T28" s="31" t="s">
        <v>366</v>
      </c>
      <c r="U28" s="31"/>
      <c r="V28" s="31"/>
      <c r="W28" s="31"/>
      <c r="X28" s="31"/>
      <c r="Y28" s="31"/>
      <c r="Z28" s="31"/>
      <c r="AA28" s="31"/>
      <c r="AB28" s="31" t="s">
        <v>367</v>
      </c>
      <c r="AC28" s="31"/>
      <c r="AD28" s="31"/>
      <c r="AE28" s="31"/>
      <c r="AF28" s="31"/>
      <c r="AG28" s="31"/>
      <c r="AH28" s="31"/>
      <c r="AI28" s="31"/>
    </row>
    <row r="29" customFormat="false" ht="30" hidden="false" customHeight="true" outlineLevel="0" collapsed="false">
      <c r="A29" s="6" t="s">
        <v>368</v>
      </c>
      <c r="B29" s="6" t="s">
        <v>369</v>
      </c>
      <c r="C29" s="6" t="s">
        <v>370</v>
      </c>
      <c r="D29" s="6" t="s">
        <v>371</v>
      </c>
      <c r="E29" s="6" t="s">
        <v>372</v>
      </c>
      <c r="F29" s="6" t="s">
        <v>350</v>
      </c>
      <c r="G29" s="6" t="s">
        <v>373</v>
      </c>
      <c r="H29" s="6" t="s">
        <v>374</v>
      </c>
      <c r="I29" s="6" t="s">
        <v>375</v>
      </c>
      <c r="J29" s="6" t="s">
        <v>376</v>
      </c>
      <c r="K29" s="6" t="s">
        <v>377</v>
      </c>
      <c r="L29" s="6" t="s">
        <v>371</v>
      </c>
      <c r="M29" s="6" t="s">
        <v>372</v>
      </c>
      <c r="N29" s="6" t="s">
        <v>350</v>
      </c>
      <c r="O29" s="6" t="s">
        <v>373</v>
      </c>
      <c r="P29" s="6" t="s">
        <v>374</v>
      </c>
      <c r="Q29" s="6" t="s">
        <v>375</v>
      </c>
      <c r="R29" s="6" t="s">
        <v>376</v>
      </c>
      <c r="S29" s="6" t="s">
        <v>377</v>
      </c>
      <c r="T29" s="6" t="s">
        <v>371</v>
      </c>
      <c r="U29" s="6" t="s">
        <v>372</v>
      </c>
      <c r="V29" s="6" t="s">
        <v>350</v>
      </c>
      <c r="W29" s="6" t="s">
        <v>373</v>
      </c>
      <c r="X29" s="6" t="s">
        <v>374</v>
      </c>
      <c r="Y29" s="6" t="s">
        <v>375</v>
      </c>
      <c r="Z29" s="6" t="s">
        <v>376</v>
      </c>
      <c r="AA29" s="6" t="s">
        <v>377</v>
      </c>
      <c r="AB29" s="6" t="s">
        <v>371</v>
      </c>
      <c r="AC29" s="6" t="s">
        <v>372</v>
      </c>
      <c r="AD29" s="6" t="s">
        <v>350</v>
      </c>
      <c r="AE29" s="6" t="s">
        <v>373</v>
      </c>
      <c r="AF29" s="6" t="s">
        <v>374</v>
      </c>
      <c r="AG29" s="6" t="s">
        <v>375</v>
      </c>
      <c r="AH29" s="6" t="s">
        <v>376</v>
      </c>
      <c r="AI29" s="6" t="s">
        <v>377</v>
      </c>
    </row>
    <row r="30" customFormat="false" ht="15" hidden="false" customHeight="false" outlineLevel="0" collapsed="false">
      <c r="A30" s="12" t="s">
        <v>78</v>
      </c>
      <c r="B30" s="16" t="n">
        <v>13</v>
      </c>
      <c r="C30" s="22" t="n">
        <f aca="false">B30/10</f>
        <v>1.3</v>
      </c>
      <c r="D30" s="32" t="n">
        <f aca="false">$C30*Inputs!$B$22</f>
        <v>1.105</v>
      </c>
      <c r="E30" s="33" t="n">
        <f aca="false">D30/Inputs!$B$41</f>
        <v>0.0368333333333333</v>
      </c>
      <c r="F30" s="33" t="n">
        <f aca="false">D30/(Inputs!$B$11*Inputs!$B$23)</f>
        <v>0.05525</v>
      </c>
      <c r="G30" s="34" t="n">
        <f aca="false">IF(F30&lt;1,((D30/Inputs!$B$23)^Inputs!$B$11/FACT(Inputs!$B$11)*Inputs!$B$11/(Inputs!$B$11-(D30/Inputs!$B$23)))/(SUMPRODUCT(--({0,1,2,3,4,5,6,7,8,9}&lt;Inputs!$B$11),(D30/Inputs!$B$23)^{0,1,2,3,4,5,6,7,8,9}/FACT({0,1,2,3,4,5,6,7,8,9}))+((D30/Inputs!$B$23)^Inputs!$B$11/FACT(Inputs!$B$11)*Inputs!$B$11/(Inputs!$B$11-(D30/Inputs!$B$23)))),1)</f>
        <v>0.00578547737502961</v>
      </c>
      <c r="H30" s="34" t="n">
        <f aca="false">IF(F30&lt;1,G30/(Inputs!$B$11*Inputs!$B$23-D30),0)</f>
        <v>0.000306190916910803</v>
      </c>
      <c r="I30" s="27" t="n">
        <f aca="false">MAX(0,0+(D30-Inputs!$B$11*Inputs!$B$23)*10)</f>
        <v>0</v>
      </c>
      <c r="J30" s="32" t="n">
        <f aca="false">I30/(Inputs!$B$11*Inputs!$B$23)+H30</f>
        <v>0.000306190916910803</v>
      </c>
      <c r="K30" s="27" t="n">
        <f aca="false">D30*(J30+1/Inputs!$B$23+Inputs!$B$25)</f>
        <v>18.8958383409632</v>
      </c>
      <c r="L30" s="32" t="n">
        <f aca="false">$C30*(1-Inputs!$B$22)</f>
        <v>0.195</v>
      </c>
      <c r="M30" s="33" t="n">
        <f aca="false">L30/Inputs!$B$42</f>
        <v>0.0065</v>
      </c>
      <c r="N30" s="33" t="n">
        <f aca="false">L30/(Inputs!$B$12*Inputs!$B$23)</f>
        <v>0.00975</v>
      </c>
      <c r="O30" s="34" t="n">
        <f aca="false">IF(N30&lt;1,((L30/Inputs!$B$23)^Inputs!$B$12/FACT(Inputs!$B$12)*Inputs!$B$12/(Inputs!$B$12-(L30/Inputs!$B$23)))/(SUMPRODUCT(--({0,1,2,3,4,5,6,7,8,9}&lt;Inputs!$B$12),(L30/Inputs!$B$23)^{0,1,2,3,4,5,6,7,8,9}/FACT({0,1,2,3,4,5,6,7,8,9}))+((L30/Inputs!$B$23)^Inputs!$B$12/FACT(Inputs!$B$12)*Inputs!$B$12/(Inputs!$B$12-(L30/Inputs!$B$23)))),1)</f>
        <v>0.00018828918049022</v>
      </c>
      <c r="P30" s="34" t="n">
        <f aca="false">IF(N30&lt;1,O30/(Inputs!$B$12*Inputs!$B$23-L30),0)</f>
        <v>9.50715377380563E-006</v>
      </c>
      <c r="Q30" s="27" t="n">
        <f aca="false">MAX(0,0+(L30-Inputs!$B$12*Inputs!$B$23)*10)</f>
        <v>0</v>
      </c>
      <c r="R30" s="32" t="n">
        <f aca="false">Q30/(Inputs!$B$12*Inputs!$B$23)+P30</f>
        <v>9.50715377380563E-006</v>
      </c>
      <c r="S30" s="27" t="n">
        <f aca="false">L30*(R30+1/Inputs!$B$23+Inputs!$B$25)</f>
        <v>3.33450185389499</v>
      </c>
      <c r="T30" s="32" t="n">
        <f aca="false">$C30*$E$26</f>
        <v>0.832</v>
      </c>
      <c r="U30" s="33" t="n">
        <f aca="false">T30/Inputs!$B$41</f>
        <v>0.0277333333333333</v>
      </c>
      <c r="V30" s="33" t="n">
        <f aca="false">T30/(Inputs!$B$11*Inputs!$B$23)</f>
        <v>0.0416</v>
      </c>
      <c r="W30" s="34" t="n">
        <f aca="false">IF(V30&lt;1,((T30/Inputs!$B$23)^Inputs!$B$11/FACT(Inputs!$B$11)*Inputs!$B$11/(Inputs!$B$11-(T30/Inputs!$B$23)))/(SUMPRODUCT(--({0,1,2,3,4,5,6,7,8,9}&lt;Inputs!$B$11),(T30/Inputs!$B$23)^{0,1,2,3,4,5,6,7,8,9}/FACT({0,1,2,3,4,5,6,7,8,9}))+((T30/Inputs!$B$23)^Inputs!$B$11/FACT(Inputs!$B$11)*Inputs!$B$11/(Inputs!$B$11-(T30/Inputs!$B$23)))),1)</f>
        <v>0.00332288786482335</v>
      </c>
      <c r="X30" s="34" t="n">
        <f aca="false">IF(V30&lt;1,W30/(Inputs!$B$11*Inputs!$B$23-T30),0)</f>
        <v>0.00017335600296449</v>
      </c>
      <c r="Y30" s="27" t="n">
        <f aca="false">MAX(0,0+(T30-Inputs!$B$11*Inputs!$B$23)*10)</f>
        <v>0</v>
      </c>
      <c r="Z30" s="32" t="n">
        <f aca="false">Y30/(Inputs!$B$11*Inputs!$B$23)+X30</f>
        <v>0.00017335600296449</v>
      </c>
      <c r="AA30" s="27" t="n">
        <f aca="false">T30*(Z30+1/Inputs!$B$23+Inputs!$B$25)</f>
        <v>14.2273442321945</v>
      </c>
      <c r="AB30" s="32" t="n">
        <f aca="false">$C30*(1-$E$26)</f>
        <v>0.468</v>
      </c>
      <c r="AC30" s="33" t="n">
        <f aca="false">AB30/Inputs!$B$42</f>
        <v>0.0156</v>
      </c>
      <c r="AD30" s="33" t="n">
        <f aca="false">AB30/(Inputs!$B$12*Inputs!$B$23)</f>
        <v>0.0234</v>
      </c>
      <c r="AE30" s="34" t="n">
        <f aca="false">IF(AD30&lt;1,((AB30/Inputs!$B$23)^Inputs!$B$12/FACT(Inputs!$B$12)*Inputs!$B$12/(Inputs!$B$12-(AB30/Inputs!$B$23)))/(SUMPRODUCT(--({0,1,2,3,4,5,6,7,8,9}&lt;Inputs!$B$12),(AB30/Inputs!$B$23)^{0,1,2,3,4,5,6,7,8,9}/FACT({0,1,2,3,4,5,6,7,8,9}))+((AB30/Inputs!$B$23)^Inputs!$B$12/FACT(Inputs!$B$12)*Inputs!$B$12/(Inputs!$B$12-(AB30/Inputs!$B$23)))),1)</f>
        <v>0.00107008012507328</v>
      </c>
      <c r="AF30" s="34" t="n">
        <f aca="false">IF(AD30&lt;1,AE30/(Inputs!$B$12*Inputs!$B$23-AB30),0)</f>
        <v>5.47859986214051E-005</v>
      </c>
      <c r="AG30" s="27" t="n">
        <f aca="false">MAX(0,0+(AB30-Inputs!$B$12*Inputs!$B$23)*10)</f>
        <v>0</v>
      </c>
      <c r="AH30" s="32" t="n">
        <f aca="false">AG30/(Inputs!$B$12*Inputs!$B$23)+AF30</f>
        <v>5.47859986214051E-005</v>
      </c>
      <c r="AI30" s="27" t="n">
        <f aca="false">AB30*(AH30+1/Inputs!$B$23+Inputs!$B$25)</f>
        <v>8.00282563984736</v>
      </c>
    </row>
    <row r="31" customFormat="false" ht="15" hidden="false" customHeight="false" outlineLevel="0" collapsed="false">
      <c r="A31" s="12" t="s">
        <v>378</v>
      </c>
      <c r="B31" s="16" t="n">
        <v>25</v>
      </c>
      <c r="C31" s="22" t="n">
        <f aca="false">B31/10</f>
        <v>2.5</v>
      </c>
      <c r="D31" s="32" t="n">
        <f aca="false">$C31*Inputs!$B$22</f>
        <v>2.125</v>
      </c>
      <c r="E31" s="33" t="n">
        <f aca="false">D31/Inputs!$B$41</f>
        <v>0.0708333333333333</v>
      </c>
      <c r="F31" s="33" t="n">
        <f aca="false">D31/(Inputs!$B$11*Inputs!$B$23)</f>
        <v>0.10625</v>
      </c>
      <c r="G31" s="34" t="n">
        <f aca="false">IF(F31&lt;1,((D31/Inputs!$B$23)^Inputs!$B$11/FACT(Inputs!$B$11)*Inputs!$B$11/(Inputs!$B$11-(D31/Inputs!$B$23)))/(SUMPRODUCT(--({0,1,2,3,4,5,6,7,8,9}&lt;Inputs!$B$11),(D31/Inputs!$B$23)^{0,1,2,3,4,5,6,7,8,9}/FACT({0,1,2,3,4,5,6,7,8,9}))+((D31/Inputs!$B$23)^Inputs!$B$11/FACT(Inputs!$B$11)*Inputs!$B$11/(Inputs!$B$11-(D31/Inputs!$B$23)))),1)</f>
        <v>0.020409604519774</v>
      </c>
      <c r="H31" s="34" t="n">
        <f aca="false">IF(F31&lt;1,G31/(Inputs!$B$11*Inputs!$B$23-D31),0)</f>
        <v>0.00114179605705029</v>
      </c>
      <c r="I31" s="27" t="n">
        <f aca="false">MAX(0,I30+(D31-Inputs!$B$11*Inputs!$B$23)*10)</f>
        <v>0</v>
      </c>
      <c r="J31" s="32" t="n">
        <f aca="false">I31/(Inputs!$B$11*Inputs!$B$23)+H31</f>
        <v>0.00114179605705029</v>
      </c>
      <c r="K31" s="27" t="n">
        <f aca="false">D31*(J31+1/Inputs!$B$23+Inputs!$B$25)</f>
        <v>36.3399263166212</v>
      </c>
      <c r="L31" s="32" t="n">
        <f aca="false">$C31*(1-Inputs!$B$22)</f>
        <v>0.375</v>
      </c>
      <c r="M31" s="33" t="n">
        <f aca="false">L31/Inputs!$B$42</f>
        <v>0.0125</v>
      </c>
      <c r="N31" s="33" t="n">
        <f aca="false">L31/(Inputs!$B$12*Inputs!$B$23)</f>
        <v>0.01875</v>
      </c>
      <c r="O31" s="34" t="n">
        <f aca="false">IF(N31&lt;1,((L31/Inputs!$B$23)^Inputs!$B$12/FACT(Inputs!$B$12)*Inputs!$B$12/(Inputs!$B$12-(L31/Inputs!$B$23)))/(SUMPRODUCT(--({0,1,2,3,4,5,6,7,8,9}&lt;Inputs!$B$12),(L31/Inputs!$B$23)^{0,1,2,3,4,5,6,7,8,9}/FACT({0,1,2,3,4,5,6,7,8,9}))+((L31/Inputs!$B$23)^Inputs!$B$12/FACT(Inputs!$B$12)*Inputs!$B$12/(Inputs!$B$12-(L31/Inputs!$B$23)))),1)</f>
        <v>0.000690184049079755</v>
      </c>
      <c r="P31" s="34" t="n">
        <f aca="false">IF(N31&lt;1,O31/(Inputs!$B$12*Inputs!$B$23-L31),0)</f>
        <v>3.51686139658474E-005</v>
      </c>
      <c r="Q31" s="27" t="n">
        <f aca="false">MAX(0,Q30+(L31-Inputs!$B$12*Inputs!$B$23)*10)</f>
        <v>0</v>
      </c>
      <c r="R31" s="32" t="n">
        <f aca="false">Q31/(Inputs!$B$12*Inputs!$B$23)+P31</f>
        <v>3.51686139658474E-005</v>
      </c>
      <c r="S31" s="27" t="n">
        <f aca="false">L31*(R31+1/Inputs!$B$23+Inputs!$B$25)</f>
        <v>6.41251318823024</v>
      </c>
      <c r="T31" s="32" t="n">
        <f aca="false">$C31*$E$26</f>
        <v>1.6</v>
      </c>
      <c r="U31" s="33" t="n">
        <f aca="false">T31/Inputs!$B$41</f>
        <v>0.0533333333333333</v>
      </c>
      <c r="V31" s="33" t="n">
        <f aca="false">T31/(Inputs!$B$11*Inputs!$B$23)</f>
        <v>0.08</v>
      </c>
      <c r="W31" s="34" t="n">
        <f aca="false">IF(V31&lt;1,((T31/Inputs!$B$23)^Inputs!$B$11/FACT(Inputs!$B$11)*Inputs!$B$11/(Inputs!$B$11-(T31/Inputs!$B$23)))/(SUMPRODUCT(--({0,1,2,3,4,5,6,7,8,9}&lt;Inputs!$B$11),(T31/Inputs!$B$23)^{0,1,2,3,4,5,6,7,8,9}/FACT({0,1,2,3,4,5,6,7,8,9}))+((T31/Inputs!$B$23)^Inputs!$B$11/FACT(Inputs!$B$11)*Inputs!$B$11/(Inputs!$B$11-(T31/Inputs!$B$23)))),1)</f>
        <v>0.0118518518518519</v>
      </c>
      <c r="X31" s="34" t="n">
        <f aca="false">IF(V31&lt;1,W31/(Inputs!$B$11*Inputs!$B$23-T31),0)</f>
        <v>0.000644122383252818</v>
      </c>
      <c r="Y31" s="27" t="n">
        <f aca="false">MAX(0,Y30+(T31-Inputs!$B$11*Inputs!$B$23)*10)</f>
        <v>0</v>
      </c>
      <c r="Z31" s="32" t="n">
        <f aca="false">Y31/(Inputs!$B$11*Inputs!$B$23)+X31</f>
        <v>0.000644122383252818</v>
      </c>
      <c r="AA31" s="27" t="n">
        <f aca="false">T31*(Z31+1/Inputs!$B$23+Inputs!$B$25)</f>
        <v>27.3610305958132</v>
      </c>
      <c r="AB31" s="32" t="n">
        <f aca="false">$C31*(1-$E$26)</f>
        <v>0.9</v>
      </c>
      <c r="AC31" s="33" t="n">
        <f aca="false">AB31/Inputs!$B$42</f>
        <v>0.03</v>
      </c>
      <c r="AD31" s="33" t="n">
        <f aca="false">AB31/(Inputs!$B$12*Inputs!$B$23)</f>
        <v>0.045</v>
      </c>
      <c r="AE31" s="34" t="n">
        <f aca="false">IF(AD31&lt;1,((AB31/Inputs!$B$23)^Inputs!$B$12/FACT(Inputs!$B$12)*Inputs!$B$12/(Inputs!$B$12-(AB31/Inputs!$B$23)))/(SUMPRODUCT(--({0,1,2,3,4,5,6,7,8,9}&lt;Inputs!$B$12),(AB31/Inputs!$B$23)^{0,1,2,3,4,5,6,7,8,9}/FACT({0,1,2,3,4,5,6,7,8,9}))+((AB31/Inputs!$B$23)^Inputs!$B$12/FACT(Inputs!$B$12)*Inputs!$B$12/(Inputs!$B$12-(AB31/Inputs!$B$23)))),1)</f>
        <v>0.0038755980861244</v>
      </c>
      <c r="AF31" s="34" t="n">
        <f aca="false">IF(AD31&lt;1,AE31/(Inputs!$B$12*Inputs!$B$23-AB31),0)</f>
        <v>0.000202910894561487</v>
      </c>
      <c r="AG31" s="27" t="n">
        <f aca="false">MAX(0,AG30+(AB31-Inputs!$B$12*Inputs!$B$23)*10)</f>
        <v>0</v>
      </c>
      <c r="AH31" s="32" t="n">
        <f aca="false">AG31/(Inputs!$B$12*Inputs!$B$23)+AF31</f>
        <v>0.000202910894561487</v>
      </c>
      <c r="AI31" s="27" t="n">
        <f aca="false">AB31*(AH31+1/Inputs!$B$23+Inputs!$B$25)</f>
        <v>15.3901826198051</v>
      </c>
    </row>
    <row r="32" customFormat="false" ht="15" hidden="false" customHeight="false" outlineLevel="0" collapsed="false">
      <c r="A32" s="12" t="s">
        <v>379</v>
      </c>
      <c r="B32" s="16" t="n">
        <v>47</v>
      </c>
      <c r="C32" s="22" t="n">
        <f aca="false">B32/10</f>
        <v>4.7</v>
      </c>
      <c r="D32" s="32" t="n">
        <f aca="false">$C32*Inputs!$B$22</f>
        <v>3.995</v>
      </c>
      <c r="E32" s="33" t="n">
        <f aca="false">D32/Inputs!$B$41</f>
        <v>0.133166666666667</v>
      </c>
      <c r="F32" s="33" t="n">
        <f aca="false">D32/(Inputs!$B$11*Inputs!$B$23)</f>
        <v>0.19975</v>
      </c>
      <c r="G32" s="34" t="n">
        <f aca="false">IF(F32&lt;1,((D32/Inputs!$B$23)^Inputs!$B$11/FACT(Inputs!$B$11)*Inputs!$B$11/(Inputs!$B$11-(D32/Inputs!$B$23)))/(SUMPRODUCT(--({0,1,2,3,4,5,6,7,8,9}&lt;Inputs!$B$11),(D32/Inputs!$B$23)^{0,1,2,3,4,5,6,7,8,9}/FACT({0,1,2,3,4,5,6,7,8,9}))+((D32/Inputs!$B$23)^Inputs!$B$11/FACT(Inputs!$B$11)*Inputs!$B$11/(Inputs!$B$11-(D32/Inputs!$B$23)))),1)</f>
        <v>0.0665139612419254</v>
      </c>
      <c r="H32" s="34" t="n">
        <f aca="false">IF(F32&lt;1,G32/(Inputs!$B$11*Inputs!$B$23-D32),0)</f>
        <v>0.00415582388265701</v>
      </c>
      <c r="I32" s="27" t="n">
        <f aca="false">MAX(0,I31+(D32-Inputs!$B$11*Inputs!$B$23)*10)</f>
        <v>0</v>
      </c>
      <c r="J32" s="32" t="n">
        <f aca="false">I32/(Inputs!$B$11*Inputs!$B$23)+H32</f>
        <v>0.00415582388265701</v>
      </c>
      <c r="K32" s="27" t="n">
        <f aca="false">D32*(J32+1/Inputs!$B$23+Inputs!$B$25)</f>
        <v>68.3311025164112</v>
      </c>
      <c r="L32" s="32" t="n">
        <f aca="false">$C32*(1-Inputs!$B$22)</f>
        <v>0.705</v>
      </c>
      <c r="M32" s="33" t="n">
        <f aca="false">L32/Inputs!$B$42</f>
        <v>0.0235</v>
      </c>
      <c r="N32" s="33" t="n">
        <f aca="false">L32/(Inputs!$B$12*Inputs!$B$23)</f>
        <v>0.03525</v>
      </c>
      <c r="O32" s="34" t="n">
        <f aca="false">IF(N32&lt;1,((L32/Inputs!$B$23)^Inputs!$B$12/FACT(Inputs!$B$12)*Inputs!$B$12/(Inputs!$B$12-(L32/Inputs!$B$23)))/(SUMPRODUCT(--({0,1,2,3,4,5,6,7,8,9}&lt;Inputs!$B$12),(L32/Inputs!$B$23)^{0,1,2,3,4,5,6,7,8,9}/FACT({0,1,2,3,4,5,6,7,8,9}))+((L32/Inputs!$B$23)^Inputs!$B$12/FACT(Inputs!$B$12)*Inputs!$B$12/(Inputs!$B$12-(L32/Inputs!$B$23)))),1)</f>
        <v>0.00240050712388312</v>
      </c>
      <c r="P32" s="34" t="n">
        <f aca="false">IF(N32&lt;1,O32/(Inputs!$B$12*Inputs!$B$23-L32),0)</f>
        <v>0.000124410838242193</v>
      </c>
      <c r="Q32" s="27" t="n">
        <f aca="false">MAX(0,Q31+(L32-Inputs!$B$12*Inputs!$B$23)*10)</f>
        <v>0</v>
      </c>
      <c r="R32" s="32" t="n">
        <f aca="false">Q32/(Inputs!$B$12*Inputs!$B$23)+P32</f>
        <v>0.000124410838242193</v>
      </c>
      <c r="S32" s="27" t="n">
        <f aca="false">L32*(R32+1/Inputs!$B$23+Inputs!$B$25)</f>
        <v>12.055587709641</v>
      </c>
      <c r="T32" s="32" t="n">
        <f aca="false">$C32*$E$26</f>
        <v>3.008</v>
      </c>
      <c r="U32" s="33" t="n">
        <f aca="false">T32/Inputs!$B$41</f>
        <v>0.100266666666667</v>
      </c>
      <c r="V32" s="33" t="n">
        <f aca="false">T32/(Inputs!$B$11*Inputs!$B$23)</f>
        <v>0.1504</v>
      </c>
      <c r="W32" s="34" t="n">
        <f aca="false">IF(V32&lt;1,((T32/Inputs!$B$23)^Inputs!$B$11/FACT(Inputs!$B$11)*Inputs!$B$11/(Inputs!$B$11-(T32/Inputs!$B$23)))/(SUMPRODUCT(--({0,1,2,3,4,5,6,7,8,9}&lt;Inputs!$B$11),(T32/Inputs!$B$23)^{0,1,2,3,4,5,6,7,8,9}/FACT({0,1,2,3,4,5,6,7,8,9}))+((T32/Inputs!$B$23)^Inputs!$B$11/FACT(Inputs!$B$11)*Inputs!$B$11/(Inputs!$B$11-(T32/Inputs!$B$23)))),1)</f>
        <v>0.0393257301808067</v>
      </c>
      <c r="X32" s="34" t="n">
        <f aca="false">IF(V32&lt;1,W32/(Inputs!$B$11*Inputs!$B$23-T32),0)</f>
        <v>0.00231436735998156</v>
      </c>
      <c r="Y32" s="27" t="n">
        <f aca="false">MAX(0,Y31+(T32-Inputs!$B$11*Inputs!$B$23)*10)</f>
        <v>0</v>
      </c>
      <c r="Z32" s="32" t="n">
        <f aca="false">Y32/(Inputs!$B$11*Inputs!$B$23)+X32</f>
        <v>0.00231436735998156</v>
      </c>
      <c r="AA32" s="27" t="n">
        <f aca="false">T32*(Z32+1/Inputs!$B$23+Inputs!$B$25)</f>
        <v>51.4437616170188</v>
      </c>
      <c r="AB32" s="32" t="n">
        <f aca="false">$C32*(1-$E$26)</f>
        <v>1.692</v>
      </c>
      <c r="AC32" s="33" t="n">
        <f aca="false">AB32/Inputs!$B$42</f>
        <v>0.0564</v>
      </c>
      <c r="AD32" s="33" t="n">
        <f aca="false">AB32/(Inputs!$B$12*Inputs!$B$23)</f>
        <v>0.0846</v>
      </c>
      <c r="AE32" s="34" t="n">
        <f aca="false">IF(AD32&lt;1,((AB32/Inputs!$B$23)^Inputs!$B$12/FACT(Inputs!$B$12)*Inputs!$B$12/(Inputs!$B$12-(AB32/Inputs!$B$23)))/(SUMPRODUCT(--({0,1,2,3,4,5,6,7,8,9}&lt;Inputs!$B$12),(AB32/Inputs!$B$23)^{0,1,2,3,4,5,6,7,8,9}/FACT({0,1,2,3,4,5,6,7,8,9}))+((AB32/Inputs!$B$23)^Inputs!$B$12/FACT(Inputs!$B$12)*Inputs!$B$12/(Inputs!$B$12-(AB32/Inputs!$B$23)))),1)</f>
        <v>0.0131977872026554</v>
      </c>
      <c r="AF32" s="34" t="n">
        <f aca="false">IF(AD32&lt;1,AE32/(Inputs!$B$12*Inputs!$B$23-AB32),0)</f>
        <v>0.000720875420726205</v>
      </c>
      <c r="AG32" s="27" t="n">
        <f aca="false">MAX(0,AG31+(AB32-Inputs!$B$12*Inputs!$B$23)*10)</f>
        <v>0</v>
      </c>
      <c r="AH32" s="32" t="n">
        <f aca="false">AG32/(Inputs!$B$12*Inputs!$B$23)+AF32</f>
        <v>0.000720875420726205</v>
      </c>
      <c r="AI32" s="27" t="n">
        <f aca="false">AB32*(AH32+1/Inputs!$B$23+Inputs!$B$25)</f>
        <v>28.9344197212119</v>
      </c>
    </row>
    <row r="33" customFormat="false" ht="15" hidden="false" customHeight="false" outlineLevel="0" collapsed="false">
      <c r="A33" s="12" t="s">
        <v>380</v>
      </c>
      <c r="B33" s="16" t="n">
        <v>79</v>
      </c>
      <c r="C33" s="22" t="n">
        <f aca="false">B33/10</f>
        <v>7.9</v>
      </c>
      <c r="D33" s="32" t="n">
        <f aca="false">$C33*Inputs!$B$22</f>
        <v>6.715</v>
      </c>
      <c r="E33" s="33" t="n">
        <f aca="false">D33/Inputs!$B$41</f>
        <v>0.223833333333333</v>
      </c>
      <c r="F33" s="33" t="n">
        <f aca="false">D33/(Inputs!$B$11*Inputs!$B$23)</f>
        <v>0.33575</v>
      </c>
      <c r="G33" s="34" t="n">
        <f aca="false">IF(F33&lt;1,((D33/Inputs!$B$23)^Inputs!$B$11/FACT(Inputs!$B$11)*Inputs!$B$11/(Inputs!$B$11-(D33/Inputs!$B$23)))/(SUMPRODUCT(--({0,1,2,3,4,5,6,7,8,9}&lt;Inputs!$B$11),(D33/Inputs!$B$23)^{0,1,2,3,4,5,6,7,8,9}/FACT({0,1,2,3,4,5,6,7,8,9}))+((D33/Inputs!$B$23)^Inputs!$B$11/FACT(Inputs!$B$11)*Inputs!$B$11/(Inputs!$B$11-(D33/Inputs!$B$23)))),1)</f>
        <v>0.168786168819016</v>
      </c>
      <c r="H33" s="34" t="n">
        <f aca="false">IF(F33&lt;1,G33/(Inputs!$B$11*Inputs!$B$23-D33),0)</f>
        <v>0.0127050183529556</v>
      </c>
      <c r="I33" s="27" t="n">
        <f aca="false">MAX(0,I32+(D33-Inputs!$B$11*Inputs!$B$23)*10)</f>
        <v>0</v>
      </c>
      <c r="J33" s="32" t="n">
        <f aca="false">I33/(Inputs!$B$11*Inputs!$B$23)+H33</f>
        <v>0.0127050183529556</v>
      </c>
      <c r="K33" s="27" t="n">
        <f aca="false">D33*(J33+1/Inputs!$B$23+Inputs!$B$25)</f>
        <v>114.91181419824</v>
      </c>
      <c r="L33" s="32" t="n">
        <f aca="false">$C33*(1-Inputs!$B$22)</f>
        <v>1.185</v>
      </c>
      <c r="M33" s="33" t="n">
        <f aca="false">L33/Inputs!$B$42</f>
        <v>0.0395</v>
      </c>
      <c r="N33" s="33" t="n">
        <f aca="false">L33/(Inputs!$B$12*Inputs!$B$23)</f>
        <v>0.05925</v>
      </c>
      <c r="O33" s="34" t="n">
        <f aca="false">IF(N33&lt;1,((L33/Inputs!$B$23)^Inputs!$B$12/FACT(Inputs!$B$12)*Inputs!$B$12/(Inputs!$B$12-(L33/Inputs!$B$23)))/(SUMPRODUCT(--({0,1,2,3,4,5,6,7,8,9}&lt;Inputs!$B$12),(L33/Inputs!$B$23)^{0,1,2,3,4,5,6,7,8,9}/FACT({0,1,2,3,4,5,6,7,8,9}))+((L33/Inputs!$B$23)^Inputs!$B$12/FACT(Inputs!$B$12)*Inputs!$B$12/(Inputs!$B$12-(L33/Inputs!$B$23)))),1)</f>
        <v>0.00662839273070569</v>
      </c>
      <c r="P33" s="34" t="n">
        <f aca="false">IF(N33&lt;1,O33/(Inputs!$B$12*Inputs!$B$23-L33),0)</f>
        <v>0.000352292996582816</v>
      </c>
      <c r="Q33" s="27" t="n">
        <f aca="false">MAX(0,Q32+(L33-Inputs!$B$12*Inputs!$B$23)*10)</f>
        <v>0</v>
      </c>
      <c r="R33" s="32" t="n">
        <f aca="false">Q33/(Inputs!$B$12*Inputs!$B$23)+P33</f>
        <v>0.000352292996582816</v>
      </c>
      <c r="S33" s="27" t="n">
        <f aca="false">L33*(R33+1/Inputs!$B$23+Inputs!$B$25)</f>
        <v>20.263917467201</v>
      </c>
      <c r="T33" s="32" t="n">
        <f aca="false">$C33*$E$26</f>
        <v>5.056</v>
      </c>
      <c r="U33" s="33" t="n">
        <f aca="false">T33/Inputs!$B$41</f>
        <v>0.168533333333333</v>
      </c>
      <c r="V33" s="33" t="n">
        <f aca="false">T33/(Inputs!$B$11*Inputs!$B$23)</f>
        <v>0.2528</v>
      </c>
      <c r="W33" s="34" t="n">
        <f aca="false">IF(V33&lt;1,((T33/Inputs!$B$23)^Inputs!$B$11/FACT(Inputs!$B$11)*Inputs!$B$11/(Inputs!$B$11-(T33/Inputs!$B$23)))/(SUMPRODUCT(--({0,1,2,3,4,5,6,7,8,9}&lt;Inputs!$B$11),(T33/Inputs!$B$23)^{0,1,2,3,4,5,6,7,8,9}/FACT({0,1,2,3,4,5,6,7,8,9}))+((T33/Inputs!$B$23)^Inputs!$B$11/FACT(Inputs!$B$11)*Inputs!$B$11/(Inputs!$B$11-(T33/Inputs!$B$23)))),1)</f>
        <v>0.102024010217114</v>
      </c>
      <c r="X33" s="34" t="n">
        <f aca="false">IF(V33&lt;1,W33/(Inputs!$B$11*Inputs!$B$23-T33),0)</f>
        <v>0.00682708847812592</v>
      </c>
      <c r="Y33" s="27" t="n">
        <f aca="false">MAX(0,Y32+(T33-Inputs!$B$11*Inputs!$B$23)*10)</f>
        <v>0</v>
      </c>
      <c r="Z33" s="32" t="n">
        <f aca="false">Y33/(Inputs!$B$11*Inputs!$B$23)+X33</f>
        <v>0.00682708847812592</v>
      </c>
      <c r="AA33" s="27" t="n">
        <f aca="false">T33*(Z33+1/Inputs!$B$23+Inputs!$B$25)</f>
        <v>86.4921177593454</v>
      </c>
      <c r="AB33" s="32" t="n">
        <f aca="false">$C33*(1-$E$26)</f>
        <v>2.844</v>
      </c>
      <c r="AC33" s="33" t="n">
        <f aca="false">AB33/Inputs!$B$42</f>
        <v>0.0948</v>
      </c>
      <c r="AD33" s="33" t="n">
        <f aca="false">AB33/(Inputs!$B$12*Inputs!$B$23)</f>
        <v>0.1422</v>
      </c>
      <c r="AE33" s="34" t="n">
        <f aca="false">IF(AD33&lt;1,((AB33/Inputs!$B$23)^Inputs!$B$12/FACT(Inputs!$B$12)*Inputs!$B$12/(Inputs!$B$12-(AB33/Inputs!$B$23)))/(SUMPRODUCT(--({0,1,2,3,4,5,6,7,8,9}&lt;Inputs!$B$12),(AB33/Inputs!$B$23)^{0,1,2,3,4,5,6,7,8,9}/FACT({0,1,2,3,4,5,6,7,8,9}))+((AB33/Inputs!$B$23)^Inputs!$B$12/FACT(Inputs!$B$12)*Inputs!$B$12/(Inputs!$B$12-(AB33/Inputs!$B$23)))),1)</f>
        <v>0.0354068289266328</v>
      </c>
      <c r="AF33" s="34" t="n">
        <f aca="false">IF(AD33&lt;1,AE33/(Inputs!$B$12*Inputs!$B$23-AB33),0)</f>
        <v>0.00206381609504738</v>
      </c>
      <c r="AG33" s="27" t="n">
        <f aca="false">MAX(0,AG32+(AB33-Inputs!$B$12*Inputs!$B$23)*10)</f>
        <v>0</v>
      </c>
      <c r="AH33" s="32" t="n">
        <f aca="false">AG33/(Inputs!$B$12*Inputs!$B$23)+AF33</f>
        <v>0.00206381609504738</v>
      </c>
      <c r="AI33" s="27" t="n">
        <f aca="false">AB33*(AH33+1/Inputs!$B$23+Inputs!$B$25)</f>
        <v>48.6382694929743</v>
      </c>
    </row>
    <row r="34" customFormat="false" ht="15" hidden="false" customHeight="false" outlineLevel="0" collapsed="false">
      <c r="A34" s="12" t="s">
        <v>381</v>
      </c>
      <c r="B34" s="16" t="n">
        <v>123</v>
      </c>
      <c r="C34" s="22" t="n">
        <f aca="false">B34/10</f>
        <v>12.3</v>
      </c>
      <c r="D34" s="32" t="n">
        <f aca="false">$C34*Inputs!$B$22</f>
        <v>10.455</v>
      </c>
      <c r="E34" s="33" t="n">
        <f aca="false">D34/Inputs!$B$41</f>
        <v>0.3485</v>
      </c>
      <c r="F34" s="33" t="n">
        <f aca="false">D34/(Inputs!$B$11*Inputs!$B$23)</f>
        <v>0.52275</v>
      </c>
      <c r="G34" s="34" t="n">
        <f aca="false">IF(F34&lt;1,((D34/Inputs!$B$23)^Inputs!$B$11/FACT(Inputs!$B$11)*Inputs!$B$11/(Inputs!$B$11-(D34/Inputs!$B$23)))/(SUMPRODUCT(--({0,1,2,3,4,5,6,7,8,9}&lt;Inputs!$B$11),(D34/Inputs!$B$23)^{0,1,2,3,4,5,6,7,8,9}/FACT({0,1,2,3,4,5,6,7,8,9}))+((D34/Inputs!$B$23)^Inputs!$B$11/FACT(Inputs!$B$11)*Inputs!$B$11/(Inputs!$B$11-(D34/Inputs!$B$23)))),1)</f>
        <v>0.358913232638319</v>
      </c>
      <c r="H34" s="34" t="n">
        <f aca="false">IF(F34&lt;1,G34/(Inputs!$B$11*Inputs!$B$23-D34),0)</f>
        <v>0.0376022244775609</v>
      </c>
      <c r="I34" s="27" t="n">
        <f aca="false">MAX(0,I33+(D34-Inputs!$B$11*Inputs!$B$23)*10)</f>
        <v>0</v>
      </c>
      <c r="J34" s="32" t="n">
        <f aca="false">I34/(Inputs!$B$11*Inputs!$B$23)+H34</f>
        <v>0.0376022244775609</v>
      </c>
      <c r="K34" s="27" t="n">
        <f aca="false">D34*(J34+1/Inputs!$B$23+Inputs!$B$25)</f>
        <v>179.173631256913</v>
      </c>
      <c r="L34" s="32" t="n">
        <f aca="false">$C34*(1-Inputs!$B$22)</f>
        <v>1.845</v>
      </c>
      <c r="M34" s="33" t="n">
        <f aca="false">L34/Inputs!$B$42</f>
        <v>0.0615</v>
      </c>
      <c r="N34" s="33" t="n">
        <f aca="false">L34/(Inputs!$B$12*Inputs!$B$23)</f>
        <v>0.09225</v>
      </c>
      <c r="O34" s="34" t="n">
        <f aca="false">IF(N34&lt;1,((L34/Inputs!$B$23)^Inputs!$B$12/FACT(Inputs!$B$12)*Inputs!$B$12/(Inputs!$B$12-(L34/Inputs!$B$23)))/(SUMPRODUCT(--({0,1,2,3,4,5,6,7,8,9}&lt;Inputs!$B$12),(L34/Inputs!$B$23)^{0,1,2,3,4,5,6,7,8,9}/FACT({0,1,2,3,4,5,6,7,8,9}))+((L34/Inputs!$B$23)^Inputs!$B$12/FACT(Inputs!$B$12)*Inputs!$B$12/(Inputs!$B$12-(L34/Inputs!$B$23)))),1)</f>
        <v>0.0155826276035706</v>
      </c>
      <c r="P34" s="34" t="n">
        <f aca="false">IF(N34&lt;1,O34/(Inputs!$B$12*Inputs!$B$23-L34),0)</f>
        <v>0.000858310526222562</v>
      </c>
      <c r="Q34" s="27" t="n">
        <f aca="false">MAX(0,Q33+(L34-Inputs!$B$12*Inputs!$B$23)*10)</f>
        <v>0</v>
      </c>
      <c r="R34" s="32" t="n">
        <f aca="false">Q34/(Inputs!$B$12*Inputs!$B$23)+P34</f>
        <v>0.000858310526222562</v>
      </c>
      <c r="S34" s="27" t="n">
        <f aca="false">L34*(R34+1/Inputs!$B$23+Inputs!$B$25)</f>
        <v>31.5510835829209</v>
      </c>
      <c r="T34" s="32" t="n">
        <f aca="false">$C34*$E$26</f>
        <v>7.872</v>
      </c>
      <c r="U34" s="33" t="n">
        <f aca="false">T34/Inputs!$B$41</f>
        <v>0.2624</v>
      </c>
      <c r="V34" s="33" t="n">
        <f aca="false">T34/(Inputs!$B$11*Inputs!$B$23)</f>
        <v>0.3936</v>
      </c>
      <c r="W34" s="34" t="n">
        <f aca="false">IF(V34&lt;1,((T34/Inputs!$B$23)^Inputs!$B$11/FACT(Inputs!$B$11)*Inputs!$B$11/(Inputs!$B$11-(T34/Inputs!$B$23)))/(SUMPRODUCT(--({0,1,2,3,4,5,6,7,8,9}&lt;Inputs!$B$11),(T34/Inputs!$B$23)^{0,1,2,3,4,5,6,7,8,9}/FACT({0,1,2,3,4,5,6,7,8,9}))+((T34/Inputs!$B$23)^Inputs!$B$11/FACT(Inputs!$B$11)*Inputs!$B$11/(Inputs!$B$11-(T34/Inputs!$B$23)))),1)</f>
        <v>0.222332032146958</v>
      </c>
      <c r="X34" s="34" t="n">
        <f aca="false">IF(V34&lt;1,W34/(Inputs!$B$11*Inputs!$B$23-T34),0)</f>
        <v>0.0183321266611937</v>
      </c>
      <c r="Y34" s="27" t="n">
        <f aca="false">MAX(0,Y33+(T34-Inputs!$B$11*Inputs!$B$23)*10)</f>
        <v>0</v>
      </c>
      <c r="Z34" s="32" t="n">
        <f aca="false">Y34/(Inputs!$B$11*Inputs!$B$23)+X34</f>
        <v>0.0183321266611937</v>
      </c>
      <c r="AA34" s="27" t="n">
        <f aca="false">T34*(Z34+1/Inputs!$B$23+Inputs!$B$25)</f>
        <v>134.755510501077</v>
      </c>
      <c r="AB34" s="32" t="n">
        <f aca="false">$C34*(1-$E$26)</f>
        <v>4.428</v>
      </c>
      <c r="AC34" s="33" t="n">
        <f aca="false">AB34/Inputs!$B$42</f>
        <v>0.1476</v>
      </c>
      <c r="AD34" s="33" t="n">
        <f aca="false">AB34/(Inputs!$B$12*Inputs!$B$23)</f>
        <v>0.2214</v>
      </c>
      <c r="AE34" s="34" t="n">
        <f aca="false">IF(AD34&lt;1,((AB34/Inputs!$B$23)^Inputs!$B$12/FACT(Inputs!$B$12)*Inputs!$B$12/(Inputs!$B$12-(AB34/Inputs!$B$23)))/(SUMPRODUCT(--({0,1,2,3,4,5,6,7,8,9}&lt;Inputs!$B$12),(AB34/Inputs!$B$23)^{0,1,2,3,4,5,6,7,8,9}/FACT({0,1,2,3,4,5,6,7,8,9}))+((AB34/Inputs!$B$23)^Inputs!$B$12/FACT(Inputs!$B$12)*Inputs!$B$12/(Inputs!$B$12-(AB34/Inputs!$B$23)))),1)</f>
        <v>0.0802652038644179</v>
      </c>
      <c r="AF34" s="34" t="n">
        <f aca="false">IF(AD34&lt;1,AE34/(Inputs!$B$12*Inputs!$B$23-AB34),0)</f>
        <v>0.00515445696534921</v>
      </c>
      <c r="AG34" s="27" t="n">
        <f aca="false">MAX(0,AG33+(AB34-Inputs!$B$12*Inputs!$B$23)*10)</f>
        <v>0</v>
      </c>
      <c r="AH34" s="32" t="n">
        <f aca="false">AG34/(Inputs!$B$12*Inputs!$B$23)+AF34</f>
        <v>0.00515445696534921</v>
      </c>
      <c r="AI34" s="27" t="n">
        <f aca="false">AB34*(AH34+1/Inputs!$B$23+Inputs!$B$25)</f>
        <v>75.7416239354426</v>
      </c>
    </row>
    <row r="35" customFormat="false" ht="15" hidden="false" customHeight="false" outlineLevel="0" collapsed="false">
      <c r="A35" s="12" t="s">
        <v>382</v>
      </c>
      <c r="B35" s="16" t="n">
        <v>178</v>
      </c>
      <c r="C35" s="22" t="n">
        <f aca="false">B35/10</f>
        <v>17.8</v>
      </c>
      <c r="D35" s="32" t="n">
        <f aca="false">$C35*Inputs!$B$22</f>
        <v>15.13</v>
      </c>
      <c r="E35" s="33" t="n">
        <f aca="false">D35/Inputs!$B$41</f>
        <v>0.504333333333333</v>
      </c>
      <c r="F35" s="33" t="n">
        <f aca="false">D35/(Inputs!$B$11*Inputs!$B$23)</f>
        <v>0.7565</v>
      </c>
      <c r="G35" s="34" t="n">
        <f aca="false">IF(F35&lt;1,((D35/Inputs!$B$23)^Inputs!$B$11/FACT(Inputs!$B$11)*Inputs!$B$11/(Inputs!$B$11-(D35/Inputs!$B$23)))/(SUMPRODUCT(--({0,1,2,3,4,5,6,7,8,9}&lt;Inputs!$B$11),(D35/Inputs!$B$23)^{0,1,2,3,4,5,6,7,8,9}/FACT({0,1,2,3,4,5,6,7,8,9}))+((D35/Inputs!$B$23)^Inputs!$B$11/FACT(Inputs!$B$11)*Inputs!$B$11/(Inputs!$B$11-(D35/Inputs!$B$23)))),1)</f>
        <v>0.651627953316254</v>
      </c>
      <c r="H35" s="34" t="n">
        <f aca="false">IF(F35&lt;1,G35/(Inputs!$B$11*Inputs!$B$23-D35),0)</f>
        <v>0.133804507867814</v>
      </c>
      <c r="I35" s="27" t="n">
        <f aca="false">MAX(0,I34+(D35-Inputs!$B$11*Inputs!$B$23)*10)</f>
        <v>0</v>
      </c>
      <c r="J35" s="32" t="n">
        <f aca="false">I35/(Inputs!$B$11*Inputs!$B$23)+H35</f>
        <v>0.133804507867814</v>
      </c>
      <c r="K35" s="27" t="n">
        <f aca="false">D35*(J35+1/Inputs!$B$23+Inputs!$B$25)</f>
        <v>260.74746220404</v>
      </c>
      <c r="L35" s="32" t="n">
        <f aca="false">$C35*(1-Inputs!$B$22)</f>
        <v>2.67</v>
      </c>
      <c r="M35" s="33" t="n">
        <f aca="false">L35/Inputs!$B$42</f>
        <v>0.089</v>
      </c>
      <c r="N35" s="33" t="n">
        <f aca="false">L35/(Inputs!$B$12*Inputs!$B$23)</f>
        <v>0.1335</v>
      </c>
      <c r="O35" s="34" t="n">
        <f aca="false">IF(N35&lt;1,((L35/Inputs!$B$23)^Inputs!$B$12/FACT(Inputs!$B$12)*Inputs!$B$12/(Inputs!$B$12-(L35/Inputs!$B$23)))/(SUMPRODUCT(--({0,1,2,3,4,5,6,7,8,9}&lt;Inputs!$B$12),(L35/Inputs!$B$23)^{0,1,2,3,4,5,6,7,8,9}/FACT({0,1,2,3,4,5,6,7,8,9}))+((L35/Inputs!$B$23)^Inputs!$B$12/FACT(Inputs!$B$12)*Inputs!$B$12/(Inputs!$B$12-(L35/Inputs!$B$23)))),1)</f>
        <v>0.0314464049404499</v>
      </c>
      <c r="P35" s="34" t="n">
        <f aca="false">IF(N35&lt;1,O35/(Inputs!$B$12*Inputs!$B$23-L35),0)</f>
        <v>0.0018145646243768</v>
      </c>
      <c r="Q35" s="27" t="n">
        <f aca="false">MAX(0,Q34+(L35-Inputs!$B$12*Inputs!$B$23)*10)</f>
        <v>0</v>
      </c>
      <c r="R35" s="32" t="n">
        <f aca="false">Q35/(Inputs!$B$12*Inputs!$B$23)+P35</f>
        <v>0.0018145646243768</v>
      </c>
      <c r="S35" s="27" t="n">
        <f aca="false">L35*(R35+1/Inputs!$B$23+Inputs!$B$25)</f>
        <v>45.6618448875471</v>
      </c>
      <c r="T35" s="32" t="n">
        <f aca="false">$C35*$E$26</f>
        <v>11.392</v>
      </c>
      <c r="U35" s="33" t="n">
        <f aca="false">T35/Inputs!$B$41</f>
        <v>0.379733333333333</v>
      </c>
      <c r="V35" s="33" t="n">
        <f aca="false">T35/(Inputs!$B$11*Inputs!$B$23)</f>
        <v>0.5696</v>
      </c>
      <c r="W35" s="34" t="n">
        <f aca="false">IF(V35&lt;1,((T35/Inputs!$B$23)^Inputs!$B$11/FACT(Inputs!$B$11)*Inputs!$B$11/(Inputs!$B$11-(T35/Inputs!$B$23)))/(SUMPRODUCT(--({0,1,2,3,4,5,6,7,8,9}&lt;Inputs!$B$11),(T35/Inputs!$B$23)^{0,1,2,3,4,5,6,7,8,9}/FACT({0,1,2,3,4,5,6,7,8,9}))+((T35/Inputs!$B$23)^Inputs!$B$11/FACT(Inputs!$B$11)*Inputs!$B$11/(Inputs!$B$11-(T35/Inputs!$B$23)))),1)</f>
        <v>0.41340998980632</v>
      </c>
      <c r="X35" s="34" t="n">
        <f aca="false">IF(V35&lt;1,W35/(Inputs!$B$11*Inputs!$B$23-T35),0)</f>
        <v>0.0480262534626301</v>
      </c>
      <c r="Y35" s="27" t="n">
        <f aca="false">MAX(0,Y34+(T35-Inputs!$B$11*Inputs!$B$23)*10)</f>
        <v>0</v>
      </c>
      <c r="Z35" s="32" t="n">
        <f aca="false">Y35/(Inputs!$B$11*Inputs!$B$23)+X35</f>
        <v>0.0480262534626301</v>
      </c>
      <c r="AA35" s="27" t="n">
        <f aca="false">T35*(Z35+1/Inputs!$B$23+Inputs!$B$25)</f>
        <v>195.350315079446</v>
      </c>
      <c r="AB35" s="32" t="n">
        <f aca="false">$C35*(1-$E$26)</f>
        <v>6.408</v>
      </c>
      <c r="AC35" s="33" t="n">
        <f aca="false">AB35/Inputs!$B$42</f>
        <v>0.2136</v>
      </c>
      <c r="AD35" s="33" t="n">
        <f aca="false">AB35/(Inputs!$B$12*Inputs!$B$23)</f>
        <v>0.3204</v>
      </c>
      <c r="AE35" s="34" t="n">
        <f aca="false">IF(AD35&lt;1,((AB35/Inputs!$B$23)^Inputs!$B$12/FACT(Inputs!$B$12)*Inputs!$B$12/(Inputs!$B$12-(AB35/Inputs!$B$23)))/(SUMPRODUCT(--({0,1,2,3,4,5,6,7,8,9}&lt;Inputs!$B$12),(AB35/Inputs!$B$23)^{0,1,2,3,4,5,6,7,8,9}/FACT({0,1,2,3,4,5,6,7,8,9}))+((AB35/Inputs!$B$23)^Inputs!$B$12/FACT(Inputs!$B$12)*Inputs!$B$12/(Inputs!$B$12-(AB35/Inputs!$B$23)))),1)</f>
        <v>0.155492517418964</v>
      </c>
      <c r="AF35" s="34" t="n">
        <f aca="false">IF(AD35&lt;1,AE35/(Inputs!$B$12*Inputs!$B$23-AB35),0)</f>
        <v>0.0114400027530138</v>
      </c>
      <c r="AG35" s="27" t="n">
        <f aca="false">MAX(0,AG34+(AB35-Inputs!$B$12*Inputs!$B$23)*10)</f>
        <v>0</v>
      </c>
      <c r="AH35" s="32" t="n">
        <f aca="false">AG35/(Inputs!$B$12*Inputs!$B$23)+AF35</f>
        <v>0.0114400027530138</v>
      </c>
      <c r="AI35" s="27" t="n">
        <f aca="false">AB35*(AH35+1/Inputs!$B$23+Inputs!$B$25)</f>
        <v>109.650107537641</v>
      </c>
    </row>
    <row r="36" customFormat="false" ht="15" hidden="false" customHeight="false" outlineLevel="0" collapsed="false">
      <c r="A36" s="12" t="s">
        <v>383</v>
      </c>
      <c r="B36" s="16" t="n">
        <v>236</v>
      </c>
      <c r="C36" s="22" t="n">
        <f aca="false">B36/10</f>
        <v>23.6</v>
      </c>
      <c r="D36" s="32" t="n">
        <f aca="false">$C36*Inputs!$B$22</f>
        <v>20.06</v>
      </c>
      <c r="E36" s="33" t="n">
        <f aca="false">D36/Inputs!$B$41</f>
        <v>0.668666666666667</v>
      </c>
      <c r="F36" s="33" t="n">
        <f aca="false">D36/(Inputs!$B$11*Inputs!$B$23)</f>
        <v>1.003</v>
      </c>
      <c r="G36" s="34" t="n">
        <f aca="false">IF(F36&lt;1,((D36/Inputs!$B$23)^Inputs!$B$11/FACT(Inputs!$B$11)*Inputs!$B$11/(Inputs!$B$11-(D36/Inputs!$B$23)))/(SUMPRODUCT(--({0,1,2,3,4,5,6,7,8,9}&lt;Inputs!$B$11),(D36/Inputs!$B$23)^{0,1,2,3,4,5,6,7,8,9}/FACT({0,1,2,3,4,5,6,7,8,9}))+((D36/Inputs!$B$23)^Inputs!$B$11/FACT(Inputs!$B$11)*Inputs!$B$11/(Inputs!$B$11-(D36/Inputs!$B$23)))),1)</f>
        <v>1</v>
      </c>
      <c r="H36" s="34" t="n">
        <f aca="false">IF(F36&lt;1,G36/(Inputs!$B$11*Inputs!$B$23-D36),0)</f>
        <v>0</v>
      </c>
      <c r="I36" s="27" t="n">
        <f aca="false">MAX(0,I35+(D36-Inputs!$B$11*Inputs!$B$23)*10)</f>
        <v>0.600000000000023</v>
      </c>
      <c r="J36" s="32" t="n">
        <f aca="false">I36/(Inputs!$B$11*Inputs!$B$23)+H36</f>
        <v>0.0300000000000011</v>
      </c>
      <c r="K36" s="27" t="n">
        <f aca="false">D36*(J36+1/Inputs!$B$23+Inputs!$B$25)</f>
        <v>343.6278</v>
      </c>
      <c r="L36" s="32" t="n">
        <f aca="false">$C36*(1-Inputs!$B$22)</f>
        <v>3.54</v>
      </c>
      <c r="M36" s="33" t="n">
        <f aca="false">L36/Inputs!$B$42</f>
        <v>0.118</v>
      </c>
      <c r="N36" s="33" t="n">
        <f aca="false">L36/(Inputs!$B$12*Inputs!$B$23)</f>
        <v>0.177</v>
      </c>
      <c r="O36" s="34" t="n">
        <f aca="false">IF(N36&lt;1,((L36/Inputs!$B$23)^Inputs!$B$12/FACT(Inputs!$B$12)*Inputs!$B$12/(Inputs!$B$12-(L36/Inputs!$B$23)))/(SUMPRODUCT(--({0,1,2,3,4,5,6,7,8,9}&lt;Inputs!$B$12),(L36/Inputs!$B$23)^{0,1,2,3,4,5,6,7,8,9}/FACT({0,1,2,3,4,5,6,7,8,9}))+((L36/Inputs!$B$23)^Inputs!$B$12/FACT(Inputs!$B$12)*Inputs!$B$12/(Inputs!$B$12-(L36/Inputs!$B$23)))),1)</f>
        <v>0.0532353440951572</v>
      </c>
      <c r="P36" s="34" t="n">
        <f aca="false">IF(N36&lt;1,O36/(Inputs!$B$12*Inputs!$B$23-L36),0)</f>
        <v>0.00323422503615779</v>
      </c>
      <c r="Q36" s="27" t="n">
        <f aca="false">MAX(0,Q35+(L36-Inputs!$B$12*Inputs!$B$23)*10)</f>
        <v>0</v>
      </c>
      <c r="R36" s="32" t="n">
        <f aca="false">Q36/(Inputs!$B$12*Inputs!$B$23)+P36</f>
        <v>0.00323422503615779</v>
      </c>
      <c r="S36" s="27" t="n">
        <f aca="false">L36*(R36+1/Inputs!$B$23+Inputs!$B$25)</f>
        <v>60.545449156628</v>
      </c>
      <c r="T36" s="32" t="n">
        <f aca="false">$C36*$E$26</f>
        <v>15.104</v>
      </c>
      <c r="U36" s="33" t="n">
        <f aca="false">T36/Inputs!$B$41</f>
        <v>0.503466666666667</v>
      </c>
      <c r="V36" s="33" t="n">
        <f aca="false">T36/(Inputs!$B$11*Inputs!$B$23)</f>
        <v>0.7552</v>
      </c>
      <c r="W36" s="34" t="n">
        <f aca="false">IF(V36&lt;1,((T36/Inputs!$B$23)^Inputs!$B$11/FACT(Inputs!$B$11)*Inputs!$B$11/(Inputs!$B$11-(T36/Inputs!$B$23)))/(SUMPRODUCT(--({0,1,2,3,4,5,6,7,8,9}&lt;Inputs!$B$11),(T36/Inputs!$B$23)^{0,1,2,3,4,5,6,7,8,9}/FACT({0,1,2,3,4,5,6,7,8,9}))+((T36/Inputs!$B$23)^Inputs!$B$11/FACT(Inputs!$B$11)*Inputs!$B$11/(Inputs!$B$11-(T36/Inputs!$B$23)))),1)</f>
        <v>0.64987128532361</v>
      </c>
      <c r="X36" s="34" t="n">
        <f aca="false">IF(V36&lt;1,W36/(Inputs!$B$11*Inputs!$B$23-T36),0)</f>
        <v>0.132735148146162</v>
      </c>
      <c r="Y36" s="27" t="n">
        <f aca="false">MAX(0,Y35+(T36-Inputs!$B$11*Inputs!$B$23)*10)</f>
        <v>0</v>
      </c>
      <c r="Z36" s="32" t="n">
        <f aca="false">Y36/(Inputs!$B$11*Inputs!$B$23)+X36</f>
        <v>0.132735148146162</v>
      </c>
      <c r="AA36" s="27" t="n">
        <f aca="false">T36*(Z36+1/Inputs!$B$23+Inputs!$B$25)</f>
        <v>260.2832316776</v>
      </c>
      <c r="AB36" s="32" t="n">
        <f aca="false">$C36*(1-$E$26)</f>
        <v>8.496</v>
      </c>
      <c r="AC36" s="33" t="n">
        <f aca="false">AB36/Inputs!$B$42</f>
        <v>0.2832</v>
      </c>
      <c r="AD36" s="33" t="n">
        <f aca="false">AB36/(Inputs!$B$12*Inputs!$B$23)</f>
        <v>0.4248</v>
      </c>
      <c r="AE36" s="34" t="n">
        <f aca="false">IF(AD36&lt;1,((AB36/Inputs!$B$23)^Inputs!$B$12/FACT(Inputs!$B$12)*Inputs!$B$12/(Inputs!$B$12-(AB36/Inputs!$B$23)))/(SUMPRODUCT(--({0,1,2,3,4,5,6,7,8,9}&lt;Inputs!$B$12),(AB36/Inputs!$B$23)^{0,1,2,3,4,5,6,7,8,9}/FACT({0,1,2,3,4,5,6,7,8,9}))+((AB36/Inputs!$B$23)^Inputs!$B$12/FACT(Inputs!$B$12)*Inputs!$B$12/(Inputs!$B$12-(AB36/Inputs!$B$23)))),1)</f>
        <v>0.253305783267827</v>
      </c>
      <c r="AF36" s="34" t="n">
        <f aca="false">IF(AD36&lt;1,AE36/(Inputs!$B$12*Inputs!$B$23-AB36),0)</f>
        <v>0.022018931090736</v>
      </c>
      <c r="AG36" s="27" t="n">
        <f aca="false">MAX(0,AG35+(AB36-Inputs!$B$12*Inputs!$B$23)*10)</f>
        <v>0</v>
      </c>
      <c r="AH36" s="32" t="n">
        <f aca="false">AG36/(Inputs!$B$12*Inputs!$B$23)+AF36</f>
        <v>0.022018931090736</v>
      </c>
      <c r="AI36" s="27" t="n">
        <f aca="false">AB36*(AH36+1/Inputs!$B$23+Inputs!$B$25)</f>
        <v>145.468672838547</v>
      </c>
    </row>
    <row r="37" customFormat="false" ht="15" hidden="false" customHeight="false" outlineLevel="0" collapsed="false">
      <c r="A37" s="12" t="s">
        <v>384</v>
      </c>
      <c r="B37" s="16" t="n">
        <v>289</v>
      </c>
      <c r="C37" s="22" t="n">
        <f aca="false">B37/10</f>
        <v>28.9</v>
      </c>
      <c r="D37" s="32" t="n">
        <f aca="false">$C37*Inputs!$B$22</f>
        <v>24.565</v>
      </c>
      <c r="E37" s="33" t="n">
        <f aca="false">D37/Inputs!$B$41</f>
        <v>0.818833333333333</v>
      </c>
      <c r="F37" s="33" t="n">
        <f aca="false">D37/(Inputs!$B$11*Inputs!$B$23)</f>
        <v>1.22825</v>
      </c>
      <c r="G37" s="34" t="n">
        <f aca="false">IF(F37&lt;1,((D37/Inputs!$B$23)^Inputs!$B$11/FACT(Inputs!$B$11)*Inputs!$B$11/(Inputs!$B$11-(D37/Inputs!$B$23)))/(SUMPRODUCT(--({0,1,2,3,4,5,6,7,8,9}&lt;Inputs!$B$11),(D37/Inputs!$B$23)^{0,1,2,3,4,5,6,7,8,9}/FACT({0,1,2,3,4,5,6,7,8,9}))+((D37/Inputs!$B$23)^Inputs!$B$11/FACT(Inputs!$B$11)*Inputs!$B$11/(Inputs!$B$11-(D37/Inputs!$B$23)))),1)</f>
        <v>1</v>
      </c>
      <c r="H37" s="34" t="n">
        <f aca="false">IF(F37&lt;1,G37/(Inputs!$B$11*Inputs!$B$23-D37),0)</f>
        <v>0</v>
      </c>
      <c r="I37" s="27" t="n">
        <f aca="false">MAX(0,I36+(D37-Inputs!$B$11*Inputs!$B$23)*10)</f>
        <v>46.25</v>
      </c>
      <c r="J37" s="32" t="n">
        <f aca="false">I37/(Inputs!$B$11*Inputs!$B$23)+H37</f>
        <v>2.3125</v>
      </c>
      <c r="K37" s="27" t="n">
        <f aca="false">D37*(J37+1/Inputs!$B$23+Inputs!$B$25)</f>
        <v>476.8680625</v>
      </c>
      <c r="L37" s="32" t="n">
        <f aca="false">$C37*(1-Inputs!$B$22)</f>
        <v>4.335</v>
      </c>
      <c r="M37" s="33" t="n">
        <f aca="false">L37/Inputs!$B$42</f>
        <v>0.1445</v>
      </c>
      <c r="N37" s="33" t="n">
        <f aca="false">L37/(Inputs!$B$12*Inputs!$B$23)</f>
        <v>0.21675</v>
      </c>
      <c r="O37" s="34" t="n">
        <f aca="false">IF(N37&lt;1,((L37/Inputs!$B$23)^Inputs!$B$12/FACT(Inputs!$B$12)*Inputs!$B$12/(Inputs!$B$12-(L37/Inputs!$B$23)))/(SUMPRODUCT(--({0,1,2,3,4,5,6,7,8,9}&lt;Inputs!$B$12),(L37/Inputs!$B$23)^{0,1,2,3,4,5,6,7,8,9}/FACT({0,1,2,3,4,5,6,7,8,9}))+((L37/Inputs!$B$23)^Inputs!$B$12/FACT(Inputs!$B$12)*Inputs!$B$12/(Inputs!$B$12-(L37/Inputs!$B$23)))),1)</f>
        <v>0.0772230326689953</v>
      </c>
      <c r="P37" s="34" t="n">
        <f aca="false">IF(N37&lt;1,O37/(Inputs!$B$12*Inputs!$B$23-L37),0)</f>
        <v>0.00492965417612482</v>
      </c>
      <c r="Q37" s="27" t="n">
        <f aca="false">MAX(0,Q36+(L37-Inputs!$B$12*Inputs!$B$23)*10)</f>
        <v>0</v>
      </c>
      <c r="R37" s="32" t="n">
        <f aca="false">Q37/(Inputs!$B$12*Inputs!$B$23)+P37</f>
        <v>0.00492965417612482</v>
      </c>
      <c r="S37" s="27" t="n">
        <f aca="false">L37*(R37+1/Inputs!$B$23+Inputs!$B$25)</f>
        <v>74.1498700508535</v>
      </c>
      <c r="T37" s="32" t="n">
        <f aca="false">$C37*$E$26</f>
        <v>18.496</v>
      </c>
      <c r="U37" s="33" t="n">
        <f aca="false">T37/Inputs!$B$41</f>
        <v>0.616533333333333</v>
      </c>
      <c r="V37" s="33" t="n">
        <f aca="false">T37/(Inputs!$B$11*Inputs!$B$23)</f>
        <v>0.9248</v>
      </c>
      <c r="W37" s="34" t="n">
        <f aca="false">IF(V37&lt;1,((T37/Inputs!$B$23)^Inputs!$B$11/FACT(Inputs!$B$11)*Inputs!$B$11/(Inputs!$B$11-(T37/Inputs!$B$23)))/(SUMPRODUCT(--({0,1,2,3,4,5,6,7,8,9}&lt;Inputs!$B$11),(T37/Inputs!$B$23)^{0,1,2,3,4,5,6,7,8,9}/FACT({0,1,2,3,4,5,6,7,8,9}))+((T37/Inputs!$B$23)^Inputs!$B$11/FACT(Inputs!$B$11)*Inputs!$B$11/(Inputs!$B$11-(T37/Inputs!$B$23)))),1)</f>
        <v>0.888668994181214</v>
      </c>
      <c r="X37" s="34" t="n">
        <f aca="false">IF(V37&lt;1,W37/(Inputs!$B$11*Inputs!$B$23-T37),0)</f>
        <v>0.590870341875806</v>
      </c>
      <c r="Y37" s="27" t="n">
        <f aca="false">MAX(0,Y36+(T37-Inputs!$B$11*Inputs!$B$23)*10)</f>
        <v>0</v>
      </c>
      <c r="Z37" s="32" t="n">
        <f aca="false">Y37/(Inputs!$B$11*Inputs!$B$23)+X37</f>
        <v>0.590870341875806</v>
      </c>
      <c r="AA37" s="27" t="n">
        <f aca="false">T37*(Z37+1/Inputs!$B$23+Inputs!$B$25)</f>
        <v>327.210337843335</v>
      </c>
      <c r="AB37" s="32" t="n">
        <f aca="false">$C37*(1-$E$26)</f>
        <v>10.404</v>
      </c>
      <c r="AC37" s="33" t="n">
        <f aca="false">AB37/Inputs!$B$42</f>
        <v>0.3468</v>
      </c>
      <c r="AD37" s="33" t="n">
        <f aca="false">AB37/(Inputs!$B$12*Inputs!$B$23)</f>
        <v>0.5202</v>
      </c>
      <c r="AE37" s="34" t="n">
        <f aca="false">IF(AD37&lt;1,((AB37/Inputs!$B$23)^Inputs!$B$12/FACT(Inputs!$B$12)*Inputs!$B$12/(Inputs!$B$12-(AB37/Inputs!$B$23)))/(SUMPRODUCT(--({0,1,2,3,4,5,6,7,8,9}&lt;Inputs!$B$12),(AB37/Inputs!$B$23)^{0,1,2,3,4,5,6,7,8,9}/FACT({0,1,2,3,4,5,6,7,8,9}))+((AB37/Inputs!$B$23)^Inputs!$B$12/FACT(Inputs!$B$12)*Inputs!$B$12/(Inputs!$B$12-(AB37/Inputs!$B$23)))),1)</f>
        <v>0.356016366267596</v>
      </c>
      <c r="AF37" s="34" t="n">
        <f aca="false">IF(AD37&lt;1,AE37/(Inputs!$B$12*Inputs!$B$23-AB37),0)</f>
        <v>0.0371004966931634</v>
      </c>
      <c r="AG37" s="27" t="n">
        <f aca="false">MAX(0,AG36+(AB37-Inputs!$B$12*Inputs!$B$23)*10)</f>
        <v>0</v>
      </c>
      <c r="AH37" s="32" t="n">
        <f aca="false">AG37/(Inputs!$B$12*Inputs!$B$23)+AF37</f>
        <v>0.0371004966931634</v>
      </c>
      <c r="AI37" s="27" t="n">
        <f aca="false">AB37*(AH37+1/Inputs!$B$23+Inputs!$B$25)</f>
        <v>178.294393567596</v>
      </c>
    </row>
    <row r="38" customFormat="false" ht="15" hidden="false" customHeight="false" outlineLevel="0" collapsed="false">
      <c r="A38" s="12" t="s">
        <v>385</v>
      </c>
      <c r="B38" s="16" t="n">
        <v>326</v>
      </c>
      <c r="C38" s="22" t="n">
        <f aca="false">B38/10</f>
        <v>32.6</v>
      </c>
      <c r="D38" s="32" t="n">
        <f aca="false">$C38*Inputs!$B$22</f>
        <v>27.71</v>
      </c>
      <c r="E38" s="33" t="n">
        <f aca="false">D38/Inputs!$B$41</f>
        <v>0.923666666666667</v>
      </c>
      <c r="F38" s="33" t="n">
        <f aca="false">D38/(Inputs!$B$11*Inputs!$B$23)</f>
        <v>1.3855</v>
      </c>
      <c r="G38" s="34" t="n">
        <f aca="false">IF(F38&lt;1,((D38/Inputs!$B$23)^Inputs!$B$11/FACT(Inputs!$B$11)*Inputs!$B$11/(Inputs!$B$11-(D38/Inputs!$B$23)))/(SUMPRODUCT(--({0,1,2,3,4,5,6,7,8,9}&lt;Inputs!$B$11),(D38/Inputs!$B$23)^{0,1,2,3,4,5,6,7,8,9}/FACT({0,1,2,3,4,5,6,7,8,9}))+((D38/Inputs!$B$23)^Inputs!$B$11/FACT(Inputs!$B$11)*Inputs!$B$11/(Inputs!$B$11-(D38/Inputs!$B$23)))),1)</f>
        <v>1</v>
      </c>
      <c r="H38" s="34" t="n">
        <f aca="false">IF(F38&lt;1,G38/(Inputs!$B$11*Inputs!$B$23-D38),0)</f>
        <v>0</v>
      </c>
      <c r="I38" s="27" t="n">
        <f aca="false">MAX(0,I37+(D38-Inputs!$B$11*Inputs!$B$23)*10)</f>
        <v>123.35</v>
      </c>
      <c r="J38" s="32" t="n">
        <f aca="false">I38/(Inputs!$B$11*Inputs!$B$23)+H38</f>
        <v>6.1675</v>
      </c>
      <c r="K38" s="27" t="n">
        <f aca="false">D38*(J38+1/Inputs!$B$23+Inputs!$B$25)</f>
        <v>644.742425</v>
      </c>
      <c r="L38" s="32" t="n">
        <f aca="false">$C38*(1-Inputs!$B$22)</f>
        <v>4.89</v>
      </c>
      <c r="M38" s="33" t="n">
        <f aca="false">L38/Inputs!$B$42</f>
        <v>0.163</v>
      </c>
      <c r="N38" s="33" t="n">
        <f aca="false">L38/(Inputs!$B$12*Inputs!$B$23)</f>
        <v>0.2445</v>
      </c>
      <c r="O38" s="34" t="n">
        <f aca="false">IF(N38&lt;1,((L38/Inputs!$B$23)^Inputs!$B$12/FACT(Inputs!$B$12)*Inputs!$B$12/(Inputs!$B$12-(L38/Inputs!$B$23)))/(SUMPRODUCT(--({0,1,2,3,4,5,6,7,8,9}&lt;Inputs!$B$12),(L38/Inputs!$B$23)^{0,1,2,3,4,5,6,7,8,9}/FACT({0,1,2,3,4,5,6,7,8,9}))+((L38/Inputs!$B$23)^Inputs!$B$12/FACT(Inputs!$B$12)*Inputs!$B$12/(Inputs!$B$12-(L38/Inputs!$B$23)))),1)</f>
        <v>0.0960711128967457</v>
      </c>
      <c r="P38" s="34" t="n">
        <f aca="false">IF(N38&lt;1,O38/(Inputs!$B$12*Inputs!$B$23-L38),0)</f>
        <v>0.00635811468542328</v>
      </c>
      <c r="Q38" s="27" t="n">
        <f aca="false">MAX(0,Q37+(L38-Inputs!$B$12*Inputs!$B$23)*10)</f>
        <v>0</v>
      </c>
      <c r="R38" s="32" t="n">
        <f aca="false">Q38/(Inputs!$B$12*Inputs!$B$23)+P38</f>
        <v>0.00635811468542328</v>
      </c>
      <c r="S38" s="27" t="n">
        <f aca="false">L38*(R38+1/Inputs!$B$23+Inputs!$B$25)</f>
        <v>83.6500911808117</v>
      </c>
      <c r="T38" s="32" t="n">
        <f aca="false">$C38*$E$26</f>
        <v>20.864</v>
      </c>
      <c r="U38" s="33" t="n">
        <f aca="false">T38/Inputs!$B$41</f>
        <v>0.695466666666667</v>
      </c>
      <c r="V38" s="33" t="n">
        <f aca="false">T38/(Inputs!$B$11*Inputs!$B$23)</f>
        <v>1.0432</v>
      </c>
      <c r="W38" s="34" t="n">
        <f aca="false">IF(V38&lt;1,((T38/Inputs!$B$23)^Inputs!$B$11/FACT(Inputs!$B$11)*Inputs!$B$11/(Inputs!$B$11-(T38/Inputs!$B$23)))/(SUMPRODUCT(--({0,1,2,3,4,5,6,7,8,9}&lt;Inputs!$B$11),(T38/Inputs!$B$23)^{0,1,2,3,4,5,6,7,8,9}/FACT({0,1,2,3,4,5,6,7,8,9}))+((T38/Inputs!$B$23)^Inputs!$B$11/FACT(Inputs!$B$11)*Inputs!$B$11/(Inputs!$B$11-(T38/Inputs!$B$23)))),1)</f>
        <v>1</v>
      </c>
      <c r="X38" s="34" t="n">
        <f aca="false">IF(V38&lt;1,W38/(Inputs!$B$11*Inputs!$B$23-T38),0)</f>
        <v>0</v>
      </c>
      <c r="Y38" s="27" t="n">
        <f aca="false">MAX(0,Y37+(T38-Inputs!$B$11*Inputs!$B$23)*10)</f>
        <v>8.64000000000001</v>
      </c>
      <c r="Z38" s="32" t="n">
        <f aca="false">Y38/(Inputs!$B$11*Inputs!$B$23)+X38</f>
        <v>0.432</v>
      </c>
      <c r="AA38" s="27" t="n">
        <f aca="false">T38*(Z38+1/Inputs!$B$23+Inputs!$B$25)</f>
        <v>365.787648</v>
      </c>
      <c r="AB38" s="32" t="n">
        <f aca="false">$C38*(1-$E$26)</f>
        <v>11.736</v>
      </c>
      <c r="AC38" s="33" t="n">
        <f aca="false">AB38/Inputs!$B$42</f>
        <v>0.3912</v>
      </c>
      <c r="AD38" s="33" t="n">
        <f aca="false">AB38/(Inputs!$B$12*Inputs!$B$23)</f>
        <v>0.5868</v>
      </c>
      <c r="AE38" s="34" t="n">
        <f aca="false">IF(AD38&lt;1,((AB38/Inputs!$B$23)^Inputs!$B$12/FACT(Inputs!$B$12)*Inputs!$B$12/(Inputs!$B$12-(AB38/Inputs!$B$23)))/(SUMPRODUCT(--({0,1,2,3,4,5,6,7,8,9}&lt;Inputs!$B$12),(AB38/Inputs!$B$23)^{0,1,2,3,4,5,6,7,8,9}/FACT({0,1,2,3,4,5,6,7,8,9}))+((AB38/Inputs!$B$23)^Inputs!$B$12/FACT(Inputs!$B$12)*Inputs!$B$12/(Inputs!$B$12-(AB38/Inputs!$B$23)))),1)</f>
        <v>0.433998285858331</v>
      </c>
      <c r="AF38" s="34" t="n">
        <f aca="false">IF(AD38&lt;1,AE38/(Inputs!$B$12*Inputs!$B$23-AB38),0)</f>
        <v>0.0525167335259355</v>
      </c>
      <c r="AG38" s="27" t="n">
        <f aca="false">MAX(0,AG37+(AB38-Inputs!$B$12*Inputs!$B$23)*10)</f>
        <v>0</v>
      </c>
      <c r="AH38" s="32" t="n">
        <f aca="false">AG38/(Inputs!$B$12*Inputs!$B$23)+AF38</f>
        <v>0.0525167335259355</v>
      </c>
      <c r="AI38" s="27" t="n">
        <f aca="false">AB38*(AH38+1/Inputs!$B$23+Inputs!$B$25)</f>
        <v>201.30193638466</v>
      </c>
    </row>
    <row r="39" customFormat="false" ht="15" hidden="false" customHeight="false" outlineLevel="0" collapsed="false">
      <c r="A39" s="12" t="s">
        <v>386</v>
      </c>
      <c r="B39" s="16" t="n">
        <v>340</v>
      </c>
      <c r="C39" s="22" t="n">
        <f aca="false">B39/10</f>
        <v>34</v>
      </c>
      <c r="D39" s="32" t="n">
        <f aca="false">$C39*Inputs!$B$22</f>
        <v>28.9</v>
      </c>
      <c r="E39" s="33" t="n">
        <f aca="false">D39/Inputs!$B$41</f>
        <v>0.963333333333333</v>
      </c>
      <c r="F39" s="33" t="n">
        <f aca="false">D39/(Inputs!$B$11*Inputs!$B$23)</f>
        <v>1.445</v>
      </c>
      <c r="G39" s="34" t="n">
        <f aca="false">IF(F39&lt;1,((D39/Inputs!$B$23)^Inputs!$B$11/FACT(Inputs!$B$11)*Inputs!$B$11/(Inputs!$B$11-(D39/Inputs!$B$23)))/(SUMPRODUCT(--({0,1,2,3,4,5,6,7,8,9}&lt;Inputs!$B$11),(D39/Inputs!$B$23)^{0,1,2,3,4,5,6,7,8,9}/FACT({0,1,2,3,4,5,6,7,8,9}))+((D39/Inputs!$B$23)^Inputs!$B$11/FACT(Inputs!$B$11)*Inputs!$B$11/(Inputs!$B$11-(D39/Inputs!$B$23)))),1)</f>
        <v>1</v>
      </c>
      <c r="H39" s="34" t="n">
        <f aca="false">IF(F39&lt;1,G39/(Inputs!$B$11*Inputs!$B$23-D39),0)</f>
        <v>0</v>
      </c>
      <c r="I39" s="27" t="n">
        <f aca="false">MAX(0,I38+(D39-Inputs!$B$11*Inputs!$B$23)*10)</f>
        <v>212.35</v>
      </c>
      <c r="J39" s="32" t="n">
        <f aca="false">I39/(Inputs!$B$11*Inputs!$B$23)+H39</f>
        <v>10.6175</v>
      </c>
      <c r="K39" s="27" t="n">
        <f aca="false">D39*(J39+1/Inputs!$B$23+Inputs!$B$25)</f>
        <v>801.03575</v>
      </c>
      <c r="L39" s="32" t="n">
        <f aca="false">$C39*(1-Inputs!$B$22)</f>
        <v>5.1</v>
      </c>
      <c r="M39" s="33" t="n">
        <f aca="false">L39/Inputs!$B$42</f>
        <v>0.17</v>
      </c>
      <c r="N39" s="33" t="n">
        <f aca="false">L39/(Inputs!$B$12*Inputs!$B$23)</f>
        <v>0.255</v>
      </c>
      <c r="O39" s="34" t="n">
        <f aca="false">IF(N39&lt;1,((L39/Inputs!$B$23)^Inputs!$B$12/FACT(Inputs!$B$12)*Inputs!$B$12/(Inputs!$B$12-(L39/Inputs!$B$23)))/(SUMPRODUCT(--({0,1,2,3,4,5,6,7,8,9}&lt;Inputs!$B$12),(L39/Inputs!$B$23)^{0,1,2,3,4,5,6,7,8,9}/FACT({0,1,2,3,4,5,6,7,8,9}))+((L39/Inputs!$B$23)^Inputs!$B$12/FACT(Inputs!$B$12)*Inputs!$B$12/(Inputs!$B$12-(L39/Inputs!$B$23)))),1)</f>
        <v>0.103625498007968</v>
      </c>
      <c r="P39" s="34" t="n">
        <f aca="false">IF(N39&lt;1,O39/(Inputs!$B$12*Inputs!$B$23-L39),0)</f>
        <v>0.00695473140993075</v>
      </c>
      <c r="Q39" s="27" t="n">
        <f aca="false">MAX(0,Q38+(L39-Inputs!$B$12*Inputs!$B$23)*10)</f>
        <v>0</v>
      </c>
      <c r="R39" s="32" t="n">
        <f aca="false">Q39/(Inputs!$B$12*Inputs!$B$23)+P39</f>
        <v>0.00695473140993075</v>
      </c>
      <c r="S39" s="27" t="n">
        <f aca="false">L39*(R39+1/Inputs!$B$23+Inputs!$B$25)</f>
        <v>87.2454691301907</v>
      </c>
      <c r="T39" s="32" t="n">
        <f aca="false">$C39*$E$26</f>
        <v>21.76</v>
      </c>
      <c r="U39" s="33" t="n">
        <f aca="false">T39/Inputs!$B$41</f>
        <v>0.725333333333333</v>
      </c>
      <c r="V39" s="33" t="n">
        <f aca="false">T39/(Inputs!$B$11*Inputs!$B$23)</f>
        <v>1.088</v>
      </c>
      <c r="W39" s="34" t="n">
        <f aca="false">IF(V39&lt;1,((T39/Inputs!$B$23)^Inputs!$B$11/FACT(Inputs!$B$11)*Inputs!$B$11/(Inputs!$B$11-(T39/Inputs!$B$23)))/(SUMPRODUCT(--({0,1,2,3,4,5,6,7,8,9}&lt;Inputs!$B$11),(T39/Inputs!$B$23)^{0,1,2,3,4,5,6,7,8,9}/FACT({0,1,2,3,4,5,6,7,8,9}))+((T39/Inputs!$B$23)^Inputs!$B$11/FACT(Inputs!$B$11)*Inputs!$B$11/(Inputs!$B$11-(T39/Inputs!$B$23)))),1)</f>
        <v>1</v>
      </c>
      <c r="X39" s="34" t="n">
        <f aca="false">IF(V39&lt;1,W39/(Inputs!$B$11*Inputs!$B$23-T39),0)</f>
        <v>0</v>
      </c>
      <c r="Y39" s="27" t="n">
        <f aca="false">MAX(0,Y38+(T39-Inputs!$B$11*Inputs!$B$23)*10)</f>
        <v>26.24</v>
      </c>
      <c r="Z39" s="32" t="n">
        <f aca="false">Y39/(Inputs!$B$11*Inputs!$B$23)+X39</f>
        <v>1.312</v>
      </c>
      <c r="AA39" s="27" t="n">
        <f aca="false">T39*(Z39+1/Inputs!$B$23+Inputs!$B$25)</f>
        <v>400.64512</v>
      </c>
      <c r="AB39" s="32" t="n">
        <f aca="false">$C39*(1-$E$26)</f>
        <v>12.24</v>
      </c>
      <c r="AC39" s="33" t="n">
        <f aca="false">AB39/Inputs!$B$42</f>
        <v>0.408</v>
      </c>
      <c r="AD39" s="33" t="n">
        <f aca="false">AB39/(Inputs!$B$12*Inputs!$B$23)</f>
        <v>0.612</v>
      </c>
      <c r="AE39" s="34" t="n">
        <f aca="false">IF(AD39&lt;1,((AB39/Inputs!$B$23)^Inputs!$B$12/FACT(Inputs!$B$12)*Inputs!$B$12/(Inputs!$B$12-(AB39/Inputs!$B$23)))/(SUMPRODUCT(--({0,1,2,3,4,5,6,7,8,9}&lt;Inputs!$B$12),(AB39/Inputs!$B$23)^{0,1,2,3,4,5,6,7,8,9}/FACT({0,1,2,3,4,5,6,7,8,9}))+((AB39/Inputs!$B$23)^Inputs!$B$12/FACT(Inputs!$B$12)*Inputs!$B$12/(Inputs!$B$12-(AB39/Inputs!$B$23)))),1)</f>
        <v>0.464694789081886</v>
      </c>
      <c r="AF39" s="34" t="n">
        <f aca="false">IF(AD39&lt;1,AE39/(Inputs!$B$12*Inputs!$B$23-AB39),0)</f>
        <v>0.0598833491084904</v>
      </c>
      <c r="AG39" s="27" t="n">
        <f aca="false">MAX(0,AG38+(AB39-Inputs!$B$12*Inputs!$B$23)*10)</f>
        <v>0</v>
      </c>
      <c r="AH39" s="32" t="n">
        <f aca="false">AG39/(Inputs!$B$12*Inputs!$B$23)+AF39</f>
        <v>0.0598833491084904</v>
      </c>
      <c r="AI39" s="27" t="n">
        <f aca="false">AB39*(AH39+1/Inputs!$B$23+Inputs!$B$25)</f>
        <v>210.036972193088</v>
      </c>
    </row>
    <row r="40" customFormat="false" ht="15" hidden="false" customHeight="false" outlineLevel="0" collapsed="false">
      <c r="A40" s="12" t="s">
        <v>387</v>
      </c>
      <c r="B40" s="16" t="n">
        <v>326</v>
      </c>
      <c r="C40" s="22" t="n">
        <f aca="false">B40/10</f>
        <v>32.6</v>
      </c>
      <c r="D40" s="32" t="n">
        <f aca="false">$C40*Inputs!$B$22</f>
        <v>27.71</v>
      </c>
      <c r="E40" s="33" t="n">
        <f aca="false">D40/Inputs!$B$41</f>
        <v>0.923666666666667</v>
      </c>
      <c r="F40" s="33" t="n">
        <f aca="false">D40/(Inputs!$B$11*Inputs!$B$23)</f>
        <v>1.3855</v>
      </c>
      <c r="G40" s="34" t="n">
        <f aca="false">IF(F40&lt;1,((D40/Inputs!$B$23)^Inputs!$B$11/FACT(Inputs!$B$11)*Inputs!$B$11/(Inputs!$B$11-(D40/Inputs!$B$23)))/(SUMPRODUCT(--({0,1,2,3,4,5,6,7,8,9}&lt;Inputs!$B$11),(D40/Inputs!$B$23)^{0,1,2,3,4,5,6,7,8,9}/FACT({0,1,2,3,4,5,6,7,8,9}))+((D40/Inputs!$B$23)^Inputs!$B$11/FACT(Inputs!$B$11)*Inputs!$B$11/(Inputs!$B$11-(D40/Inputs!$B$23)))),1)</f>
        <v>1</v>
      </c>
      <c r="H40" s="34" t="n">
        <f aca="false">IF(F40&lt;1,G40/(Inputs!$B$11*Inputs!$B$23-D40),0)</f>
        <v>0</v>
      </c>
      <c r="I40" s="27" t="n">
        <f aca="false">MAX(0,I39+(D40-Inputs!$B$11*Inputs!$B$23)*10)</f>
        <v>289.45</v>
      </c>
      <c r="J40" s="32" t="n">
        <f aca="false">I40/(Inputs!$B$11*Inputs!$B$23)+H40</f>
        <v>14.4725</v>
      </c>
      <c r="K40" s="27" t="n">
        <f aca="false">D40*(J40+1/Inputs!$B$23+Inputs!$B$25)</f>
        <v>874.873975</v>
      </c>
      <c r="L40" s="32" t="n">
        <f aca="false">$C40*(1-Inputs!$B$22)</f>
        <v>4.89</v>
      </c>
      <c r="M40" s="33" t="n">
        <f aca="false">L40/Inputs!$B$42</f>
        <v>0.163</v>
      </c>
      <c r="N40" s="33" t="n">
        <f aca="false">L40/(Inputs!$B$12*Inputs!$B$23)</f>
        <v>0.2445</v>
      </c>
      <c r="O40" s="34" t="n">
        <f aca="false">IF(N40&lt;1,((L40/Inputs!$B$23)^Inputs!$B$12/FACT(Inputs!$B$12)*Inputs!$B$12/(Inputs!$B$12-(L40/Inputs!$B$23)))/(SUMPRODUCT(--({0,1,2,3,4,5,6,7,8,9}&lt;Inputs!$B$12),(L40/Inputs!$B$23)^{0,1,2,3,4,5,6,7,8,9}/FACT({0,1,2,3,4,5,6,7,8,9}))+((L40/Inputs!$B$23)^Inputs!$B$12/FACT(Inputs!$B$12)*Inputs!$B$12/(Inputs!$B$12-(L40/Inputs!$B$23)))),1)</f>
        <v>0.0960711128967457</v>
      </c>
      <c r="P40" s="34" t="n">
        <f aca="false">IF(N40&lt;1,O40/(Inputs!$B$12*Inputs!$B$23-L40),0)</f>
        <v>0.00635811468542328</v>
      </c>
      <c r="Q40" s="27" t="n">
        <f aca="false">MAX(0,Q39+(L40-Inputs!$B$12*Inputs!$B$23)*10)</f>
        <v>0</v>
      </c>
      <c r="R40" s="32" t="n">
        <f aca="false">Q40/(Inputs!$B$12*Inputs!$B$23)+P40</f>
        <v>0.00635811468542328</v>
      </c>
      <c r="S40" s="27" t="n">
        <f aca="false">L40*(R40+1/Inputs!$B$23+Inputs!$B$25)</f>
        <v>83.6500911808117</v>
      </c>
      <c r="T40" s="32" t="n">
        <f aca="false">$C40*$E$26</f>
        <v>20.864</v>
      </c>
      <c r="U40" s="33" t="n">
        <f aca="false">T40/Inputs!$B$41</f>
        <v>0.695466666666667</v>
      </c>
      <c r="V40" s="33" t="n">
        <f aca="false">T40/(Inputs!$B$11*Inputs!$B$23)</f>
        <v>1.0432</v>
      </c>
      <c r="W40" s="34" t="n">
        <f aca="false">IF(V40&lt;1,((T40/Inputs!$B$23)^Inputs!$B$11/FACT(Inputs!$B$11)*Inputs!$B$11/(Inputs!$B$11-(T40/Inputs!$B$23)))/(SUMPRODUCT(--({0,1,2,3,4,5,6,7,8,9}&lt;Inputs!$B$11),(T40/Inputs!$B$23)^{0,1,2,3,4,5,6,7,8,9}/FACT({0,1,2,3,4,5,6,7,8,9}))+((T40/Inputs!$B$23)^Inputs!$B$11/FACT(Inputs!$B$11)*Inputs!$B$11/(Inputs!$B$11-(T40/Inputs!$B$23)))),1)</f>
        <v>1</v>
      </c>
      <c r="X40" s="34" t="n">
        <f aca="false">IF(V40&lt;1,W40/(Inputs!$B$11*Inputs!$B$23-T40),0)</f>
        <v>0</v>
      </c>
      <c r="Y40" s="27" t="n">
        <f aca="false">MAX(0,Y39+(T40-Inputs!$B$11*Inputs!$B$23)*10)</f>
        <v>34.88</v>
      </c>
      <c r="Z40" s="32" t="n">
        <f aca="false">Y40/(Inputs!$B$11*Inputs!$B$23)+X40</f>
        <v>1.744</v>
      </c>
      <c r="AA40" s="27" t="n">
        <f aca="false">T40*(Z40+1/Inputs!$B$23+Inputs!$B$25)</f>
        <v>393.161216</v>
      </c>
      <c r="AB40" s="32" t="n">
        <f aca="false">$C40*(1-$E$26)</f>
        <v>11.736</v>
      </c>
      <c r="AC40" s="33" t="n">
        <f aca="false">AB40/Inputs!$B$42</f>
        <v>0.3912</v>
      </c>
      <c r="AD40" s="33" t="n">
        <f aca="false">AB40/(Inputs!$B$12*Inputs!$B$23)</f>
        <v>0.5868</v>
      </c>
      <c r="AE40" s="34" t="n">
        <f aca="false">IF(AD40&lt;1,((AB40/Inputs!$B$23)^Inputs!$B$12/FACT(Inputs!$B$12)*Inputs!$B$12/(Inputs!$B$12-(AB40/Inputs!$B$23)))/(SUMPRODUCT(--({0,1,2,3,4,5,6,7,8,9}&lt;Inputs!$B$12),(AB40/Inputs!$B$23)^{0,1,2,3,4,5,6,7,8,9}/FACT({0,1,2,3,4,5,6,7,8,9}))+((AB40/Inputs!$B$23)^Inputs!$B$12/FACT(Inputs!$B$12)*Inputs!$B$12/(Inputs!$B$12-(AB40/Inputs!$B$23)))),1)</f>
        <v>0.433998285858331</v>
      </c>
      <c r="AF40" s="34" t="n">
        <f aca="false">IF(AD40&lt;1,AE40/(Inputs!$B$12*Inputs!$B$23-AB40),0)</f>
        <v>0.0525167335259355</v>
      </c>
      <c r="AG40" s="27" t="n">
        <f aca="false">MAX(0,AG39+(AB40-Inputs!$B$12*Inputs!$B$23)*10)</f>
        <v>0</v>
      </c>
      <c r="AH40" s="32" t="n">
        <f aca="false">AG40/(Inputs!$B$12*Inputs!$B$23)+AF40</f>
        <v>0.0525167335259355</v>
      </c>
      <c r="AI40" s="27" t="n">
        <f aca="false">AB40*(AH40+1/Inputs!$B$23+Inputs!$B$25)</f>
        <v>201.30193638466</v>
      </c>
    </row>
    <row r="41" customFormat="false" ht="15" hidden="false" customHeight="false" outlineLevel="0" collapsed="false">
      <c r="A41" s="12" t="s">
        <v>388</v>
      </c>
      <c r="B41" s="16" t="n">
        <v>289</v>
      </c>
      <c r="C41" s="22" t="n">
        <f aca="false">B41/10</f>
        <v>28.9</v>
      </c>
      <c r="D41" s="32" t="n">
        <f aca="false">$C41*Inputs!$B$22</f>
        <v>24.565</v>
      </c>
      <c r="E41" s="33" t="n">
        <f aca="false">D41/Inputs!$B$41</f>
        <v>0.818833333333333</v>
      </c>
      <c r="F41" s="33" t="n">
        <f aca="false">D41/(Inputs!$B$11*Inputs!$B$23)</f>
        <v>1.22825</v>
      </c>
      <c r="G41" s="34" t="n">
        <f aca="false">IF(F41&lt;1,((D41/Inputs!$B$23)^Inputs!$B$11/FACT(Inputs!$B$11)*Inputs!$B$11/(Inputs!$B$11-(D41/Inputs!$B$23)))/(SUMPRODUCT(--({0,1,2,3,4,5,6,7,8,9}&lt;Inputs!$B$11),(D41/Inputs!$B$23)^{0,1,2,3,4,5,6,7,8,9}/FACT({0,1,2,3,4,5,6,7,8,9}))+((D41/Inputs!$B$23)^Inputs!$B$11/FACT(Inputs!$B$11)*Inputs!$B$11/(Inputs!$B$11-(D41/Inputs!$B$23)))),1)</f>
        <v>1</v>
      </c>
      <c r="H41" s="34" t="n">
        <f aca="false">IF(F41&lt;1,G41/(Inputs!$B$11*Inputs!$B$23-D41),0)</f>
        <v>0</v>
      </c>
      <c r="I41" s="27" t="n">
        <f aca="false">MAX(0,I40+(D41-Inputs!$B$11*Inputs!$B$23)*10)</f>
        <v>335.1</v>
      </c>
      <c r="J41" s="32" t="n">
        <f aca="false">I41/(Inputs!$B$11*Inputs!$B$23)+H41</f>
        <v>16.755</v>
      </c>
      <c r="K41" s="27" t="n">
        <f aca="false">D41*(J41+1/Inputs!$B$23+Inputs!$B$25)</f>
        <v>831.648075</v>
      </c>
      <c r="L41" s="32" t="n">
        <f aca="false">$C41*(1-Inputs!$B$22)</f>
        <v>4.335</v>
      </c>
      <c r="M41" s="33" t="n">
        <f aca="false">L41/Inputs!$B$42</f>
        <v>0.1445</v>
      </c>
      <c r="N41" s="33" t="n">
        <f aca="false">L41/(Inputs!$B$12*Inputs!$B$23)</f>
        <v>0.21675</v>
      </c>
      <c r="O41" s="34" t="n">
        <f aca="false">IF(N41&lt;1,((L41/Inputs!$B$23)^Inputs!$B$12/FACT(Inputs!$B$12)*Inputs!$B$12/(Inputs!$B$12-(L41/Inputs!$B$23)))/(SUMPRODUCT(--({0,1,2,3,4,5,6,7,8,9}&lt;Inputs!$B$12),(L41/Inputs!$B$23)^{0,1,2,3,4,5,6,7,8,9}/FACT({0,1,2,3,4,5,6,7,8,9}))+((L41/Inputs!$B$23)^Inputs!$B$12/FACT(Inputs!$B$12)*Inputs!$B$12/(Inputs!$B$12-(L41/Inputs!$B$23)))),1)</f>
        <v>0.0772230326689953</v>
      </c>
      <c r="P41" s="34" t="n">
        <f aca="false">IF(N41&lt;1,O41/(Inputs!$B$12*Inputs!$B$23-L41),0)</f>
        <v>0.00492965417612482</v>
      </c>
      <c r="Q41" s="27" t="n">
        <f aca="false">MAX(0,Q40+(L41-Inputs!$B$12*Inputs!$B$23)*10)</f>
        <v>0</v>
      </c>
      <c r="R41" s="32" t="n">
        <f aca="false">Q41/(Inputs!$B$12*Inputs!$B$23)+P41</f>
        <v>0.00492965417612482</v>
      </c>
      <c r="S41" s="27" t="n">
        <f aca="false">L41*(R41+1/Inputs!$B$23+Inputs!$B$25)</f>
        <v>74.1498700508535</v>
      </c>
      <c r="T41" s="32" t="n">
        <f aca="false">$C41*$E$26</f>
        <v>18.496</v>
      </c>
      <c r="U41" s="33" t="n">
        <f aca="false">T41/Inputs!$B$41</f>
        <v>0.616533333333333</v>
      </c>
      <c r="V41" s="33" t="n">
        <f aca="false">T41/(Inputs!$B$11*Inputs!$B$23)</f>
        <v>0.9248</v>
      </c>
      <c r="W41" s="34" t="n">
        <f aca="false">IF(V41&lt;1,((T41/Inputs!$B$23)^Inputs!$B$11/FACT(Inputs!$B$11)*Inputs!$B$11/(Inputs!$B$11-(T41/Inputs!$B$23)))/(SUMPRODUCT(--({0,1,2,3,4,5,6,7,8,9}&lt;Inputs!$B$11),(T41/Inputs!$B$23)^{0,1,2,3,4,5,6,7,8,9}/FACT({0,1,2,3,4,5,6,7,8,9}))+((T41/Inputs!$B$23)^Inputs!$B$11/FACT(Inputs!$B$11)*Inputs!$B$11/(Inputs!$B$11-(T41/Inputs!$B$23)))),1)</f>
        <v>0.888668994181214</v>
      </c>
      <c r="X41" s="34" t="n">
        <f aca="false">IF(V41&lt;1,W41/(Inputs!$B$11*Inputs!$B$23-T41),0)</f>
        <v>0.590870341875806</v>
      </c>
      <c r="Y41" s="27" t="n">
        <f aca="false">MAX(0,Y40+(T41-Inputs!$B$11*Inputs!$B$23)*10)</f>
        <v>19.84</v>
      </c>
      <c r="Z41" s="32" t="n">
        <f aca="false">Y41/(Inputs!$B$11*Inputs!$B$23)+X41</f>
        <v>1.58287034187581</v>
      </c>
      <c r="AA41" s="27" t="n">
        <f aca="false">T41*(Z41+1/Inputs!$B$23+Inputs!$B$25)</f>
        <v>345.558369843335</v>
      </c>
      <c r="AB41" s="32" t="n">
        <f aca="false">$C41*(1-$E$26)</f>
        <v>10.404</v>
      </c>
      <c r="AC41" s="33" t="n">
        <f aca="false">AB41/Inputs!$B$42</f>
        <v>0.3468</v>
      </c>
      <c r="AD41" s="33" t="n">
        <f aca="false">AB41/(Inputs!$B$12*Inputs!$B$23)</f>
        <v>0.5202</v>
      </c>
      <c r="AE41" s="34" t="n">
        <f aca="false">IF(AD41&lt;1,((AB41/Inputs!$B$23)^Inputs!$B$12/FACT(Inputs!$B$12)*Inputs!$B$12/(Inputs!$B$12-(AB41/Inputs!$B$23)))/(SUMPRODUCT(--({0,1,2,3,4,5,6,7,8,9}&lt;Inputs!$B$12),(AB41/Inputs!$B$23)^{0,1,2,3,4,5,6,7,8,9}/FACT({0,1,2,3,4,5,6,7,8,9}))+((AB41/Inputs!$B$23)^Inputs!$B$12/FACT(Inputs!$B$12)*Inputs!$B$12/(Inputs!$B$12-(AB41/Inputs!$B$23)))),1)</f>
        <v>0.356016366267596</v>
      </c>
      <c r="AF41" s="34" t="n">
        <f aca="false">IF(AD41&lt;1,AE41/(Inputs!$B$12*Inputs!$B$23-AB41),0)</f>
        <v>0.0371004966931634</v>
      </c>
      <c r="AG41" s="27" t="n">
        <f aca="false">MAX(0,AG40+(AB41-Inputs!$B$12*Inputs!$B$23)*10)</f>
        <v>0</v>
      </c>
      <c r="AH41" s="32" t="n">
        <f aca="false">AG41/(Inputs!$B$12*Inputs!$B$23)+AF41</f>
        <v>0.0371004966931634</v>
      </c>
      <c r="AI41" s="27" t="n">
        <f aca="false">AB41*(AH41+1/Inputs!$B$23+Inputs!$B$25)</f>
        <v>178.294393567596</v>
      </c>
    </row>
    <row r="42" customFormat="false" ht="15" hidden="false" customHeight="false" outlineLevel="0" collapsed="false">
      <c r="A42" s="12" t="s">
        <v>389</v>
      </c>
      <c r="B42" s="16" t="n">
        <v>236</v>
      </c>
      <c r="C42" s="22" t="n">
        <f aca="false">B42/10</f>
        <v>23.6</v>
      </c>
      <c r="D42" s="32" t="n">
        <f aca="false">$C42*Inputs!$B$22</f>
        <v>20.06</v>
      </c>
      <c r="E42" s="33" t="n">
        <f aca="false">D42/Inputs!$B$41</f>
        <v>0.668666666666667</v>
      </c>
      <c r="F42" s="33" t="n">
        <f aca="false">D42/(Inputs!$B$11*Inputs!$B$23)</f>
        <v>1.003</v>
      </c>
      <c r="G42" s="34" t="n">
        <f aca="false">IF(F42&lt;1,((D42/Inputs!$B$23)^Inputs!$B$11/FACT(Inputs!$B$11)*Inputs!$B$11/(Inputs!$B$11-(D42/Inputs!$B$23)))/(SUMPRODUCT(--({0,1,2,3,4,5,6,7,8,9}&lt;Inputs!$B$11),(D42/Inputs!$B$23)^{0,1,2,3,4,5,6,7,8,9}/FACT({0,1,2,3,4,5,6,7,8,9}))+((D42/Inputs!$B$23)^Inputs!$B$11/FACT(Inputs!$B$11)*Inputs!$B$11/(Inputs!$B$11-(D42/Inputs!$B$23)))),1)</f>
        <v>1</v>
      </c>
      <c r="H42" s="34" t="n">
        <f aca="false">IF(F42&lt;1,G42/(Inputs!$B$11*Inputs!$B$23-D42),0)</f>
        <v>0</v>
      </c>
      <c r="I42" s="27" t="n">
        <f aca="false">MAX(0,I41+(D42-Inputs!$B$11*Inputs!$B$23)*10)</f>
        <v>335.7</v>
      </c>
      <c r="J42" s="32" t="n">
        <f aca="false">I42/(Inputs!$B$11*Inputs!$B$23)+H42</f>
        <v>16.785</v>
      </c>
      <c r="K42" s="27" t="n">
        <f aca="false">D42*(J42+1/Inputs!$B$23+Inputs!$B$25)</f>
        <v>679.7331</v>
      </c>
      <c r="L42" s="32" t="n">
        <f aca="false">$C42*(1-Inputs!$B$22)</f>
        <v>3.54</v>
      </c>
      <c r="M42" s="33" t="n">
        <f aca="false">L42/Inputs!$B$42</f>
        <v>0.118</v>
      </c>
      <c r="N42" s="33" t="n">
        <f aca="false">L42/(Inputs!$B$12*Inputs!$B$23)</f>
        <v>0.177</v>
      </c>
      <c r="O42" s="34" t="n">
        <f aca="false">IF(N42&lt;1,((L42/Inputs!$B$23)^Inputs!$B$12/FACT(Inputs!$B$12)*Inputs!$B$12/(Inputs!$B$12-(L42/Inputs!$B$23)))/(SUMPRODUCT(--({0,1,2,3,4,5,6,7,8,9}&lt;Inputs!$B$12),(L42/Inputs!$B$23)^{0,1,2,3,4,5,6,7,8,9}/FACT({0,1,2,3,4,5,6,7,8,9}))+((L42/Inputs!$B$23)^Inputs!$B$12/FACT(Inputs!$B$12)*Inputs!$B$12/(Inputs!$B$12-(L42/Inputs!$B$23)))),1)</f>
        <v>0.0532353440951572</v>
      </c>
      <c r="P42" s="34" t="n">
        <f aca="false">IF(N42&lt;1,O42/(Inputs!$B$12*Inputs!$B$23-L42),0)</f>
        <v>0.00323422503615779</v>
      </c>
      <c r="Q42" s="27" t="n">
        <f aca="false">MAX(0,Q41+(L42-Inputs!$B$12*Inputs!$B$23)*10)</f>
        <v>0</v>
      </c>
      <c r="R42" s="32" t="n">
        <f aca="false">Q42/(Inputs!$B$12*Inputs!$B$23)+P42</f>
        <v>0.00323422503615779</v>
      </c>
      <c r="S42" s="27" t="n">
        <f aca="false">L42*(R42+1/Inputs!$B$23+Inputs!$B$25)</f>
        <v>60.545449156628</v>
      </c>
      <c r="T42" s="32" t="n">
        <f aca="false">$C42*$E$26</f>
        <v>15.104</v>
      </c>
      <c r="U42" s="33" t="n">
        <f aca="false">T42/Inputs!$B$41</f>
        <v>0.503466666666667</v>
      </c>
      <c r="V42" s="33" t="n">
        <f aca="false">T42/(Inputs!$B$11*Inputs!$B$23)</f>
        <v>0.7552</v>
      </c>
      <c r="W42" s="34" t="n">
        <f aca="false">IF(V42&lt;1,((T42/Inputs!$B$23)^Inputs!$B$11/FACT(Inputs!$B$11)*Inputs!$B$11/(Inputs!$B$11-(T42/Inputs!$B$23)))/(SUMPRODUCT(--({0,1,2,3,4,5,6,7,8,9}&lt;Inputs!$B$11),(T42/Inputs!$B$23)^{0,1,2,3,4,5,6,7,8,9}/FACT({0,1,2,3,4,5,6,7,8,9}))+((T42/Inputs!$B$23)^Inputs!$B$11/FACT(Inputs!$B$11)*Inputs!$B$11/(Inputs!$B$11-(T42/Inputs!$B$23)))),1)</f>
        <v>0.64987128532361</v>
      </c>
      <c r="X42" s="34" t="n">
        <f aca="false">IF(V42&lt;1,W42/(Inputs!$B$11*Inputs!$B$23-T42),0)</f>
        <v>0.132735148146162</v>
      </c>
      <c r="Y42" s="27" t="n">
        <f aca="false">MAX(0,Y41+(T42-Inputs!$B$11*Inputs!$B$23)*10)</f>
        <v>0</v>
      </c>
      <c r="Z42" s="32" t="n">
        <f aca="false">Y42/(Inputs!$B$11*Inputs!$B$23)+X42</f>
        <v>0.132735148146162</v>
      </c>
      <c r="AA42" s="27" t="n">
        <f aca="false">T42*(Z42+1/Inputs!$B$23+Inputs!$B$25)</f>
        <v>260.2832316776</v>
      </c>
      <c r="AB42" s="32" t="n">
        <f aca="false">$C42*(1-$E$26)</f>
        <v>8.496</v>
      </c>
      <c r="AC42" s="33" t="n">
        <f aca="false">AB42/Inputs!$B$42</f>
        <v>0.2832</v>
      </c>
      <c r="AD42" s="33" t="n">
        <f aca="false">AB42/(Inputs!$B$12*Inputs!$B$23)</f>
        <v>0.4248</v>
      </c>
      <c r="AE42" s="34" t="n">
        <f aca="false">IF(AD42&lt;1,((AB42/Inputs!$B$23)^Inputs!$B$12/FACT(Inputs!$B$12)*Inputs!$B$12/(Inputs!$B$12-(AB42/Inputs!$B$23)))/(SUMPRODUCT(--({0,1,2,3,4,5,6,7,8,9}&lt;Inputs!$B$12),(AB42/Inputs!$B$23)^{0,1,2,3,4,5,6,7,8,9}/FACT({0,1,2,3,4,5,6,7,8,9}))+((AB42/Inputs!$B$23)^Inputs!$B$12/FACT(Inputs!$B$12)*Inputs!$B$12/(Inputs!$B$12-(AB42/Inputs!$B$23)))),1)</f>
        <v>0.253305783267827</v>
      </c>
      <c r="AF42" s="34" t="n">
        <f aca="false">IF(AD42&lt;1,AE42/(Inputs!$B$12*Inputs!$B$23-AB42),0)</f>
        <v>0.022018931090736</v>
      </c>
      <c r="AG42" s="27" t="n">
        <f aca="false">MAX(0,AG41+(AB42-Inputs!$B$12*Inputs!$B$23)*10)</f>
        <v>0</v>
      </c>
      <c r="AH42" s="32" t="n">
        <f aca="false">AG42/(Inputs!$B$12*Inputs!$B$23)+AF42</f>
        <v>0.022018931090736</v>
      </c>
      <c r="AI42" s="27" t="n">
        <f aca="false">AB42*(AH42+1/Inputs!$B$23+Inputs!$B$25)</f>
        <v>145.468672838547</v>
      </c>
    </row>
    <row r="43" customFormat="false" ht="15" hidden="false" customHeight="false" outlineLevel="0" collapsed="false">
      <c r="A43" s="12" t="s">
        <v>390</v>
      </c>
      <c r="B43" s="16" t="n">
        <v>178</v>
      </c>
      <c r="C43" s="22" t="n">
        <f aca="false">B43/10</f>
        <v>17.8</v>
      </c>
      <c r="D43" s="32" t="n">
        <f aca="false">$C43*Inputs!$B$22</f>
        <v>15.13</v>
      </c>
      <c r="E43" s="33" t="n">
        <f aca="false">D43/Inputs!$B$41</f>
        <v>0.504333333333333</v>
      </c>
      <c r="F43" s="33" t="n">
        <f aca="false">D43/(Inputs!$B$11*Inputs!$B$23)</f>
        <v>0.7565</v>
      </c>
      <c r="G43" s="34" t="n">
        <f aca="false">IF(F43&lt;1,((D43/Inputs!$B$23)^Inputs!$B$11/FACT(Inputs!$B$11)*Inputs!$B$11/(Inputs!$B$11-(D43/Inputs!$B$23)))/(SUMPRODUCT(--({0,1,2,3,4,5,6,7,8,9}&lt;Inputs!$B$11),(D43/Inputs!$B$23)^{0,1,2,3,4,5,6,7,8,9}/FACT({0,1,2,3,4,5,6,7,8,9}))+((D43/Inputs!$B$23)^Inputs!$B$11/FACT(Inputs!$B$11)*Inputs!$B$11/(Inputs!$B$11-(D43/Inputs!$B$23)))),1)</f>
        <v>0.651627953316254</v>
      </c>
      <c r="H43" s="34" t="n">
        <f aca="false">IF(F43&lt;1,G43/(Inputs!$B$11*Inputs!$B$23-D43),0)</f>
        <v>0.133804507867814</v>
      </c>
      <c r="I43" s="27" t="n">
        <f aca="false">MAX(0,I42+(D43-Inputs!$B$11*Inputs!$B$23)*10)</f>
        <v>287</v>
      </c>
      <c r="J43" s="32" t="n">
        <f aca="false">I43/(Inputs!$B$11*Inputs!$B$23)+H43</f>
        <v>14.4838045078678</v>
      </c>
      <c r="K43" s="27" t="n">
        <f aca="false">D43*(J43+1/Inputs!$B$23+Inputs!$B$25)</f>
        <v>477.86296220404</v>
      </c>
      <c r="L43" s="32" t="n">
        <f aca="false">$C43*(1-Inputs!$B$22)</f>
        <v>2.67</v>
      </c>
      <c r="M43" s="33" t="n">
        <f aca="false">L43/Inputs!$B$42</f>
        <v>0.089</v>
      </c>
      <c r="N43" s="33" t="n">
        <f aca="false">L43/(Inputs!$B$12*Inputs!$B$23)</f>
        <v>0.1335</v>
      </c>
      <c r="O43" s="34" t="n">
        <f aca="false">IF(N43&lt;1,((L43/Inputs!$B$23)^Inputs!$B$12/FACT(Inputs!$B$12)*Inputs!$B$12/(Inputs!$B$12-(L43/Inputs!$B$23)))/(SUMPRODUCT(--({0,1,2,3,4,5,6,7,8,9}&lt;Inputs!$B$12),(L43/Inputs!$B$23)^{0,1,2,3,4,5,6,7,8,9}/FACT({0,1,2,3,4,5,6,7,8,9}))+((L43/Inputs!$B$23)^Inputs!$B$12/FACT(Inputs!$B$12)*Inputs!$B$12/(Inputs!$B$12-(L43/Inputs!$B$23)))),1)</f>
        <v>0.0314464049404499</v>
      </c>
      <c r="P43" s="34" t="n">
        <f aca="false">IF(N43&lt;1,O43/(Inputs!$B$12*Inputs!$B$23-L43),0)</f>
        <v>0.0018145646243768</v>
      </c>
      <c r="Q43" s="27" t="n">
        <f aca="false">MAX(0,Q42+(L43-Inputs!$B$12*Inputs!$B$23)*10)</f>
        <v>0</v>
      </c>
      <c r="R43" s="32" t="n">
        <f aca="false">Q43/(Inputs!$B$12*Inputs!$B$23)+P43</f>
        <v>0.0018145646243768</v>
      </c>
      <c r="S43" s="27" t="n">
        <f aca="false">L43*(R43+1/Inputs!$B$23+Inputs!$B$25)</f>
        <v>45.6618448875471</v>
      </c>
      <c r="T43" s="32" t="n">
        <f aca="false">$C43*$E$26</f>
        <v>11.392</v>
      </c>
      <c r="U43" s="33" t="n">
        <f aca="false">T43/Inputs!$B$41</f>
        <v>0.379733333333333</v>
      </c>
      <c r="V43" s="33" t="n">
        <f aca="false">T43/(Inputs!$B$11*Inputs!$B$23)</f>
        <v>0.5696</v>
      </c>
      <c r="W43" s="34" t="n">
        <f aca="false">IF(V43&lt;1,((T43/Inputs!$B$23)^Inputs!$B$11/FACT(Inputs!$B$11)*Inputs!$B$11/(Inputs!$B$11-(T43/Inputs!$B$23)))/(SUMPRODUCT(--({0,1,2,3,4,5,6,7,8,9}&lt;Inputs!$B$11),(T43/Inputs!$B$23)^{0,1,2,3,4,5,6,7,8,9}/FACT({0,1,2,3,4,5,6,7,8,9}))+((T43/Inputs!$B$23)^Inputs!$B$11/FACT(Inputs!$B$11)*Inputs!$B$11/(Inputs!$B$11-(T43/Inputs!$B$23)))),1)</f>
        <v>0.41340998980632</v>
      </c>
      <c r="X43" s="34" t="n">
        <f aca="false">IF(V43&lt;1,W43/(Inputs!$B$11*Inputs!$B$23-T43),0)</f>
        <v>0.0480262534626301</v>
      </c>
      <c r="Y43" s="27" t="n">
        <f aca="false">MAX(0,Y42+(T43-Inputs!$B$11*Inputs!$B$23)*10)</f>
        <v>0</v>
      </c>
      <c r="Z43" s="32" t="n">
        <f aca="false">Y43/(Inputs!$B$11*Inputs!$B$23)+X43</f>
        <v>0.0480262534626301</v>
      </c>
      <c r="AA43" s="27" t="n">
        <f aca="false">T43*(Z43+1/Inputs!$B$23+Inputs!$B$25)</f>
        <v>195.350315079446</v>
      </c>
      <c r="AB43" s="32" t="n">
        <f aca="false">$C43*(1-$E$26)</f>
        <v>6.408</v>
      </c>
      <c r="AC43" s="33" t="n">
        <f aca="false">AB43/Inputs!$B$42</f>
        <v>0.2136</v>
      </c>
      <c r="AD43" s="33" t="n">
        <f aca="false">AB43/(Inputs!$B$12*Inputs!$B$23)</f>
        <v>0.3204</v>
      </c>
      <c r="AE43" s="34" t="n">
        <f aca="false">IF(AD43&lt;1,((AB43/Inputs!$B$23)^Inputs!$B$12/FACT(Inputs!$B$12)*Inputs!$B$12/(Inputs!$B$12-(AB43/Inputs!$B$23)))/(SUMPRODUCT(--({0,1,2,3,4,5,6,7,8,9}&lt;Inputs!$B$12),(AB43/Inputs!$B$23)^{0,1,2,3,4,5,6,7,8,9}/FACT({0,1,2,3,4,5,6,7,8,9}))+((AB43/Inputs!$B$23)^Inputs!$B$12/FACT(Inputs!$B$12)*Inputs!$B$12/(Inputs!$B$12-(AB43/Inputs!$B$23)))),1)</f>
        <v>0.155492517418964</v>
      </c>
      <c r="AF43" s="34" t="n">
        <f aca="false">IF(AD43&lt;1,AE43/(Inputs!$B$12*Inputs!$B$23-AB43),0)</f>
        <v>0.0114400027530138</v>
      </c>
      <c r="AG43" s="27" t="n">
        <f aca="false">MAX(0,AG42+(AB43-Inputs!$B$12*Inputs!$B$23)*10)</f>
        <v>0</v>
      </c>
      <c r="AH43" s="32" t="n">
        <f aca="false">AG43/(Inputs!$B$12*Inputs!$B$23)+AF43</f>
        <v>0.0114400027530138</v>
      </c>
      <c r="AI43" s="27" t="n">
        <f aca="false">AB43*(AH43+1/Inputs!$B$23+Inputs!$B$25)</f>
        <v>109.650107537641</v>
      </c>
    </row>
    <row r="44" customFormat="false" ht="15" hidden="false" customHeight="false" outlineLevel="0" collapsed="false">
      <c r="A44" s="12" t="s">
        <v>391</v>
      </c>
      <c r="B44" s="16" t="n">
        <v>123</v>
      </c>
      <c r="C44" s="22" t="n">
        <f aca="false">B44/10</f>
        <v>12.3</v>
      </c>
      <c r="D44" s="32" t="n">
        <f aca="false">$C44*Inputs!$B$22</f>
        <v>10.455</v>
      </c>
      <c r="E44" s="33" t="n">
        <f aca="false">D44/Inputs!$B$41</f>
        <v>0.3485</v>
      </c>
      <c r="F44" s="33" t="n">
        <f aca="false">D44/(Inputs!$B$11*Inputs!$B$23)</f>
        <v>0.52275</v>
      </c>
      <c r="G44" s="34" t="n">
        <f aca="false">IF(F44&lt;1,((D44/Inputs!$B$23)^Inputs!$B$11/FACT(Inputs!$B$11)*Inputs!$B$11/(Inputs!$B$11-(D44/Inputs!$B$23)))/(SUMPRODUCT(--({0,1,2,3,4,5,6,7,8,9}&lt;Inputs!$B$11),(D44/Inputs!$B$23)^{0,1,2,3,4,5,6,7,8,9}/FACT({0,1,2,3,4,5,6,7,8,9}))+((D44/Inputs!$B$23)^Inputs!$B$11/FACT(Inputs!$B$11)*Inputs!$B$11/(Inputs!$B$11-(D44/Inputs!$B$23)))),1)</f>
        <v>0.358913232638319</v>
      </c>
      <c r="H44" s="34" t="n">
        <f aca="false">IF(F44&lt;1,G44/(Inputs!$B$11*Inputs!$B$23-D44),0)</f>
        <v>0.0376022244775609</v>
      </c>
      <c r="I44" s="27" t="n">
        <f aca="false">MAX(0,I43+(D44-Inputs!$B$11*Inputs!$B$23)*10)</f>
        <v>191.55</v>
      </c>
      <c r="J44" s="32" t="n">
        <f aca="false">I44/(Inputs!$B$11*Inputs!$B$23)+H44</f>
        <v>9.61510222447756</v>
      </c>
      <c r="K44" s="27" t="n">
        <f aca="false">D44*(J44+1/Inputs!$B$23+Inputs!$B$25)</f>
        <v>279.306393756913</v>
      </c>
      <c r="L44" s="32" t="n">
        <f aca="false">$C44*(1-Inputs!$B$22)</f>
        <v>1.845</v>
      </c>
      <c r="M44" s="33" t="n">
        <f aca="false">L44/Inputs!$B$42</f>
        <v>0.0615</v>
      </c>
      <c r="N44" s="33" t="n">
        <f aca="false">L44/(Inputs!$B$12*Inputs!$B$23)</f>
        <v>0.09225</v>
      </c>
      <c r="O44" s="34" t="n">
        <f aca="false">IF(N44&lt;1,((L44/Inputs!$B$23)^Inputs!$B$12/FACT(Inputs!$B$12)*Inputs!$B$12/(Inputs!$B$12-(L44/Inputs!$B$23)))/(SUMPRODUCT(--({0,1,2,3,4,5,6,7,8,9}&lt;Inputs!$B$12),(L44/Inputs!$B$23)^{0,1,2,3,4,5,6,7,8,9}/FACT({0,1,2,3,4,5,6,7,8,9}))+((L44/Inputs!$B$23)^Inputs!$B$12/FACT(Inputs!$B$12)*Inputs!$B$12/(Inputs!$B$12-(L44/Inputs!$B$23)))),1)</f>
        <v>0.0155826276035706</v>
      </c>
      <c r="P44" s="34" t="n">
        <f aca="false">IF(N44&lt;1,O44/(Inputs!$B$12*Inputs!$B$23-L44),0)</f>
        <v>0.000858310526222562</v>
      </c>
      <c r="Q44" s="27" t="n">
        <f aca="false">MAX(0,Q43+(L44-Inputs!$B$12*Inputs!$B$23)*10)</f>
        <v>0</v>
      </c>
      <c r="R44" s="32" t="n">
        <f aca="false">Q44/(Inputs!$B$12*Inputs!$B$23)+P44</f>
        <v>0.000858310526222562</v>
      </c>
      <c r="S44" s="27" t="n">
        <f aca="false">L44*(R44+1/Inputs!$B$23+Inputs!$B$25)</f>
        <v>31.5510835829209</v>
      </c>
      <c r="T44" s="32" t="n">
        <f aca="false">$C44*$E$26</f>
        <v>7.872</v>
      </c>
      <c r="U44" s="33" t="n">
        <f aca="false">T44/Inputs!$B$41</f>
        <v>0.2624</v>
      </c>
      <c r="V44" s="33" t="n">
        <f aca="false">T44/(Inputs!$B$11*Inputs!$B$23)</f>
        <v>0.3936</v>
      </c>
      <c r="W44" s="34" t="n">
        <f aca="false">IF(V44&lt;1,((T44/Inputs!$B$23)^Inputs!$B$11/FACT(Inputs!$B$11)*Inputs!$B$11/(Inputs!$B$11-(T44/Inputs!$B$23)))/(SUMPRODUCT(--({0,1,2,3,4,5,6,7,8,9}&lt;Inputs!$B$11),(T44/Inputs!$B$23)^{0,1,2,3,4,5,6,7,8,9}/FACT({0,1,2,3,4,5,6,7,8,9}))+((T44/Inputs!$B$23)^Inputs!$B$11/FACT(Inputs!$B$11)*Inputs!$B$11/(Inputs!$B$11-(T44/Inputs!$B$23)))),1)</f>
        <v>0.222332032146958</v>
      </c>
      <c r="X44" s="34" t="n">
        <f aca="false">IF(V44&lt;1,W44/(Inputs!$B$11*Inputs!$B$23-T44),0)</f>
        <v>0.0183321266611937</v>
      </c>
      <c r="Y44" s="27" t="n">
        <f aca="false">MAX(0,Y43+(T44-Inputs!$B$11*Inputs!$B$23)*10)</f>
        <v>0</v>
      </c>
      <c r="Z44" s="32" t="n">
        <f aca="false">Y44/(Inputs!$B$11*Inputs!$B$23)+X44</f>
        <v>0.0183321266611937</v>
      </c>
      <c r="AA44" s="27" t="n">
        <f aca="false">T44*(Z44+1/Inputs!$B$23+Inputs!$B$25)</f>
        <v>134.755510501077</v>
      </c>
      <c r="AB44" s="32" t="n">
        <f aca="false">$C44*(1-$E$26)</f>
        <v>4.428</v>
      </c>
      <c r="AC44" s="33" t="n">
        <f aca="false">AB44/Inputs!$B$42</f>
        <v>0.1476</v>
      </c>
      <c r="AD44" s="33" t="n">
        <f aca="false">AB44/(Inputs!$B$12*Inputs!$B$23)</f>
        <v>0.2214</v>
      </c>
      <c r="AE44" s="34" t="n">
        <f aca="false">IF(AD44&lt;1,((AB44/Inputs!$B$23)^Inputs!$B$12/FACT(Inputs!$B$12)*Inputs!$B$12/(Inputs!$B$12-(AB44/Inputs!$B$23)))/(SUMPRODUCT(--({0,1,2,3,4,5,6,7,8,9}&lt;Inputs!$B$12),(AB44/Inputs!$B$23)^{0,1,2,3,4,5,6,7,8,9}/FACT({0,1,2,3,4,5,6,7,8,9}))+((AB44/Inputs!$B$23)^Inputs!$B$12/FACT(Inputs!$B$12)*Inputs!$B$12/(Inputs!$B$12-(AB44/Inputs!$B$23)))),1)</f>
        <v>0.0802652038644179</v>
      </c>
      <c r="AF44" s="34" t="n">
        <f aca="false">IF(AD44&lt;1,AE44/(Inputs!$B$12*Inputs!$B$23-AB44),0)</f>
        <v>0.00515445696534921</v>
      </c>
      <c r="AG44" s="27" t="n">
        <f aca="false">MAX(0,AG43+(AB44-Inputs!$B$12*Inputs!$B$23)*10)</f>
        <v>0</v>
      </c>
      <c r="AH44" s="32" t="n">
        <f aca="false">AG44/(Inputs!$B$12*Inputs!$B$23)+AF44</f>
        <v>0.00515445696534921</v>
      </c>
      <c r="AI44" s="27" t="n">
        <f aca="false">AB44*(AH44+1/Inputs!$B$23+Inputs!$B$25)</f>
        <v>75.7416239354426</v>
      </c>
    </row>
    <row r="45" customFormat="false" ht="15" hidden="false" customHeight="false" outlineLevel="0" collapsed="false">
      <c r="A45" s="12" t="s">
        <v>392</v>
      </c>
      <c r="B45" s="16" t="n">
        <v>79</v>
      </c>
      <c r="C45" s="22" t="n">
        <f aca="false">B45/10</f>
        <v>7.9</v>
      </c>
      <c r="D45" s="32" t="n">
        <f aca="false">$C45*Inputs!$B$22</f>
        <v>6.715</v>
      </c>
      <c r="E45" s="33" t="n">
        <f aca="false">D45/Inputs!$B$41</f>
        <v>0.223833333333333</v>
      </c>
      <c r="F45" s="33" t="n">
        <f aca="false">D45/(Inputs!$B$11*Inputs!$B$23)</f>
        <v>0.33575</v>
      </c>
      <c r="G45" s="34" t="n">
        <f aca="false">IF(F45&lt;1,((D45/Inputs!$B$23)^Inputs!$B$11/FACT(Inputs!$B$11)*Inputs!$B$11/(Inputs!$B$11-(D45/Inputs!$B$23)))/(SUMPRODUCT(--({0,1,2,3,4,5,6,7,8,9}&lt;Inputs!$B$11),(D45/Inputs!$B$23)^{0,1,2,3,4,5,6,7,8,9}/FACT({0,1,2,3,4,5,6,7,8,9}))+((D45/Inputs!$B$23)^Inputs!$B$11/FACT(Inputs!$B$11)*Inputs!$B$11/(Inputs!$B$11-(D45/Inputs!$B$23)))),1)</f>
        <v>0.168786168819016</v>
      </c>
      <c r="H45" s="34" t="n">
        <f aca="false">IF(F45&lt;1,G45/(Inputs!$B$11*Inputs!$B$23-D45),0)</f>
        <v>0.0127050183529556</v>
      </c>
      <c r="I45" s="27" t="n">
        <f aca="false">MAX(0,I44+(D45-Inputs!$B$11*Inputs!$B$23)*10)</f>
        <v>58.7</v>
      </c>
      <c r="J45" s="32" t="n">
        <f aca="false">I45/(Inputs!$B$11*Inputs!$B$23)+H45</f>
        <v>2.94770501835296</v>
      </c>
      <c r="K45" s="27" t="n">
        <f aca="false">D45*(J45+1/Inputs!$B$23+Inputs!$B$25)</f>
        <v>134.62033919824</v>
      </c>
      <c r="L45" s="32" t="n">
        <f aca="false">$C45*(1-Inputs!$B$22)</f>
        <v>1.185</v>
      </c>
      <c r="M45" s="33" t="n">
        <f aca="false">L45/Inputs!$B$42</f>
        <v>0.0395</v>
      </c>
      <c r="N45" s="33" t="n">
        <f aca="false">L45/(Inputs!$B$12*Inputs!$B$23)</f>
        <v>0.05925</v>
      </c>
      <c r="O45" s="34" t="n">
        <f aca="false">IF(N45&lt;1,((L45/Inputs!$B$23)^Inputs!$B$12/FACT(Inputs!$B$12)*Inputs!$B$12/(Inputs!$B$12-(L45/Inputs!$B$23)))/(SUMPRODUCT(--({0,1,2,3,4,5,6,7,8,9}&lt;Inputs!$B$12),(L45/Inputs!$B$23)^{0,1,2,3,4,5,6,7,8,9}/FACT({0,1,2,3,4,5,6,7,8,9}))+((L45/Inputs!$B$23)^Inputs!$B$12/FACT(Inputs!$B$12)*Inputs!$B$12/(Inputs!$B$12-(L45/Inputs!$B$23)))),1)</f>
        <v>0.00662839273070569</v>
      </c>
      <c r="P45" s="34" t="n">
        <f aca="false">IF(N45&lt;1,O45/(Inputs!$B$12*Inputs!$B$23-L45),0)</f>
        <v>0.000352292996582816</v>
      </c>
      <c r="Q45" s="27" t="n">
        <f aca="false">MAX(0,Q44+(L45-Inputs!$B$12*Inputs!$B$23)*10)</f>
        <v>0</v>
      </c>
      <c r="R45" s="32" t="n">
        <f aca="false">Q45/(Inputs!$B$12*Inputs!$B$23)+P45</f>
        <v>0.000352292996582816</v>
      </c>
      <c r="S45" s="27" t="n">
        <f aca="false">L45*(R45+1/Inputs!$B$23+Inputs!$B$25)</f>
        <v>20.263917467201</v>
      </c>
      <c r="T45" s="32" t="n">
        <f aca="false">$C45*$E$26</f>
        <v>5.056</v>
      </c>
      <c r="U45" s="33" t="n">
        <f aca="false">T45/Inputs!$B$41</f>
        <v>0.168533333333333</v>
      </c>
      <c r="V45" s="33" t="n">
        <f aca="false">T45/(Inputs!$B$11*Inputs!$B$23)</f>
        <v>0.2528</v>
      </c>
      <c r="W45" s="34" t="n">
        <f aca="false">IF(V45&lt;1,((T45/Inputs!$B$23)^Inputs!$B$11/FACT(Inputs!$B$11)*Inputs!$B$11/(Inputs!$B$11-(T45/Inputs!$B$23)))/(SUMPRODUCT(--({0,1,2,3,4,5,6,7,8,9}&lt;Inputs!$B$11),(T45/Inputs!$B$23)^{0,1,2,3,4,5,6,7,8,9}/FACT({0,1,2,3,4,5,6,7,8,9}))+((T45/Inputs!$B$23)^Inputs!$B$11/FACT(Inputs!$B$11)*Inputs!$B$11/(Inputs!$B$11-(T45/Inputs!$B$23)))),1)</f>
        <v>0.102024010217114</v>
      </c>
      <c r="X45" s="34" t="n">
        <f aca="false">IF(V45&lt;1,W45/(Inputs!$B$11*Inputs!$B$23-T45),0)</f>
        <v>0.00682708847812592</v>
      </c>
      <c r="Y45" s="27" t="n">
        <f aca="false">MAX(0,Y44+(T45-Inputs!$B$11*Inputs!$B$23)*10)</f>
        <v>0</v>
      </c>
      <c r="Z45" s="32" t="n">
        <f aca="false">Y45/(Inputs!$B$11*Inputs!$B$23)+X45</f>
        <v>0.00682708847812592</v>
      </c>
      <c r="AA45" s="27" t="n">
        <f aca="false">T45*(Z45+1/Inputs!$B$23+Inputs!$B$25)</f>
        <v>86.4921177593454</v>
      </c>
      <c r="AB45" s="32" t="n">
        <f aca="false">$C45*(1-$E$26)</f>
        <v>2.844</v>
      </c>
      <c r="AC45" s="33" t="n">
        <f aca="false">AB45/Inputs!$B$42</f>
        <v>0.0948</v>
      </c>
      <c r="AD45" s="33" t="n">
        <f aca="false">AB45/(Inputs!$B$12*Inputs!$B$23)</f>
        <v>0.1422</v>
      </c>
      <c r="AE45" s="34" t="n">
        <f aca="false">IF(AD45&lt;1,((AB45/Inputs!$B$23)^Inputs!$B$12/FACT(Inputs!$B$12)*Inputs!$B$12/(Inputs!$B$12-(AB45/Inputs!$B$23)))/(SUMPRODUCT(--({0,1,2,3,4,5,6,7,8,9}&lt;Inputs!$B$12),(AB45/Inputs!$B$23)^{0,1,2,3,4,5,6,7,8,9}/FACT({0,1,2,3,4,5,6,7,8,9}))+((AB45/Inputs!$B$23)^Inputs!$B$12/FACT(Inputs!$B$12)*Inputs!$B$12/(Inputs!$B$12-(AB45/Inputs!$B$23)))),1)</f>
        <v>0.0354068289266328</v>
      </c>
      <c r="AF45" s="34" t="n">
        <f aca="false">IF(AD45&lt;1,AE45/(Inputs!$B$12*Inputs!$B$23-AB45),0)</f>
        <v>0.00206381609504738</v>
      </c>
      <c r="AG45" s="27" t="n">
        <f aca="false">MAX(0,AG44+(AB45-Inputs!$B$12*Inputs!$B$23)*10)</f>
        <v>0</v>
      </c>
      <c r="AH45" s="32" t="n">
        <f aca="false">AG45/(Inputs!$B$12*Inputs!$B$23)+AF45</f>
        <v>0.00206381609504738</v>
      </c>
      <c r="AI45" s="27" t="n">
        <f aca="false">AB45*(AH45+1/Inputs!$B$23+Inputs!$B$25)</f>
        <v>48.6382694929743</v>
      </c>
    </row>
    <row r="46" customFormat="false" ht="15" hidden="false" customHeight="false" outlineLevel="0" collapsed="false">
      <c r="A46" s="12" t="s">
        <v>393</v>
      </c>
      <c r="B46" s="16" t="n">
        <v>47</v>
      </c>
      <c r="C46" s="22" t="n">
        <f aca="false">B46/10</f>
        <v>4.7</v>
      </c>
      <c r="D46" s="32" t="n">
        <f aca="false">$C46*Inputs!$B$22</f>
        <v>3.995</v>
      </c>
      <c r="E46" s="33" t="n">
        <f aca="false">D46/Inputs!$B$41</f>
        <v>0.133166666666667</v>
      </c>
      <c r="F46" s="33" t="n">
        <f aca="false">D46/(Inputs!$B$11*Inputs!$B$23)</f>
        <v>0.19975</v>
      </c>
      <c r="G46" s="34" t="n">
        <f aca="false">IF(F46&lt;1,((D46/Inputs!$B$23)^Inputs!$B$11/FACT(Inputs!$B$11)*Inputs!$B$11/(Inputs!$B$11-(D46/Inputs!$B$23)))/(SUMPRODUCT(--({0,1,2,3,4,5,6,7,8,9}&lt;Inputs!$B$11),(D46/Inputs!$B$23)^{0,1,2,3,4,5,6,7,8,9}/FACT({0,1,2,3,4,5,6,7,8,9}))+((D46/Inputs!$B$23)^Inputs!$B$11/FACT(Inputs!$B$11)*Inputs!$B$11/(Inputs!$B$11-(D46/Inputs!$B$23)))),1)</f>
        <v>0.0665139612419254</v>
      </c>
      <c r="H46" s="34" t="n">
        <f aca="false">IF(F46&lt;1,G46/(Inputs!$B$11*Inputs!$B$23-D46),0)</f>
        <v>0.00415582388265701</v>
      </c>
      <c r="I46" s="27" t="n">
        <f aca="false">MAX(0,I45+(D46-Inputs!$B$11*Inputs!$B$23)*10)</f>
        <v>0</v>
      </c>
      <c r="J46" s="32" t="n">
        <f aca="false">I46/(Inputs!$B$11*Inputs!$B$23)+H46</f>
        <v>0.00415582388265701</v>
      </c>
      <c r="K46" s="27" t="n">
        <f aca="false">D46*(J46+1/Inputs!$B$23+Inputs!$B$25)</f>
        <v>68.3311025164112</v>
      </c>
      <c r="L46" s="32" t="n">
        <f aca="false">$C46*(1-Inputs!$B$22)</f>
        <v>0.705</v>
      </c>
      <c r="M46" s="33" t="n">
        <f aca="false">L46/Inputs!$B$42</f>
        <v>0.0235</v>
      </c>
      <c r="N46" s="33" t="n">
        <f aca="false">L46/(Inputs!$B$12*Inputs!$B$23)</f>
        <v>0.03525</v>
      </c>
      <c r="O46" s="34" t="n">
        <f aca="false">IF(N46&lt;1,((L46/Inputs!$B$23)^Inputs!$B$12/FACT(Inputs!$B$12)*Inputs!$B$12/(Inputs!$B$12-(L46/Inputs!$B$23)))/(SUMPRODUCT(--({0,1,2,3,4,5,6,7,8,9}&lt;Inputs!$B$12),(L46/Inputs!$B$23)^{0,1,2,3,4,5,6,7,8,9}/FACT({0,1,2,3,4,5,6,7,8,9}))+((L46/Inputs!$B$23)^Inputs!$B$12/FACT(Inputs!$B$12)*Inputs!$B$12/(Inputs!$B$12-(L46/Inputs!$B$23)))),1)</f>
        <v>0.00240050712388312</v>
      </c>
      <c r="P46" s="34" t="n">
        <f aca="false">IF(N46&lt;1,O46/(Inputs!$B$12*Inputs!$B$23-L46),0)</f>
        <v>0.000124410838242193</v>
      </c>
      <c r="Q46" s="27" t="n">
        <f aca="false">MAX(0,Q45+(L46-Inputs!$B$12*Inputs!$B$23)*10)</f>
        <v>0</v>
      </c>
      <c r="R46" s="32" t="n">
        <f aca="false">Q46/(Inputs!$B$12*Inputs!$B$23)+P46</f>
        <v>0.000124410838242193</v>
      </c>
      <c r="S46" s="27" t="n">
        <f aca="false">L46*(R46+1/Inputs!$B$23+Inputs!$B$25)</f>
        <v>12.055587709641</v>
      </c>
      <c r="T46" s="32" t="n">
        <f aca="false">$C46*$E$26</f>
        <v>3.008</v>
      </c>
      <c r="U46" s="33" t="n">
        <f aca="false">T46/Inputs!$B$41</f>
        <v>0.100266666666667</v>
      </c>
      <c r="V46" s="33" t="n">
        <f aca="false">T46/(Inputs!$B$11*Inputs!$B$23)</f>
        <v>0.1504</v>
      </c>
      <c r="W46" s="34" t="n">
        <f aca="false">IF(V46&lt;1,((T46/Inputs!$B$23)^Inputs!$B$11/FACT(Inputs!$B$11)*Inputs!$B$11/(Inputs!$B$11-(T46/Inputs!$B$23)))/(SUMPRODUCT(--({0,1,2,3,4,5,6,7,8,9}&lt;Inputs!$B$11),(T46/Inputs!$B$23)^{0,1,2,3,4,5,6,7,8,9}/FACT({0,1,2,3,4,5,6,7,8,9}))+((T46/Inputs!$B$23)^Inputs!$B$11/FACT(Inputs!$B$11)*Inputs!$B$11/(Inputs!$B$11-(T46/Inputs!$B$23)))),1)</f>
        <v>0.0393257301808067</v>
      </c>
      <c r="X46" s="34" t="n">
        <f aca="false">IF(V46&lt;1,W46/(Inputs!$B$11*Inputs!$B$23-T46),0)</f>
        <v>0.00231436735998156</v>
      </c>
      <c r="Y46" s="27" t="n">
        <f aca="false">MAX(0,Y45+(T46-Inputs!$B$11*Inputs!$B$23)*10)</f>
        <v>0</v>
      </c>
      <c r="Z46" s="32" t="n">
        <f aca="false">Y46/(Inputs!$B$11*Inputs!$B$23)+X46</f>
        <v>0.00231436735998156</v>
      </c>
      <c r="AA46" s="27" t="n">
        <f aca="false">T46*(Z46+1/Inputs!$B$23+Inputs!$B$25)</f>
        <v>51.4437616170188</v>
      </c>
      <c r="AB46" s="32" t="n">
        <f aca="false">$C46*(1-$E$26)</f>
        <v>1.692</v>
      </c>
      <c r="AC46" s="33" t="n">
        <f aca="false">AB46/Inputs!$B$42</f>
        <v>0.0564</v>
      </c>
      <c r="AD46" s="33" t="n">
        <f aca="false">AB46/(Inputs!$B$12*Inputs!$B$23)</f>
        <v>0.0846</v>
      </c>
      <c r="AE46" s="34" t="n">
        <f aca="false">IF(AD46&lt;1,((AB46/Inputs!$B$23)^Inputs!$B$12/FACT(Inputs!$B$12)*Inputs!$B$12/(Inputs!$B$12-(AB46/Inputs!$B$23)))/(SUMPRODUCT(--({0,1,2,3,4,5,6,7,8,9}&lt;Inputs!$B$12),(AB46/Inputs!$B$23)^{0,1,2,3,4,5,6,7,8,9}/FACT({0,1,2,3,4,5,6,7,8,9}))+((AB46/Inputs!$B$23)^Inputs!$B$12/FACT(Inputs!$B$12)*Inputs!$B$12/(Inputs!$B$12-(AB46/Inputs!$B$23)))),1)</f>
        <v>0.0131977872026554</v>
      </c>
      <c r="AF46" s="34" t="n">
        <f aca="false">IF(AD46&lt;1,AE46/(Inputs!$B$12*Inputs!$B$23-AB46),0)</f>
        <v>0.000720875420726205</v>
      </c>
      <c r="AG46" s="27" t="n">
        <f aca="false">MAX(0,AG45+(AB46-Inputs!$B$12*Inputs!$B$23)*10)</f>
        <v>0</v>
      </c>
      <c r="AH46" s="32" t="n">
        <f aca="false">AG46/(Inputs!$B$12*Inputs!$B$23)+AF46</f>
        <v>0.000720875420726205</v>
      </c>
      <c r="AI46" s="27" t="n">
        <f aca="false">AB46*(AH46+1/Inputs!$B$23+Inputs!$B$25)</f>
        <v>28.9344197212119</v>
      </c>
    </row>
    <row r="47" customFormat="false" ht="15" hidden="false" customHeight="false" outlineLevel="0" collapsed="false">
      <c r="A47" s="12" t="s">
        <v>394</v>
      </c>
      <c r="B47" s="16" t="n">
        <v>25</v>
      </c>
      <c r="C47" s="22" t="n">
        <f aca="false">B47/10</f>
        <v>2.5</v>
      </c>
      <c r="D47" s="32" t="n">
        <f aca="false">$C47*Inputs!$B$22</f>
        <v>2.125</v>
      </c>
      <c r="E47" s="33" t="n">
        <f aca="false">D47/Inputs!$B$41</f>
        <v>0.0708333333333333</v>
      </c>
      <c r="F47" s="33" t="n">
        <f aca="false">D47/(Inputs!$B$11*Inputs!$B$23)</f>
        <v>0.10625</v>
      </c>
      <c r="G47" s="34" t="n">
        <f aca="false">IF(F47&lt;1,((D47/Inputs!$B$23)^Inputs!$B$11/FACT(Inputs!$B$11)*Inputs!$B$11/(Inputs!$B$11-(D47/Inputs!$B$23)))/(SUMPRODUCT(--({0,1,2,3,4,5,6,7,8,9}&lt;Inputs!$B$11),(D47/Inputs!$B$23)^{0,1,2,3,4,5,6,7,8,9}/FACT({0,1,2,3,4,5,6,7,8,9}))+((D47/Inputs!$B$23)^Inputs!$B$11/FACT(Inputs!$B$11)*Inputs!$B$11/(Inputs!$B$11-(D47/Inputs!$B$23)))),1)</f>
        <v>0.020409604519774</v>
      </c>
      <c r="H47" s="34" t="n">
        <f aca="false">IF(F47&lt;1,G47/(Inputs!$B$11*Inputs!$B$23-D47),0)</f>
        <v>0.00114179605705029</v>
      </c>
      <c r="I47" s="27" t="n">
        <f aca="false">MAX(0,I46+(D47-Inputs!$B$11*Inputs!$B$23)*10)</f>
        <v>0</v>
      </c>
      <c r="J47" s="32" t="n">
        <f aca="false">I47/(Inputs!$B$11*Inputs!$B$23)+H47</f>
        <v>0.00114179605705029</v>
      </c>
      <c r="K47" s="27" t="n">
        <f aca="false">D47*(J47+1/Inputs!$B$23+Inputs!$B$25)</f>
        <v>36.3399263166212</v>
      </c>
      <c r="L47" s="32" t="n">
        <f aca="false">$C47*(1-Inputs!$B$22)</f>
        <v>0.375</v>
      </c>
      <c r="M47" s="33" t="n">
        <f aca="false">L47/Inputs!$B$42</f>
        <v>0.0125</v>
      </c>
      <c r="N47" s="33" t="n">
        <f aca="false">L47/(Inputs!$B$12*Inputs!$B$23)</f>
        <v>0.01875</v>
      </c>
      <c r="O47" s="34" t="n">
        <f aca="false">IF(N47&lt;1,((L47/Inputs!$B$23)^Inputs!$B$12/FACT(Inputs!$B$12)*Inputs!$B$12/(Inputs!$B$12-(L47/Inputs!$B$23)))/(SUMPRODUCT(--({0,1,2,3,4,5,6,7,8,9}&lt;Inputs!$B$12),(L47/Inputs!$B$23)^{0,1,2,3,4,5,6,7,8,9}/FACT({0,1,2,3,4,5,6,7,8,9}))+((L47/Inputs!$B$23)^Inputs!$B$12/FACT(Inputs!$B$12)*Inputs!$B$12/(Inputs!$B$12-(L47/Inputs!$B$23)))),1)</f>
        <v>0.000690184049079755</v>
      </c>
      <c r="P47" s="34" t="n">
        <f aca="false">IF(N47&lt;1,O47/(Inputs!$B$12*Inputs!$B$23-L47),0)</f>
        <v>3.51686139658474E-005</v>
      </c>
      <c r="Q47" s="27" t="n">
        <f aca="false">MAX(0,Q46+(L47-Inputs!$B$12*Inputs!$B$23)*10)</f>
        <v>0</v>
      </c>
      <c r="R47" s="32" t="n">
        <f aca="false">Q47/(Inputs!$B$12*Inputs!$B$23)+P47</f>
        <v>3.51686139658474E-005</v>
      </c>
      <c r="S47" s="27" t="n">
        <f aca="false">L47*(R47+1/Inputs!$B$23+Inputs!$B$25)</f>
        <v>6.41251318823024</v>
      </c>
      <c r="T47" s="32" t="n">
        <f aca="false">$C47*$E$26</f>
        <v>1.6</v>
      </c>
      <c r="U47" s="33" t="n">
        <f aca="false">T47/Inputs!$B$41</f>
        <v>0.0533333333333333</v>
      </c>
      <c r="V47" s="33" t="n">
        <f aca="false">T47/(Inputs!$B$11*Inputs!$B$23)</f>
        <v>0.08</v>
      </c>
      <c r="W47" s="34" t="n">
        <f aca="false">IF(V47&lt;1,((T47/Inputs!$B$23)^Inputs!$B$11/FACT(Inputs!$B$11)*Inputs!$B$11/(Inputs!$B$11-(T47/Inputs!$B$23)))/(SUMPRODUCT(--({0,1,2,3,4,5,6,7,8,9}&lt;Inputs!$B$11),(T47/Inputs!$B$23)^{0,1,2,3,4,5,6,7,8,9}/FACT({0,1,2,3,4,5,6,7,8,9}))+((T47/Inputs!$B$23)^Inputs!$B$11/FACT(Inputs!$B$11)*Inputs!$B$11/(Inputs!$B$11-(T47/Inputs!$B$23)))),1)</f>
        <v>0.0118518518518519</v>
      </c>
      <c r="X47" s="34" t="n">
        <f aca="false">IF(V47&lt;1,W47/(Inputs!$B$11*Inputs!$B$23-T47),0)</f>
        <v>0.000644122383252818</v>
      </c>
      <c r="Y47" s="27" t="n">
        <f aca="false">MAX(0,Y46+(T47-Inputs!$B$11*Inputs!$B$23)*10)</f>
        <v>0</v>
      </c>
      <c r="Z47" s="32" t="n">
        <f aca="false">Y47/(Inputs!$B$11*Inputs!$B$23)+X47</f>
        <v>0.000644122383252818</v>
      </c>
      <c r="AA47" s="27" t="n">
        <f aca="false">T47*(Z47+1/Inputs!$B$23+Inputs!$B$25)</f>
        <v>27.3610305958132</v>
      </c>
      <c r="AB47" s="32" t="n">
        <f aca="false">$C47*(1-$E$26)</f>
        <v>0.9</v>
      </c>
      <c r="AC47" s="33" t="n">
        <f aca="false">AB47/Inputs!$B$42</f>
        <v>0.03</v>
      </c>
      <c r="AD47" s="33" t="n">
        <f aca="false">AB47/(Inputs!$B$12*Inputs!$B$23)</f>
        <v>0.045</v>
      </c>
      <c r="AE47" s="34" t="n">
        <f aca="false">IF(AD47&lt;1,((AB47/Inputs!$B$23)^Inputs!$B$12/FACT(Inputs!$B$12)*Inputs!$B$12/(Inputs!$B$12-(AB47/Inputs!$B$23)))/(SUMPRODUCT(--({0,1,2,3,4,5,6,7,8,9}&lt;Inputs!$B$12),(AB47/Inputs!$B$23)^{0,1,2,3,4,5,6,7,8,9}/FACT({0,1,2,3,4,5,6,7,8,9}))+((AB47/Inputs!$B$23)^Inputs!$B$12/FACT(Inputs!$B$12)*Inputs!$B$12/(Inputs!$B$12-(AB47/Inputs!$B$23)))),1)</f>
        <v>0.0038755980861244</v>
      </c>
      <c r="AF47" s="34" t="n">
        <f aca="false">IF(AD47&lt;1,AE47/(Inputs!$B$12*Inputs!$B$23-AB47),0)</f>
        <v>0.000202910894561487</v>
      </c>
      <c r="AG47" s="27" t="n">
        <f aca="false">MAX(0,AG46+(AB47-Inputs!$B$12*Inputs!$B$23)*10)</f>
        <v>0</v>
      </c>
      <c r="AH47" s="32" t="n">
        <f aca="false">AG47/(Inputs!$B$12*Inputs!$B$23)+AF47</f>
        <v>0.000202910894561487</v>
      </c>
      <c r="AI47" s="27" t="n">
        <f aca="false">AB47*(AH47+1/Inputs!$B$23+Inputs!$B$25)</f>
        <v>15.3901826198051</v>
      </c>
    </row>
    <row r="49" customFormat="false" ht="15" hidden="false" customHeight="false" outlineLevel="0" collapsed="false">
      <c r="A49" s="4" t="s">
        <v>395</v>
      </c>
    </row>
    <row r="50" customFormat="false" ht="23.85" hidden="false" customHeight="false" outlineLevel="0" collapsed="false">
      <c r="A50" s="6" t="s">
        <v>396</v>
      </c>
      <c r="B50" s="6"/>
      <c r="C50" s="6"/>
      <c r="D50" s="6" t="s">
        <v>397</v>
      </c>
      <c r="E50" s="6" t="s">
        <v>398</v>
      </c>
      <c r="F50" s="6" t="s">
        <v>399</v>
      </c>
      <c r="G50" s="6" t="s">
        <v>400</v>
      </c>
      <c r="H50" s="6" t="s">
        <v>401</v>
      </c>
      <c r="I50" s="6" t="s">
        <v>402</v>
      </c>
    </row>
    <row r="51" customFormat="false" ht="15" hidden="false" customHeight="false" outlineLevel="0" collapsed="false">
      <c r="A51" s="5" t="s">
        <v>403</v>
      </c>
      <c r="B51" s="5"/>
      <c r="C51" s="5"/>
      <c r="D51" s="22" t="n">
        <f aca="false">SUMPRODUCT(J30:J47,D30:D47)/SUM(D30:D47)</f>
        <v>8.05710667882796</v>
      </c>
      <c r="E51" s="22" t="n">
        <f aca="false">SUMPRODUCT(R30:R47,L30:L47)/SUM(L30:L47)</f>
        <v>0.00399201152984797</v>
      </c>
      <c r="F51" s="22" t="n">
        <f aca="false">SUMPRODUCT(Z30:Z47,T30:T47)/SUM(T30:T47)</f>
        <v>0.631718752003765</v>
      </c>
      <c r="G51" s="22" t="n">
        <f aca="false">SUMPRODUCT(AH30:AH47,AB30:AB47)/SUM(AB30:AB47)</f>
        <v>0.0311536370084817</v>
      </c>
      <c r="H51" s="35" t="n">
        <f aca="false">(D51*SUM(D30:D47)+E51*SUM(L30:L47))/SUM(C30:C47)</f>
        <v>6.84913947873324</v>
      </c>
      <c r="I51" s="35" t="n">
        <f aca="false">(F51*SUM(T30:T47)+G51*SUM(AB30:AB47))/SUM(C30:C47)</f>
        <v>0.415515310605463</v>
      </c>
    </row>
    <row r="52" customFormat="false" ht="15" hidden="false" customHeight="false" outlineLevel="0" collapsed="false">
      <c r="A52" s="5" t="s">
        <v>404</v>
      </c>
      <c r="B52" s="5"/>
      <c r="C52" s="5"/>
      <c r="D52" s="25" t="n">
        <f aca="false">MAX(F30:F47)</f>
        <v>1.445</v>
      </c>
      <c r="E52" s="25" t="n">
        <f aca="false">MAX(N30:N47)</f>
        <v>0.255</v>
      </c>
      <c r="F52" s="25" t="n">
        <f aca="false">MAX(V30:V47)</f>
        <v>1.088</v>
      </c>
      <c r="G52" s="25" t="n">
        <f aca="false">MAX(AD30:AD47)</f>
        <v>0.612</v>
      </c>
    </row>
    <row r="53" customFormat="false" ht="15" hidden="false" customHeight="false" outlineLevel="0" collapsed="false">
      <c r="A53" s="5" t="s">
        <v>405</v>
      </c>
      <c r="B53" s="5"/>
      <c r="C53" s="5"/>
      <c r="D53" s="25" t="n">
        <f aca="false">MAX(E30:E47)</f>
        <v>0.963333333333333</v>
      </c>
      <c r="E53" s="25" t="n">
        <f aca="false">MAX(M30:M47)</f>
        <v>0.17</v>
      </c>
      <c r="F53" s="25" t="n">
        <f aca="false">MAX(U30:U47)</f>
        <v>0.725333333333333</v>
      </c>
      <c r="G53" s="25" t="n">
        <f aca="false">MAX(AC30:AC47)</f>
        <v>0.408</v>
      </c>
    </row>
    <row r="54" customFormat="false" ht="15" hidden="false" customHeight="false" outlineLevel="0" collapsed="false">
      <c r="A54" s="5" t="s">
        <v>406</v>
      </c>
      <c r="B54" s="5"/>
      <c r="C54" s="5"/>
      <c r="D54" s="26" t="n">
        <f aca="false">MAX(I30:I47)</f>
        <v>335.7</v>
      </c>
      <c r="E54" s="26" t="n">
        <f aca="false">MAX(Q30:Q47)</f>
        <v>0</v>
      </c>
      <c r="F54" s="26" t="n">
        <f aca="false">MAX(Y30:Y47)</f>
        <v>34.88</v>
      </c>
      <c r="G54" s="26" t="n">
        <f aca="false">MAX(AG30:AG47)</f>
        <v>0</v>
      </c>
    </row>
    <row r="55" customFormat="false" ht="15" hidden="false" customHeight="false" outlineLevel="0" collapsed="false">
      <c r="A55" s="5" t="s">
        <v>407</v>
      </c>
      <c r="B55" s="5"/>
      <c r="C55" s="5"/>
      <c r="D55" s="22" t="n">
        <f aca="false">MAX(J30:J47)</f>
        <v>16.785</v>
      </c>
      <c r="E55" s="22" t="n">
        <f aca="false">MAX(R30:R47)</f>
        <v>0.00695473140993075</v>
      </c>
      <c r="F55" s="22" t="n">
        <f aca="false">MAX(Z30:Z47)</f>
        <v>1.744</v>
      </c>
      <c r="G55" s="22" t="n">
        <f aca="false">MAX(AH30:AH47)</f>
        <v>0.0598833491084904</v>
      </c>
    </row>
    <row r="56" customFormat="false" ht="15" hidden="false" customHeight="false" outlineLevel="0" collapsed="false">
      <c r="A56" s="5" t="s">
        <v>408</v>
      </c>
      <c r="B56" s="5"/>
      <c r="C56" s="5"/>
      <c r="D56" s="26" t="n">
        <f aca="false">MAX(K30:K47)</f>
        <v>874.873975</v>
      </c>
      <c r="E56" s="26" t="n">
        <f aca="false">MAX(S30:S47)</f>
        <v>87.2454691301907</v>
      </c>
      <c r="F56" s="26" t="n">
        <f aca="false">MAX(AA30:AA47)</f>
        <v>400.64512</v>
      </c>
      <c r="G56" s="26" t="n">
        <f aca="false">MAX(AI30:AI47)</f>
        <v>210.036972193088</v>
      </c>
    </row>
    <row r="57" customFormat="false" ht="15" hidden="false" customHeight="false" outlineLevel="0" collapsed="false">
      <c r="A57" s="5" t="s">
        <v>409</v>
      </c>
      <c r="B57" s="5"/>
      <c r="C57" s="5"/>
      <c r="D57" s="26" t="n">
        <f aca="false">Inputs!$B$9</f>
        <v>900</v>
      </c>
      <c r="E57" s="26" t="n">
        <f aca="false">Inputs!$B$10</f>
        <v>500</v>
      </c>
      <c r="F57" s="26" t="n">
        <f aca="false">Inputs!$B$9</f>
        <v>900</v>
      </c>
      <c r="G57" s="26" t="n">
        <f aca="false">Inputs!$B$10</f>
        <v>500</v>
      </c>
    </row>
    <row r="59" customFormat="false" ht="39.75" hidden="false" customHeight="true" outlineLevel="0" collapsed="false">
      <c r="A59" s="3" t="s">
        <v>410</v>
      </c>
      <c r="B59" s="3"/>
      <c r="C59" s="3"/>
      <c r="D59" s="3"/>
      <c r="E59" s="3"/>
      <c r="F59" s="3"/>
      <c r="G59" s="3"/>
      <c r="H59" s="3"/>
      <c r="I59" s="3"/>
      <c r="J59" s="3"/>
      <c r="K59" s="3"/>
      <c r="L59" s="3"/>
      <c r="M59" s="3"/>
      <c r="N59" s="3"/>
    </row>
  </sheetData>
  <mergeCells count="16">
    <mergeCell ref="A7:H7"/>
    <mergeCell ref="A23:AD23"/>
    <mergeCell ref="F25:N25"/>
    <mergeCell ref="F26:N26"/>
    <mergeCell ref="D28:K28"/>
    <mergeCell ref="L28:S28"/>
    <mergeCell ref="T28:AA28"/>
    <mergeCell ref="AB28:AI28"/>
    <mergeCell ref="A51:C51"/>
    <mergeCell ref="A52:C52"/>
    <mergeCell ref="A53:C53"/>
    <mergeCell ref="A54:C54"/>
    <mergeCell ref="A55:C55"/>
    <mergeCell ref="A56:C56"/>
    <mergeCell ref="A57:C57"/>
    <mergeCell ref="A59:N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0" min="2" style="0" width="15"/>
  </cols>
  <sheetData>
    <row r="1" customFormat="false" ht="17.35" hidden="false" customHeight="false" outlineLevel="0" collapsed="false">
      <c r="A1" s="1" t="s">
        <v>411</v>
      </c>
      <c r="B1" s="2"/>
      <c r="C1" s="2"/>
      <c r="D1" s="2"/>
      <c r="E1" s="2"/>
      <c r="F1" s="2"/>
      <c r="G1" s="2"/>
      <c r="H1" s="2"/>
      <c r="I1" s="2"/>
      <c r="J1" s="2"/>
    </row>
    <row r="2" customFormat="false" ht="15" hidden="false" customHeight="false" outlineLevel="0" collapsed="false">
      <c r="A2" s="10" t="s">
        <v>412</v>
      </c>
    </row>
    <row r="4" customFormat="false" ht="30" hidden="false" customHeight="true" outlineLevel="0" collapsed="false">
      <c r="A4" s="36" t="s">
        <v>413</v>
      </c>
      <c r="B4" s="36"/>
      <c r="C4" s="36"/>
      <c r="D4" s="36"/>
      <c r="E4" s="36"/>
      <c r="F4" s="36"/>
      <c r="G4" s="36"/>
      <c r="H4" s="36"/>
      <c r="I4" s="36"/>
      <c r="J4" s="36"/>
    </row>
    <row r="6" customFormat="false" ht="21.75" hidden="false" customHeight="true" outlineLevel="0" collapsed="false">
      <c r="A6" s="6" t="s">
        <v>414</v>
      </c>
      <c r="B6" s="6" t="s">
        <v>415</v>
      </c>
      <c r="C6" s="6" t="s">
        <v>416</v>
      </c>
      <c r="D6" s="6" t="s">
        <v>417</v>
      </c>
      <c r="F6" s="3" t="s">
        <v>418</v>
      </c>
      <c r="G6" s="3"/>
      <c r="H6" s="3"/>
      <c r="I6" s="3"/>
      <c r="J6" s="3"/>
    </row>
    <row r="7" customFormat="false" ht="15" hidden="false" customHeight="false" outlineLevel="0" collapsed="false">
      <c r="A7" s="12" t="s">
        <v>419</v>
      </c>
      <c r="B7" s="37" t="n">
        <v>2.5</v>
      </c>
      <c r="C7" s="37" t="n">
        <v>7.1</v>
      </c>
      <c r="D7" s="37" t="n">
        <v>15</v>
      </c>
      <c r="F7" s="3"/>
      <c r="G7" s="3"/>
      <c r="H7" s="3"/>
      <c r="I7" s="3"/>
      <c r="J7" s="3"/>
    </row>
    <row r="8" customFormat="false" ht="15" hidden="false" customHeight="false" outlineLevel="0" collapsed="false">
      <c r="A8" s="12" t="s">
        <v>305</v>
      </c>
      <c r="B8" s="37" t="n">
        <v>0.7</v>
      </c>
      <c r="C8" s="37" t="n">
        <v>0.8</v>
      </c>
      <c r="D8" s="37" t="n">
        <v>6</v>
      </c>
      <c r="F8" s="3"/>
      <c r="G8" s="3"/>
      <c r="H8" s="3"/>
      <c r="I8" s="3"/>
      <c r="J8" s="3"/>
    </row>
    <row r="9" customFormat="false" ht="15" hidden="false" customHeight="false" outlineLevel="0" collapsed="false">
      <c r="A9" s="12" t="s">
        <v>308</v>
      </c>
      <c r="B9" s="37" t="n">
        <v>0.7</v>
      </c>
      <c r="C9" s="37" t="n">
        <v>0.8</v>
      </c>
      <c r="D9" s="37" t="n">
        <v>3.5</v>
      </c>
      <c r="F9" s="3"/>
      <c r="G9" s="3"/>
      <c r="H9" s="3"/>
      <c r="I9" s="3"/>
      <c r="J9" s="3"/>
    </row>
    <row r="10" customFormat="false" ht="15" hidden="false" customHeight="false" outlineLevel="0" collapsed="false">
      <c r="A10" s="12" t="s">
        <v>420</v>
      </c>
      <c r="B10" s="37" t="n">
        <v>1.5</v>
      </c>
      <c r="C10" s="37" t="n">
        <v>3.5</v>
      </c>
      <c r="D10" s="37" t="n">
        <v>9</v>
      </c>
      <c r="F10" s="3"/>
      <c r="G10" s="3"/>
      <c r="H10" s="3"/>
      <c r="I10" s="3"/>
      <c r="J10" s="3"/>
    </row>
    <row r="11" customFormat="false" ht="15" hidden="false" customHeight="false" outlineLevel="0" collapsed="false">
      <c r="A11" s="12" t="s">
        <v>421</v>
      </c>
      <c r="B11" s="37" t="n">
        <v>0.5</v>
      </c>
      <c r="C11" s="37" t="n">
        <v>0.6</v>
      </c>
      <c r="D11" s="37" t="n">
        <v>4.5</v>
      </c>
    </row>
    <row r="13" customFormat="false" ht="23.85" hidden="false" customHeight="false" outlineLevel="0" collapsed="false">
      <c r="A13" s="6" t="s">
        <v>422</v>
      </c>
      <c r="B13" s="6" t="s">
        <v>415</v>
      </c>
      <c r="C13" s="6" t="s">
        <v>416</v>
      </c>
      <c r="D13" s="6" t="s">
        <v>417</v>
      </c>
    </row>
    <row r="14" customFormat="false" ht="15" hidden="false" customHeight="false" outlineLevel="0" collapsed="false">
      <c r="A14" s="12" t="s">
        <v>423</v>
      </c>
      <c r="B14" s="20" t="n">
        <v>0.3</v>
      </c>
      <c r="C14" s="20" t="n">
        <v>0.5</v>
      </c>
      <c r="D14" s="20" t="n">
        <v>0.2</v>
      </c>
      <c r="E14" s="25" t="n">
        <f aca="false">SUM(B14:D14)</f>
        <v>1</v>
      </c>
      <c r="F14" s="38" t="s">
        <v>424</v>
      </c>
    </row>
    <row r="15" customFormat="false" ht="15" hidden="false" customHeight="false" outlineLevel="0" collapsed="false">
      <c r="A15" s="12" t="s">
        <v>425</v>
      </c>
      <c r="B15" s="39" t="n">
        <f aca="false">Inputs!$B$6</f>
        <v>2960</v>
      </c>
    </row>
    <row r="17" customFormat="false" ht="15" hidden="false" customHeight="false" outlineLevel="0" collapsed="false">
      <c r="A17" s="4" t="s">
        <v>426</v>
      </c>
    </row>
    <row r="18" customFormat="false" ht="43.5" hidden="false" customHeight="true" outlineLevel="0" collapsed="false">
      <c r="A18" s="6" t="s">
        <v>427</v>
      </c>
      <c r="B18" s="6" t="s">
        <v>415</v>
      </c>
      <c r="C18" s="6" t="s">
        <v>416</v>
      </c>
      <c r="D18" s="6" t="s">
        <v>417</v>
      </c>
      <c r="E18" s="6" t="s">
        <v>428</v>
      </c>
      <c r="F18" s="6" t="s">
        <v>429</v>
      </c>
      <c r="G18" s="6" t="s">
        <v>430</v>
      </c>
      <c r="H18" s="6" t="s">
        <v>431</v>
      </c>
      <c r="I18" s="6" t="s">
        <v>432</v>
      </c>
      <c r="J18" s="6" t="s">
        <v>433</v>
      </c>
    </row>
    <row r="19" customFormat="false" ht="15" hidden="false" customHeight="false" outlineLevel="0" collapsed="false">
      <c r="A19" s="12" t="s">
        <v>419</v>
      </c>
      <c r="B19" s="22" t="n">
        <f aca="false">B$7-B7</f>
        <v>0</v>
      </c>
      <c r="C19" s="22" t="n">
        <f aca="false">C$7-C7</f>
        <v>0</v>
      </c>
      <c r="D19" s="22" t="n">
        <f aca="false">D$7-D7</f>
        <v>0</v>
      </c>
      <c r="E19" s="22" t="n">
        <f aca="false">MAX(B19:D19)</f>
        <v>0</v>
      </c>
      <c r="F19" s="22" t="n">
        <f aca="false">MIN(B19:D19)</f>
        <v>0</v>
      </c>
      <c r="G19" s="22" t="n">
        <f aca="false">$B$26*E19+(1-$B$26)*F19</f>
        <v>0</v>
      </c>
      <c r="H19" s="22" t="n">
        <f aca="false">AVERAGE(B19:D19)</f>
        <v>0</v>
      </c>
      <c r="I19" s="29" t="n">
        <f aca="false">SUMPRODUCT(B19:D19,$B$14:$D$14)</f>
        <v>0</v>
      </c>
      <c r="J19" s="40" t="n">
        <f aca="false">I19*$B$15/60</f>
        <v>0</v>
      </c>
    </row>
    <row r="20" customFormat="false" ht="15" hidden="false" customHeight="false" outlineLevel="0" collapsed="false">
      <c r="A20" s="12" t="s">
        <v>305</v>
      </c>
      <c r="B20" s="22" t="n">
        <f aca="false">B$7-B8</f>
        <v>1.8</v>
      </c>
      <c r="C20" s="22" t="n">
        <f aca="false">C$7-C8</f>
        <v>6.3</v>
      </c>
      <c r="D20" s="22" t="n">
        <f aca="false">D$7-D8</f>
        <v>9</v>
      </c>
      <c r="E20" s="22" t="n">
        <f aca="false">MAX(B20:D20)</f>
        <v>9</v>
      </c>
      <c r="F20" s="22" t="n">
        <f aca="false">MIN(B20:D20)</f>
        <v>1.8</v>
      </c>
      <c r="G20" s="22" t="n">
        <f aca="false">$B$26*E20+(1-$B$26)*F20</f>
        <v>4.68</v>
      </c>
      <c r="H20" s="22" t="n">
        <f aca="false">AVERAGE(B20:D20)</f>
        <v>5.7</v>
      </c>
      <c r="I20" s="29" t="n">
        <f aca="false">SUMPRODUCT(B20:D20,$B$14:$D$14)</f>
        <v>5.49</v>
      </c>
      <c r="J20" s="40" t="n">
        <f aca="false">I20*$B$15/60</f>
        <v>270.84</v>
      </c>
    </row>
    <row r="21" customFormat="false" ht="15" hidden="false" customHeight="false" outlineLevel="0" collapsed="false">
      <c r="A21" s="12" t="s">
        <v>308</v>
      </c>
      <c r="B21" s="22" t="n">
        <f aca="false">B$7-B9</f>
        <v>1.8</v>
      </c>
      <c r="C21" s="22" t="n">
        <f aca="false">C$7-C9</f>
        <v>6.3</v>
      </c>
      <c r="D21" s="22" t="n">
        <f aca="false">D$7-D9</f>
        <v>11.5</v>
      </c>
      <c r="E21" s="22" t="n">
        <f aca="false">MAX(B21:D21)</f>
        <v>11.5</v>
      </c>
      <c r="F21" s="22" t="n">
        <f aca="false">MIN(B21:D21)</f>
        <v>1.8</v>
      </c>
      <c r="G21" s="22" t="n">
        <f aca="false">$B$26*E21+(1-$B$26)*F21</f>
        <v>5.68</v>
      </c>
      <c r="H21" s="22" t="n">
        <f aca="false">AVERAGE(B21:D21)</f>
        <v>6.53333333333333</v>
      </c>
      <c r="I21" s="29" t="n">
        <f aca="false">SUMPRODUCT(B21:D21,$B$14:$D$14)</f>
        <v>5.99</v>
      </c>
      <c r="J21" s="40" t="n">
        <f aca="false">I21*$B$15/60</f>
        <v>295.506666666667</v>
      </c>
    </row>
    <row r="22" customFormat="false" ht="15" hidden="false" customHeight="false" outlineLevel="0" collapsed="false">
      <c r="A22" s="12" t="s">
        <v>420</v>
      </c>
      <c r="B22" s="22" t="n">
        <f aca="false">B$7-B10</f>
        <v>1</v>
      </c>
      <c r="C22" s="22" t="n">
        <f aca="false">C$7-C10</f>
        <v>3.6</v>
      </c>
      <c r="D22" s="22" t="n">
        <f aca="false">D$7-D10</f>
        <v>6</v>
      </c>
      <c r="E22" s="22" t="n">
        <f aca="false">MAX(B22:D22)</f>
        <v>6</v>
      </c>
      <c r="F22" s="22" t="n">
        <f aca="false">MIN(B22:D22)</f>
        <v>1</v>
      </c>
      <c r="G22" s="22" t="n">
        <f aca="false">$B$26*E22+(1-$B$26)*F22</f>
        <v>3</v>
      </c>
      <c r="H22" s="22" t="n">
        <f aca="false">AVERAGE(B22:D22)</f>
        <v>3.53333333333333</v>
      </c>
      <c r="I22" s="29" t="n">
        <f aca="false">SUMPRODUCT(B22:D22,$B$14:$D$14)</f>
        <v>3.3</v>
      </c>
      <c r="J22" s="40" t="n">
        <f aca="false">I22*$B$15/60</f>
        <v>162.8</v>
      </c>
    </row>
    <row r="23" customFormat="false" ht="15" hidden="false" customHeight="false" outlineLevel="0" collapsed="false">
      <c r="A23" s="12" t="s">
        <v>421</v>
      </c>
      <c r="B23" s="22" t="n">
        <f aca="false">B$7-B11</f>
        <v>2</v>
      </c>
      <c r="C23" s="22" t="n">
        <f aca="false">C$7-C11</f>
        <v>6.5</v>
      </c>
      <c r="D23" s="22" t="n">
        <f aca="false">D$7-D11</f>
        <v>10.5</v>
      </c>
      <c r="E23" s="22" t="n">
        <f aca="false">MAX(B23:D23)</f>
        <v>10.5</v>
      </c>
      <c r="F23" s="22" t="n">
        <f aca="false">MIN(B23:D23)</f>
        <v>2</v>
      </c>
      <c r="G23" s="22" t="n">
        <f aca="false">$B$26*E23+(1-$B$26)*F23</f>
        <v>5.4</v>
      </c>
      <c r="H23" s="22" t="n">
        <f aca="false">AVERAGE(B23:D23)</f>
        <v>6.33333333333333</v>
      </c>
      <c r="I23" s="29" t="n">
        <f aca="false">SUMPRODUCT(B23:D23,$B$14:$D$14)</f>
        <v>5.95</v>
      </c>
      <c r="J23" s="40" t="n">
        <f aca="false">I23*$B$15/60</f>
        <v>293.533333333333</v>
      </c>
    </row>
    <row r="24" customFormat="false" ht="43.5" hidden="false" customHeight="true" outlineLevel="0" collapsed="false">
      <c r="A24" s="4" t="s">
        <v>434</v>
      </c>
      <c r="E24" s="41" t="str">
        <f aca="false">INDEX($A$19:$A$23,MATCH(MAX(E19:E23),E19:E23,0))</f>
        <v>A3 Screens + kitchen early alerts</v>
      </c>
      <c r="F24" s="41" t="str">
        <f aca="false">INDEX($A$19:$A$23,MATCH(MAX(F19:F23),F19:F23,0))</f>
        <v>A5 Screens + 3rd serving station</v>
      </c>
      <c r="G24" s="41" t="str">
        <f aca="false">INDEX($A$19:$A$23,MATCH(MAX(G19:G23),G19:G23,0))</f>
        <v>A3 Screens + kitchen early alerts</v>
      </c>
      <c r="H24" s="41" t="str">
        <f aca="false">INDEX($A$19:$A$23,MATCH(MAX(H19:H23),H19:H23,0))</f>
        <v>A3 Screens + kitchen early alerts</v>
      </c>
      <c r="I24" s="41" t="str">
        <f aca="false">INDEX($A$19:$A$23,MATCH(MAX(I19:I23),I19:I23,0))</f>
        <v>A3 Screens + kitchen early alerts</v>
      </c>
    </row>
    <row r="26" customFormat="false" ht="15" hidden="false" customHeight="false" outlineLevel="0" collapsed="false">
      <c r="A26" s="12" t="s">
        <v>435</v>
      </c>
      <c r="B26" s="37" t="n">
        <v>0.4</v>
      </c>
    </row>
    <row r="28" customFormat="false" ht="15" hidden="false" customHeight="false" outlineLevel="0" collapsed="false">
      <c r="A28" s="4" t="s">
        <v>436</v>
      </c>
    </row>
    <row r="29" customFormat="false" ht="23.85" hidden="false" customHeight="false" outlineLevel="0" collapsed="false">
      <c r="A29" s="6" t="s">
        <v>427</v>
      </c>
      <c r="B29" s="6" t="s">
        <v>415</v>
      </c>
      <c r="C29" s="6" t="s">
        <v>416</v>
      </c>
      <c r="D29" s="6" t="s">
        <v>417</v>
      </c>
      <c r="E29" s="6" t="s">
        <v>437</v>
      </c>
      <c r="F29" s="6" t="s">
        <v>438</v>
      </c>
    </row>
    <row r="30" customFormat="false" ht="15" hidden="false" customHeight="false" outlineLevel="0" collapsed="false">
      <c r="A30" s="12" t="s">
        <v>419</v>
      </c>
      <c r="B30" s="22" t="n">
        <f aca="false">MAX(B$19:B$23)-B19</f>
        <v>2</v>
      </c>
      <c r="C30" s="22" t="n">
        <f aca="false">MAX(C$19:C$23)-C19</f>
        <v>6.5</v>
      </c>
      <c r="D30" s="22" t="n">
        <f aca="false">MAX(D$19:D$23)-D19</f>
        <v>11.5</v>
      </c>
      <c r="E30" s="22" t="n">
        <f aca="false">MAX(B30:D30)</f>
        <v>11.5</v>
      </c>
      <c r="F30" s="29" t="n">
        <f aca="false">SUMPRODUCT(B30:D30,$B$14:$D$14)</f>
        <v>6.15</v>
      </c>
    </row>
    <row r="31" customFormat="false" ht="15" hidden="false" customHeight="false" outlineLevel="0" collapsed="false">
      <c r="A31" s="12" t="s">
        <v>305</v>
      </c>
      <c r="B31" s="22" t="n">
        <f aca="false">MAX(B$19:B$23)-B20</f>
        <v>0.2</v>
      </c>
      <c r="C31" s="22" t="n">
        <f aca="false">MAX(C$19:C$23)-C20</f>
        <v>0.2</v>
      </c>
      <c r="D31" s="22" t="n">
        <f aca="false">MAX(D$19:D$23)-D20</f>
        <v>2.5</v>
      </c>
      <c r="E31" s="22" t="n">
        <f aca="false">MAX(B31:D31)</f>
        <v>2.5</v>
      </c>
      <c r="F31" s="29" t="n">
        <f aca="false">SUMPRODUCT(B31:D31,$B$14:$D$14)</f>
        <v>0.66</v>
      </c>
    </row>
    <row r="32" customFormat="false" ht="15" hidden="false" customHeight="false" outlineLevel="0" collapsed="false">
      <c r="A32" s="12" t="s">
        <v>308</v>
      </c>
      <c r="B32" s="22" t="n">
        <f aca="false">MAX(B$19:B$23)-B21</f>
        <v>0.2</v>
      </c>
      <c r="C32" s="22" t="n">
        <f aca="false">MAX(C$19:C$23)-C21</f>
        <v>0.2</v>
      </c>
      <c r="D32" s="22" t="n">
        <f aca="false">MAX(D$19:D$23)-D21</f>
        <v>0</v>
      </c>
      <c r="E32" s="22" t="n">
        <f aca="false">MAX(B32:D32)</f>
        <v>0.2</v>
      </c>
      <c r="F32" s="29" t="n">
        <f aca="false">SUMPRODUCT(B32:D32,$B$14:$D$14)</f>
        <v>0.16</v>
      </c>
    </row>
    <row r="33" customFormat="false" ht="15" hidden="false" customHeight="false" outlineLevel="0" collapsed="false">
      <c r="A33" s="12" t="s">
        <v>420</v>
      </c>
      <c r="B33" s="22" t="n">
        <f aca="false">MAX(B$19:B$23)-B22</f>
        <v>1</v>
      </c>
      <c r="C33" s="22" t="n">
        <f aca="false">MAX(C$19:C$23)-C22</f>
        <v>2.9</v>
      </c>
      <c r="D33" s="22" t="n">
        <f aca="false">MAX(D$19:D$23)-D22</f>
        <v>5.5</v>
      </c>
      <c r="E33" s="22" t="n">
        <f aca="false">MAX(B33:D33)</f>
        <v>5.5</v>
      </c>
      <c r="F33" s="29" t="n">
        <f aca="false">SUMPRODUCT(B33:D33,$B$14:$D$14)</f>
        <v>2.85</v>
      </c>
    </row>
    <row r="34" customFormat="false" ht="15" hidden="false" customHeight="false" outlineLevel="0" collapsed="false">
      <c r="A34" s="12" t="s">
        <v>421</v>
      </c>
      <c r="B34" s="22" t="n">
        <f aca="false">MAX(B$19:B$23)-B23</f>
        <v>0</v>
      </c>
      <c r="C34" s="22" t="n">
        <f aca="false">MAX(C$19:C$23)-C23</f>
        <v>0</v>
      </c>
      <c r="D34" s="22" t="n">
        <f aca="false">MAX(D$19:D$23)-D23</f>
        <v>1</v>
      </c>
      <c r="E34" s="22" t="n">
        <f aca="false">MAX(B34:D34)</f>
        <v>1</v>
      </c>
      <c r="F34" s="29" t="n">
        <f aca="false">SUMPRODUCT(B34:D34,$B$14:$D$14)</f>
        <v>0.2</v>
      </c>
    </row>
    <row r="35" customFormat="false" ht="30" hidden="false" customHeight="true" outlineLevel="0" collapsed="false">
      <c r="A35" s="4" t="s">
        <v>439</v>
      </c>
      <c r="E35" s="41" t="str">
        <f aca="false">INDEX($A$30:$A$34,MATCH(MIN(E30:E34),E30:E34,0))</f>
        <v>A3 Screens + kitchen early alerts</v>
      </c>
    </row>
    <row r="36" customFormat="false" ht="30" hidden="false" customHeight="true" outlineLevel="0" collapsed="false">
      <c r="A36" s="4" t="s">
        <v>440</v>
      </c>
      <c r="F36" s="41" t="str">
        <f aca="false">INDEX($A$30:$A$34,MATCH(MIN(F30:F34),F30:F34,0))</f>
        <v>A3 Screens + kitchen early alerts</v>
      </c>
    </row>
    <row r="38" customFormat="false" ht="15" hidden="false" customHeight="false" outlineLevel="0" collapsed="false">
      <c r="A38" s="4" t="s">
        <v>441</v>
      </c>
    </row>
    <row r="39" customFormat="false" ht="15" hidden="false" customHeight="false" outlineLevel="0" collapsed="false">
      <c r="A39" s="12" t="s">
        <v>442</v>
      </c>
      <c r="B39" s="29" t="n">
        <f aca="false">B14*MAX(B19:B23)+C14*MAX(C19:C23)+D14*MAX(D19:D23)</f>
        <v>6.15</v>
      </c>
    </row>
    <row r="40" customFormat="false" ht="15" hidden="false" customHeight="false" outlineLevel="0" collapsed="false">
      <c r="A40" s="12" t="s">
        <v>443</v>
      </c>
      <c r="B40" s="29" t="n">
        <f aca="false">MAX(I19:I23)</f>
        <v>5.99</v>
      </c>
    </row>
    <row r="41" customFormat="false" ht="15" hidden="false" customHeight="false" outlineLevel="0" collapsed="false">
      <c r="A41" s="12" t="s">
        <v>444</v>
      </c>
      <c r="B41" s="42" t="n">
        <f aca="false">B39-B40</f>
        <v>0.16</v>
      </c>
    </row>
    <row r="42" customFormat="false" ht="15" hidden="false" customHeight="false" outlineLevel="0" collapsed="false">
      <c r="A42" s="12" t="s">
        <v>445</v>
      </c>
      <c r="B42" s="29" t="n">
        <f aca="false">MIN(F30:F34)</f>
        <v>0.16</v>
      </c>
    </row>
    <row r="44" customFormat="false" ht="55.5" hidden="false" customHeight="true" outlineLevel="0" collapsed="false">
      <c r="A44" s="3" t="s">
        <v>446</v>
      </c>
      <c r="B44" s="3"/>
      <c r="C44" s="3"/>
      <c r="D44" s="3"/>
      <c r="E44" s="3"/>
      <c r="F44" s="3"/>
      <c r="G44" s="3"/>
      <c r="H44" s="3"/>
      <c r="I44" s="3"/>
      <c r="J44" s="3"/>
    </row>
  </sheetData>
  <mergeCells count="3">
    <mergeCell ref="A4:J4"/>
    <mergeCell ref="F6:J10"/>
    <mergeCell ref="A44:J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6"/>
    <col collapsed="false" customWidth="true" hidden="false" outlineLevel="0" max="6" min="6" style="0" width="30"/>
  </cols>
  <sheetData>
    <row r="1" customFormat="false" ht="17.35" hidden="false" customHeight="false" outlineLevel="0" collapsed="false">
      <c r="A1" s="1" t="s">
        <v>447</v>
      </c>
      <c r="B1" s="2"/>
      <c r="C1" s="2"/>
      <c r="D1" s="2"/>
      <c r="E1" s="2"/>
      <c r="F1" s="2"/>
    </row>
    <row r="2" customFormat="false" ht="15" hidden="false" customHeight="false" outlineLevel="0" collapsed="false">
      <c r="A2" s="10" t="s">
        <v>448</v>
      </c>
    </row>
    <row r="4" customFormat="false" ht="19.5" hidden="false" customHeight="true" outlineLevel="0" collapsed="false">
      <c r="A4" s="4" t="s">
        <v>449</v>
      </c>
      <c r="H4" s="3" t="s">
        <v>450</v>
      </c>
      <c r="I4" s="3"/>
      <c r="J4" s="3"/>
      <c r="K4" s="3"/>
      <c r="L4" s="3"/>
    </row>
    <row r="5" customFormat="false" ht="15" hidden="false" customHeight="true" outlineLevel="0" collapsed="false">
      <c r="A5" s="12" t="s">
        <v>451</v>
      </c>
      <c r="B5" s="20" t="n">
        <v>0.4</v>
      </c>
      <c r="C5" s="3" t="s">
        <v>452</v>
      </c>
      <c r="D5" s="3"/>
      <c r="E5" s="3"/>
      <c r="F5" s="3"/>
      <c r="H5" s="3"/>
      <c r="I5" s="3"/>
      <c r="J5" s="3"/>
      <c r="K5" s="3"/>
      <c r="L5" s="3"/>
    </row>
    <row r="6" customFormat="false" ht="15" hidden="false" customHeight="true" outlineLevel="0" collapsed="false">
      <c r="A6" s="12" t="s">
        <v>453</v>
      </c>
      <c r="B6" s="16" t="n">
        <v>40</v>
      </c>
      <c r="C6" s="3" t="s">
        <v>454</v>
      </c>
      <c r="D6" s="3"/>
      <c r="E6" s="3"/>
      <c r="F6" s="3"/>
      <c r="H6" s="3"/>
      <c r="I6" s="3"/>
      <c r="J6" s="3"/>
      <c r="K6" s="3"/>
      <c r="L6" s="3"/>
    </row>
    <row r="7" customFormat="false" ht="15" hidden="false" customHeight="true" outlineLevel="0" collapsed="false">
      <c r="A7" s="12" t="s">
        <v>455</v>
      </c>
      <c r="B7" s="16" t="n">
        <v>300</v>
      </c>
      <c r="C7" s="3" t="s">
        <v>456</v>
      </c>
      <c r="D7" s="3"/>
      <c r="E7" s="3"/>
      <c r="F7" s="3"/>
      <c r="H7" s="3"/>
      <c r="I7" s="3"/>
      <c r="J7" s="3"/>
      <c r="K7" s="3"/>
      <c r="L7" s="3"/>
    </row>
    <row r="8" customFormat="false" ht="15" hidden="false" customHeight="true" outlineLevel="0" collapsed="false">
      <c r="A8" s="12" t="s">
        <v>457</v>
      </c>
      <c r="B8" s="16" t="n">
        <v>10</v>
      </c>
      <c r="C8" s="3" t="s">
        <v>458</v>
      </c>
      <c r="D8" s="3"/>
      <c r="E8" s="3"/>
      <c r="F8" s="3"/>
      <c r="H8" s="3"/>
      <c r="I8" s="3"/>
      <c r="J8" s="3"/>
      <c r="K8" s="3"/>
      <c r="L8" s="3"/>
    </row>
    <row r="9" customFormat="false" ht="15" hidden="false" customHeight="false" outlineLevel="0" collapsed="false">
      <c r="A9" s="12" t="s">
        <v>459</v>
      </c>
      <c r="B9" s="43" t="n">
        <f aca="false">Inputs!$B$33</f>
        <v>30</v>
      </c>
      <c r="H9" s="3"/>
      <c r="I9" s="3"/>
      <c r="J9" s="3"/>
      <c r="K9" s="3"/>
      <c r="L9" s="3"/>
    </row>
    <row r="10" customFormat="false" ht="15" hidden="false" customHeight="false" outlineLevel="0" collapsed="false">
      <c r="A10" s="12" t="s">
        <v>460</v>
      </c>
      <c r="B10" s="43" t="n">
        <f aca="false">Inputs!$B$32</f>
        <v>5</v>
      </c>
      <c r="H10" s="3"/>
      <c r="I10" s="3"/>
      <c r="J10" s="3"/>
      <c r="K10" s="3"/>
      <c r="L10" s="3"/>
    </row>
    <row r="11" customFormat="false" ht="15" hidden="false" customHeight="false" outlineLevel="0" collapsed="false">
      <c r="H11" s="3"/>
      <c r="I11" s="3"/>
      <c r="J11" s="3"/>
      <c r="K11" s="3"/>
      <c r="L11" s="3"/>
    </row>
    <row r="12" customFormat="false" ht="15" hidden="false" customHeight="false" outlineLevel="0" collapsed="false">
      <c r="A12" s="4" t="s">
        <v>461</v>
      </c>
      <c r="H12" s="3"/>
      <c r="I12" s="3"/>
      <c r="J12" s="3"/>
      <c r="K12" s="3"/>
      <c r="L12" s="3"/>
    </row>
    <row r="13" customFormat="false" ht="15" hidden="false" customHeight="false" outlineLevel="0" collapsed="false">
      <c r="A13" s="6" t="s">
        <v>215</v>
      </c>
      <c r="B13" s="6" t="s">
        <v>462</v>
      </c>
      <c r="C13" s="6" t="s">
        <v>463</v>
      </c>
      <c r="D13" s="6" t="s">
        <v>464</v>
      </c>
      <c r="E13" s="6" t="s">
        <v>465</v>
      </c>
      <c r="H13" s="3"/>
      <c r="I13" s="3"/>
      <c r="J13" s="3"/>
      <c r="K13" s="3"/>
      <c r="L13" s="3"/>
    </row>
    <row r="14" customFormat="false" ht="15" hidden="false" customHeight="false" outlineLevel="0" collapsed="false">
      <c r="A14" s="7" t="s">
        <v>466</v>
      </c>
      <c r="B14" s="25"/>
      <c r="C14" s="44"/>
      <c r="D14" s="44"/>
      <c r="E14" s="44" t="n">
        <f aca="false">D15+D16</f>
        <v>720</v>
      </c>
      <c r="H14" s="3"/>
      <c r="I14" s="3"/>
      <c r="J14" s="3"/>
      <c r="K14" s="3"/>
      <c r="L14" s="3"/>
    </row>
    <row r="15" customFormat="false" ht="15" hidden="false" customHeight="false" outlineLevel="0" collapsed="false">
      <c r="A15" s="7" t="s">
        <v>467</v>
      </c>
      <c r="B15" s="25" t="n">
        <f aca="false">B5</f>
        <v>0.4</v>
      </c>
      <c r="C15" s="44" t="n">
        <f aca="false">0</f>
        <v>0</v>
      </c>
      <c r="D15" s="44" t="n">
        <f aca="false">B15*C15</f>
        <v>0</v>
      </c>
      <c r="E15" s="44"/>
    </row>
    <row r="16" customFormat="false" ht="15" hidden="false" customHeight="false" outlineLevel="0" collapsed="false">
      <c r="A16" s="7" t="s">
        <v>468</v>
      </c>
      <c r="B16" s="25" t="n">
        <f aca="false">1-B5</f>
        <v>0.6</v>
      </c>
      <c r="C16" s="44" t="n">
        <f aca="false">B6*B9</f>
        <v>1200</v>
      </c>
      <c r="D16" s="44" t="n">
        <f aca="false">B16*C16</f>
        <v>720</v>
      </c>
      <c r="E16" s="44"/>
    </row>
    <row r="17" customFormat="false" ht="15" hidden="false" customHeight="false" outlineLevel="0" collapsed="false">
      <c r="A17" s="7" t="s">
        <v>469</v>
      </c>
      <c r="B17" s="25"/>
      <c r="C17" s="44"/>
      <c r="D17" s="44"/>
      <c r="E17" s="44" t="n">
        <f aca="false">D18+D19</f>
        <v>6000</v>
      </c>
    </row>
    <row r="18" customFormat="false" ht="15" hidden="false" customHeight="false" outlineLevel="0" collapsed="false">
      <c r="A18" s="7" t="s">
        <v>467</v>
      </c>
      <c r="B18" s="25" t="n">
        <f aca="false">B5</f>
        <v>0.4</v>
      </c>
      <c r="C18" s="44" t="n">
        <f aca="false">B7*B8*B10</f>
        <v>15000</v>
      </c>
      <c r="D18" s="44" t="n">
        <f aca="false">B18*C18</f>
        <v>6000</v>
      </c>
      <c r="E18" s="44"/>
    </row>
    <row r="19" customFormat="false" ht="15" hidden="false" customHeight="false" outlineLevel="0" collapsed="false">
      <c r="A19" s="7" t="s">
        <v>468</v>
      </c>
      <c r="B19" s="25" t="n">
        <f aca="false">1-B5</f>
        <v>0.6</v>
      </c>
      <c r="C19" s="44" t="n">
        <f aca="false">0</f>
        <v>0</v>
      </c>
      <c r="D19" s="44" t="n">
        <f aca="false">B19*C19</f>
        <v>0</v>
      </c>
      <c r="E19" s="44"/>
    </row>
    <row r="21" customFormat="false" ht="15" hidden="false" customHeight="false" outlineLevel="0" collapsed="false">
      <c r="A21" s="4" t="s">
        <v>470</v>
      </c>
      <c r="B21" s="45" t="str">
        <f aca="false">IF(E14&lt;=E17,"Pre-stage","Wait and react")</f>
        <v>Pre-stage</v>
      </c>
    </row>
    <row r="22" customFormat="false" ht="15" hidden="false" customHeight="true" outlineLevel="0" collapsed="false">
      <c r="A22" s="12" t="s">
        <v>471</v>
      </c>
      <c r="B22" s="46" t="n">
        <f aca="false">(C16-C19)/((C16-C19)+(C18-C15))</f>
        <v>0.0740740740740741</v>
      </c>
      <c r="C22" s="3" t="s">
        <v>472</v>
      </c>
      <c r="D22" s="3"/>
      <c r="E22" s="3"/>
      <c r="F22" s="3"/>
    </row>
    <row r="24" customFormat="false" ht="15" hidden="false" customHeight="false" outlineLevel="0" collapsed="false">
      <c r="A24" s="4" t="s">
        <v>473</v>
      </c>
    </row>
    <row r="25" customFormat="false" ht="15" hidden="false" customHeight="false" outlineLevel="0" collapsed="false">
      <c r="A25" s="6" t="s">
        <v>474</v>
      </c>
      <c r="B25" s="6" t="s">
        <v>475</v>
      </c>
      <c r="C25" s="6" t="s">
        <v>476</v>
      </c>
      <c r="D25" s="6" t="s">
        <v>477</v>
      </c>
    </row>
    <row r="26" customFormat="false" ht="15" hidden="false" customHeight="false" outlineLevel="0" collapsed="false">
      <c r="A26" s="20" t="n">
        <v>0</v>
      </c>
      <c r="B26" s="44" t="n">
        <f aca="false">A26*$C$15+(1-A26)*$C$16</f>
        <v>1200</v>
      </c>
      <c r="C26" s="44" t="n">
        <f aca="false">A26*$C$18+(1-A26)*$C$19</f>
        <v>0</v>
      </c>
      <c r="D26" s="7" t="str">
        <f aca="false">IF(B26&lt;=C26,"Pre-stage","React")</f>
        <v>React</v>
      </c>
    </row>
    <row r="27" customFormat="false" ht="15" hidden="false" customHeight="false" outlineLevel="0" collapsed="false">
      <c r="A27" s="20" t="n">
        <v>0.1</v>
      </c>
      <c r="B27" s="44" t="n">
        <f aca="false">A27*$C$15+(1-A27)*$C$16</f>
        <v>1080</v>
      </c>
      <c r="C27" s="44" t="n">
        <f aca="false">A27*$C$18+(1-A27)*$C$19</f>
        <v>1500</v>
      </c>
      <c r="D27" s="7" t="str">
        <f aca="false">IF(B27&lt;=C27,"Pre-stage","React")</f>
        <v>Pre-stage</v>
      </c>
    </row>
    <row r="28" customFormat="false" ht="15" hidden="false" customHeight="false" outlineLevel="0" collapsed="false">
      <c r="A28" s="20" t="n">
        <v>0.2</v>
      </c>
      <c r="B28" s="44" t="n">
        <f aca="false">A28*$C$15+(1-A28)*$C$16</f>
        <v>960</v>
      </c>
      <c r="C28" s="44" t="n">
        <f aca="false">A28*$C$18+(1-A28)*$C$19</f>
        <v>3000</v>
      </c>
      <c r="D28" s="7" t="str">
        <f aca="false">IF(B28&lt;=C28,"Pre-stage","React")</f>
        <v>Pre-stage</v>
      </c>
    </row>
    <row r="29" customFormat="false" ht="15" hidden="false" customHeight="false" outlineLevel="0" collapsed="false">
      <c r="A29" s="20" t="n">
        <v>0.3</v>
      </c>
      <c r="B29" s="44" t="n">
        <f aca="false">A29*$C$15+(1-A29)*$C$16</f>
        <v>840</v>
      </c>
      <c r="C29" s="44" t="n">
        <f aca="false">A29*$C$18+(1-A29)*$C$19</f>
        <v>4500</v>
      </c>
      <c r="D29" s="7" t="str">
        <f aca="false">IF(B29&lt;=C29,"Pre-stage","React")</f>
        <v>Pre-stage</v>
      </c>
    </row>
    <row r="30" customFormat="false" ht="15" hidden="false" customHeight="false" outlineLevel="0" collapsed="false">
      <c r="A30" s="20" t="n">
        <v>0.4</v>
      </c>
      <c r="B30" s="44" t="n">
        <f aca="false">A30*$C$15+(1-A30)*$C$16</f>
        <v>720</v>
      </c>
      <c r="C30" s="44" t="n">
        <f aca="false">A30*$C$18+(1-A30)*$C$19</f>
        <v>6000</v>
      </c>
      <c r="D30" s="7" t="str">
        <f aca="false">IF(B30&lt;=C30,"Pre-stage","React")</f>
        <v>Pre-stage</v>
      </c>
    </row>
    <row r="31" customFormat="false" ht="15" hidden="false" customHeight="false" outlineLevel="0" collapsed="false">
      <c r="A31" s="20" t="n">
        <v>0.5</v>
      </c>
      <c r="B31" s="44" t="n">
        <f aca="false">A31*$C$15+(1-A31)*$C$16</f>
        <v>600</v>
      </c>
      <c r="C31" s="44" t="n">
        <f aca="false">A31*$C$18+(1-A31)*$C$19</f>
        <v>7500</v>
      </c>
      <c r="D31" s="7" t="str">
        <f aca="false">IF(B31&lt;=C31,"Pre-stage","React")</f>
        <v>Pre-stage</v>
      </c>
    </row>
    <row r="32" customFormat="false" ht="15" hidden="false" customHeight="false" outlineLevel="0" collapsed="false">
      <c r="A32" s="20" t="n">
        <v>0.6</v>
      </c>
      <c r="B32" s="44" t="n">
        <f aca="false">A32*$C$15+(1-A32)*$C$16</f>
        <v>480</v>
      </c>
      <c r="C32" s="44" t="n">
        <f aca="false">A32*$C$18+(1-A32)*$C$19</f>
        <v>9000</v>
      </c>
      <c r="D32" s="7" t="str">
        <f aca="false">IF(B32&lt;=C32,"Pre-stage","React")</f>
        <v>Pre-stage</v>
      </c>
    </row>
    <row r="33" customFormat="false" ht="15" hidden="false" customHeight="false" outlineLevel="0" collapsed="false">
      <c r="A33" s="20" t="n">
        <v>0.7</v>
      </c>
      <c r="B33" s="44" t="n">
        <f aca="false">A33*$C$15+(1-A33)*$C$16</f>
        <v>360</v>
      </c>
      <c r="C33" s="44" t="n">
        <f aca="false">A33*$C$18+(1-A33)*$C$19</f>
        <v>10500</v>
      </c>
      <c r="D33" s="7" t="str">
        <f aca="false">IF(B33&lt;=C33,"Pre-stage","React")</f>
        <v>Pre-stage</v>
      </c>
    </row>
    <row r="34" customFormat="false" ht="15" hidden="false" customHeight="false" outlineLevel="0" collapsed="false">
      <c r="A34" s="20" t="n">
        <v>0.8</v>
      </c>
      <c r="B34" s="44" t="n">
        <f aca="false">A34*$C$15+(1-A34)*$C$16</f>
        <v>240</v>
      </c>
      <c r="C34" s="44" t="n">
        <f aca="false">A34*$C$18+(1-A34)*$C$19</f>
        <v>12000</v>
      </c>
      <c r="D34" s="7" t="str">
        <f aca="false">IF(B34&lt;=C34,"Pre-stage","React")</f>
        <v>Pre-stage</v>
      </c>
    </row>
    <row r="35" customFormat="false" ht="15" hidden="false" customHeight="false" outlineLevel="0" collapsed="false">
      <c r="A35" s="20" t="n">
        <v>0.9</v>
      </c>
      <c r="B35" s="44" t="n">
        <f aca="false">A35*$C$15+(1-A35)*$C$16</f>
        <v>120</v>
      </c>
      <c r="C35" s="44" t="n">
        <f aca="false">A35*$C$18+(1-A35)*$C$19</f>
        <v>13500</v>
      </c>
      <c r="D35" s="7" t="str">
        <f aca="false">IF(B35&lt;=C35,"Pre-stage","React")</f>
        <v>Pre-stage</v>
      </c>
    </row>
    <row r="36" customFormat="false" ht="15" hidden="false" customHeight="false" outlineLevel="0" collapsed="false">
      <c r="A36" s="20" t="n">
        <v>1</v>
      </c>
      <c r="B36" s="44" t="n">
        <f aca="false">A36*$C$15+(1-A36)*$C$16</f>
        <v>0</v>
      </c>
      <c r="C36" s="44" t="n">
        <f aca="false">A36*$C$18+(1-A36)*$C$19</f>
        <v>15000</v>
      </c>
      <c r="D36" s="7" t="str">
        <f aca="false">IF(B36&lt;=C36,"Pre-stage","React")</f>
        <v>Pre-stage</v>
      </c>
    </row>
  </sheetData>
  <mergeCells count="6">
    <mergeCell ref="H4:L14"/>
    <mergeCell ref="C5:F5"/>
    <mergeCell ref="C6:F6"/>
    <mergeCell ref="C7:F7"/>
    <mergeCell ref="C8:F8"/>
    <mergeCell ref="C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36"/>
  </cols>
  <sheetData>
    <row r="1" customFormat="false" ht="17.35" hidden="false" customHeight="false" outlineLevel="0" collapsed="false">
      <c r="A1" s="1" t="s">
        <v>478</v>
      </c>
      <c r="B1" s="2"/>
      <c r="C1" s="2"/>
      <c r="D1" s="2"/>
      <c r="E1" s="2"/>
      <c r="F1" s="2"/>
    </row>
    <row r="2" customFormat="false" ht="15" hidden="false" customHeight="false" outlineLevel="0" collapsed="false">
      <c r="A2" s="10" t="s">
        <v>479</v>
      </c>
    </row>
    <row r="4" customFormat="false" ht="15" hidden="false" customHeight="false" outlineLevel="0" collapsed="false">
      <c r="A4" s="4" t="s">
        <v>480</v>
      </c>
    </row>
    <row r="5" customFormat="false" ht="15" hidden="false" customHeight="false" outlineLevel="0" collapsed="false">
      <c r="A5" s="5" t="s">
        <v>481</v>
      </c>
      <c r="B5" s="5"/>
      <c r="C5" s="5"/>
      <c r="D5" s="5"/>
      <c r="E5" s="5"/>
      <c r="F5" s="5"/>
    </row>
    <row r="6" customFormat="false" ht="15" hidden="false" customHeight="false" outlineLevel="0" collapsed="false">
      <c r="A6" s="5" t="s">
        <v>482</v>
      </c>
      <c r="B6" s="5"/>
      <c r="C6" s="5"/>
      <c r="D6" s="5"/>
      <c r="E6" s="5"/>
      <c r="F6" s="5"/>
    </row>
    <row r="7" customFormat="false" ht="15" hidden="false" customHeight="false" outlineLevel="0" collapsed="false">
      <c r="A7" s="5" t="s">
        <v>483</v>
      </c>
      <c r="B7" s="5"/>
      <c r="C7" s="5"/>
      <c r="D7" s="5"/>
      <c r="E7" s="5"/>
      <c r="F7" s="5"/>
    </row>
    <row r="9" customFormat="false" ht="15" hidden="false" customHeight="false" outlineLevel="0" collapsed="false">
      <c r="A9" s="4" t="s">
        <v>449</v>
      </c>
    </row>
    <row r="10" customFormat="false" ht="15" hidden="false" customHeight="false" outlineLevel="0" collapsed="false">
      <c r="A10" s="12" t="s">
        <v>484</v>
      </c>
      <c r="B10" s="13" t="n">
        <v>1000</v>
      </c>
    </row>
    <row r="11" customFormat="false" ht="27.75" hidden="false" customHeight="true" outlineLevel="0" collapsed="false">
      <c r="A11" s="12" t="s">
        <v>485</v>
      </c>
      <c r="B11" s="13" t="n">
        <v>650</v>
      </c>
      <c r="C11" s="3" t="s">
        <v>486</v>
      </c>
      <c r="D11" s="3"/>
      <c r="E11" s="3"/>
      <c r="F11" s="3"/>
    </row>
    <row r="12" customFormat="false" ht="15" hidden="false" customHeight="false" outlineLevel="0" collapsed="false">
      <c r="A12" s="12" t="s">
        <v>487</v>
      </c>
      <c r="B12" s="13" t="n">
        <v>400</v>
      </c>
      <c r="C12" s="3"/>
      <c r="D12" s="3"/>
      <c r="E12" s="3"/>
      <c r="F12" s="3"/>
    </row>
    <row r="13" customFormat="false" ht="15" hidden="false" customHeight="false" outlineLevel="0" collapsed="false">
      <c r="A13" s="12" t="s">
        <v>488</v>
      </c>
      <c r="B13" s="47" t="n">
        <v>60</v>
      </c>
    </row>
    <row r="14" customFormat="false" ht="15" hidden="false" customHeight="false" outlineLevel="0" collapsed="false">
      <c r="A14" s="12" t="s">
        <v>489</v>
      </c>
      <c r="B14" s="47" t="n">
        <v>45</v>
      </c>
    </row>
    <row r="16" customFormat="false" ht="15" hidden="false" customHeight="false" outlineLevel="0" collapsed="false">
      <c r="A16" s="4" t="s">
        <v>490</v>
      </c>
    </row>
    <row r="17" customFormat="false" ht="15" hidden="false" customHeight="false" outlineLevel="0" collapsed="false">
      <c r="A17" s="12" t="s">
        <v>491</v>
      </c>
      <c r="B17" s="48" t="n">
        <v>650</v>
      </c>
    </row>
    <row r="18" customFormat="false" ht="15" hidden="false" customHeight="false" outlineLevel="0" collapsed="false">
      <c r="A18" s="12" t="s">
        <v>492</v>
      </c>
      <c r="B18" s="48" t="n">
        <v>350</v>
      </c>
    </row>
    <row r="19" customFormat="false" ht="15" hidden="false" customHeight="false" outlineLevel="0" collapsed="false">
      <c r="A19" s="12" t="s">
        <v>493</v>
      </c>
      <c r="B19" s="49" t="n">
        <f aca="false">B13*B17+B14*B18</f>
        <v>54750</v>
      </c>
    </row>
    <row r="21" customFormat="false" ht="15" hidden="false" customHeight="false" outlineLevel="0" collapsed="false">
      <c r="A21" s="4" t="s">
        <v>494</v>
      </c>
    </row>
    <row r="22" customFormat="false" ht="15" hidden="false" customHeight="false" outlineLevel="0" collapsed="false">
      <c r="A22" s="6" t="s">
        <v>495</v>
      </c>
      <c r="B22" s="6" t="s">
        <v>496</v>
      </c>
      <c r="C22" s="6" t="s">
        <v>497</v>
      </c>
      <c r="D22" s="6" t="s">
        <v>498</v>
      </c>
      <c r="E22" s="6" t="s">
        <v>499</v>
      </c>
    </row>
    <row r="23" customFormat="false" ht="15" hidden="false" customHeight="false" outlineLevel="0" collapsed="false">
      <c r="A23" s="7" t="s">
        <v>500</v>
      </c>
      <c r="B23" s="40" t="n">
        <f aca="false">B17+B18</f>
        <v>1000</v>
      </c>
      <c r="C23" s="7" t="s">
        <v>501</v>
      </c>
      <c r="D23" s="40" t="n">
        <f aca="false">B10</f>
        <v>1000</v>
      </c>
      <c r="E23" s="7" t="str">
        <f aca="false">IF(B23&lt;=D23,"OK","Violated")</f>
        <v>OK</v>
      </c>
    </row>
    <row r="24" customFormat="false" ht="15" hidden="false" customHeight="false" outlineLevel="0" collapsed="false">
      <c r="A24" s="7" t="s">
        <v>502</v>
      </c>
      <c r="B24" s="40" t="n">
        <f aca="false">B17</f>
        <v>650</v>
      </c>
      <c r="C24" s="7" t="s">
        <v>501</v>
      </c>
      <c r="D24" s="40" t="n">
        <f aca="false">B11</f>
        <v>650</v>
      </c>
      <c r="E24" s="7" t="str">
        <f aca="false">IF(B24&lt;=D24,"OK","Violated")</f>
        <v>OK</v>
      </c>
    </row>
    <row r="25" customFormat="false" ht="15" hidden="false" customHeight="false" outlineLevel="0" collapsed="false">
      <c r="A25" s="7" t="s">
        <v>503</v>
      </c>
      <c r="B25" s="40" t="n">
        <f aca="false">B18</f>
        <v>350</v>
      </c>
      <c r="C25" s="7" t="s">
        <v>501</v>
      </c>
      <c r="D25" s="40" t="n">
        <f aca="false">B12</f>
        <v>400</v>
      </c>
      <c r="E25" s="7" t="str">
        <f aca="false">IF(B25&lt;=D25,"OK","Violated")</f>
        <v>OK</v>
      </c>
    </row>
    <row r="26" customFormat="false" ht="15" hidden="false" customHeight="false" outlineLevel="0" collapsed="false">
      <c r="A26" s="7" t="s">
        <v>504</v>
      </c>
      <c r="B26" s="40" t="n">
        <f aca="false">MIN(B17:B18)</f>
        <v>350</v>
      </c>
      <c r="C26" s="7" t="s">
        <v>505</v>
      </c>
      <c r="D26" s="40" t="s">
        <v>506</v>
      </c>
      <c r="E26" s="7" t="str">
        <f aca="false">IF(B26&gt;=0,"OK","Violated")</f>
        <v>OK</v>
      </c>
    </row>
    <row r="28" customFormat="false" ht="15" hidden="false" customHeight="false" outlineLevel="0" collapsed="false">
      <c r="A28" s="4" t="s">
        <v>507</v>
      </c>
    </row>
    <row r="29" customFormat="false" ht="15" hidden="false" customHeight="false" outlineLevel="0" collapsed="false">
      <c r="A29" s="6" t="s">
        <v>508</v>
      </c>
      <c r="B29" s="6" t="s">
        <v>509</v>
      </c>
      <c r="C29" s="6" t="s">
        <v>510</v>
      </c>
      <c r="D29" s="6" t="s">
        <v>511</v>
      </c>
      <c r="E29" s="6" t="s">
        <v>512</v>
      </c>
    </row>
    <row r="30" customFormat="false" ht="15" hidden="false" customHeight="false" outlineLevel="0" collapsed="false">
      <c r="A30" s="7" t="s">
        <v>513</v>
      </c>
      <c r="B30" s="40" t="n">
        <v>0</v>
      </c>
      <c r="C30" s="40" t="n">
        <v>0</v>
      </c>
      <c r="D30" s="7" t="str">
        <f aca="false">IF(AND(B30+C30&lt;=$B$10,B30&lt;=$B$11,C30&lt;=$B$12),"Yes","No")</f>
        <v>Yes</v>
      </c>
      <c r="E30" s="44" t="n">
        <f aca="false">$B$13*B30+$B$14*C30</f>
        <v>0</v>
      </c>
    </row>
    <row r="31" customFormat="false" ht="15" hidden="false" customHeight="false" outlineLevel="0" collapsed="false">
      <c r="A31" s="7" t="s">
        <v>514</v>
      </c>
      <c r="B31" s="40" t="n">
        <f aca="false">B11</f>
        <v>650</v>
      </c>
      <c r="C31" s="40" t="n">
        <v>0</v>
      </c>
      <c r="D31" s="7" t="str">
        <f aca="false">IF(AND(B31+C31&lt;=$B$10,B31&lt;=$B$11,C31&lt;=$B$12),"Yes","No")</f>
        <v>Yes</v>
      </c>
      <c r="E31" s="44" t="n">
        <f aca="false">$B$13*B31+$B$14*C31</f>
        <v>39000</v>
      </c>
    </row>
    <row r="32" customFormat="false" ht="15" hidden="false" customHeight="false" outlineLevel="0" collapsed="false">
      <c r="A32" s="7" t="s">
        <v>515</v>
      </c>
      <c r="B32" s="40" t="n">
        <f aca="false">B11</f>
        <v>650</v>
      </c>
      <c r="C32" s="40" t="n">
        <f aca="false">MIN(B12,B10-B11)</f>
        <v>350</v>
      </c>
      <c r="D32" s="7" t="str">
        <f aca="false">IF(AND(B32+C32&lt;=$B$10,B32&lt;=$B$11,C32&lt;=$B$12),"Yes","No")</f>
        <v>Yes</v>
      </c>
      <c r="E32" s="44" t="n">
        <f aca="false">$B$13*B32+$B$14*C32</f>
        <v>54750</v>
      </c>
    </row>
    <row r="33" customFormat="false" ht="15" hidden="false" customHeight="false" outlineLevel="0" collapsed="false">
      <c r="A33" s="7" t="s">
        <v>516</v>
      </c>
      <c r="B33" s="40" t="n">
        <f aca="false">MIN(B11,B10-B12)</f>
        <v>600</v>
      </c>
      <c r="C33" s="40" t="n">
        <f aca="false">B12</f>
        <v>400</v>
      </c>
      <c r="D33" s="7" t="str">
        <f aca="false">IF(AND(B33+C33&lt;=$B$10,B33&lt;=$B$11,C33&lt;=$B$12),"Yes","No")</f>
        <v>Yes</v>
      </c>
      <c r="E33" s="44" t="n">
        <f aca="false">$B$13*B33+$B$14*C33</f>
        <v>54000</v>
      </c>
    </row>
    <row r="34" customFormat="false" ht="15" hidden="false" customHeight="false" outlineLevel="0" collapsed="false">
      <c r="A34" s="7" t="s">
        <v>517</v>
      </c>
      <c r="B34" s="40" t="n">
        <v>0</v>
      </c>
      <c r="C34" s="40" t="n">
        <f aca="false">B12</f>
        <v>400</v>
      </c>
      <c r="D34" s="7" t="str">
        <f aca="false">IF(AND(B34+C34&lt;=$B$10,B34&lt;=$B$11,C34&lt;=$B$12),"Yes","No")</f>
        <v>Yes</v>
      </c>
      <c r="E34" s="44" t="n">
        <f aca="false">$B$13*B34+$B$14*C34</f>
        <v>18000</v>
      </c>
    </row>
    <row r="36" customFormat="false" ht="15" hidden="false" customHeight="false" outlineLevel="0" collapsed="false">
      <c r="A36" s="4" t="s">
        <v>518</v>
      </c>
      <c r="B36" s="41" t="str">
        <f aca="false">INDEX(A30:A34,MATCH(MAX(E30:E34),E30:E34,0))</f>
        <v>Central at demand, rest to Munch</v>
      </c>
      <c r="C36" s="41"/>
      <c r="D36" s="41"/>
      <c r="E36" s="41"/>
    </row>
    <row r="38" customFormat="false" ht="57.75" hidden="false" customHeight="true" outlineLevel="0" collapsed="false">
      <c r="A38" s="3" t="s">
        <v>519</v>
      </c>
      <c r="B38" s="3"/>
      <c r="C38" s="3"/>
      <c r="D38" s="3"/>
      <c r="E38" s="3"/>
      <c r="F38" s="3"/>
    </row>
    <row r="40" customFormat="false" ht="15" hidden="false" customHeight="false" outlineLevel="0" collapsed="false">
      <c r="A40" s="4" t="s">
        <v>520</v>
      </c>
    </row>
    <row r="41" customFormat="false" ht="39.75" hidden="false" customHeight="true" outlineLevel="0" collapsed="false">
      <c r="A41" s="3" t="s">
        <v>521</v>
      </c>
      <c r="B41" s="3"/>
      <c r="C41" s="3"/>
      <c r="D41" s="3"/>
      <c r="E41" s="3"/>
      <c r="F41" s="3"/>
    </row>
  </sheetData>
  <mergeCells count="7">
    <mergeCell ref="A5:F5"/>
    <mergeCell ref="A6:F6"/>
    <mergeCell ref="A7:F7"/>
    <mergeCell ref="C11:F12"/>
    <mergeCell ref="B36:E36"/>
    <mergeCell ref="A38:F38"/>
    <mergeCell ref="A41:F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0" width="14"/>
  </cols>
  <sheetData>
    <row r="1" customFormat="false" ht="17.35" hidden="false" customHeight="false" outlineLevel="0" collapsed="false">
      <c r="A1" s="1" t="s">
        <v>522</v>
      </c>
      <c r="B1" s="2"/>
      <c r="C1" s="2"/>
      <c r="D1" s="2"/>
      <c r="E1" s="2"/>
      <c r="F1" s="2"/>
      <c r="G1" s="2"/>
      <c r="H1" s="2"/>
      <c r="I1" s="2"/>
      <c r="J1" s="2"/>
      <c r="K1" s="2"/>
    </row>
    <row r="2" customFormat="false" ht="15" hidden="false" customHeight="false" outlineLevel="0" collapsed="false">
      <c r="A2" s="10" t="s">
        <v>523</v>
      </c>
    </row>
    <row r="4" customFormat="false" ht="15" hidden="false" customHeight="false" outlineLevel="0" collapsed="false">
      <c r="A4" s="5" t="s">
        <v>524</v>
      </c>
      <c r="B4" s="5"/>
      <c r="C4" s="5"/>
      <c r="D4" s="5"/>
      <c r="E4" s="5"/>
      <c r="F4" s="5"/>
      <c r="G4" s="5"/>
      <c r="H4" s="5"/>
      <c r="I4" s="5"/>
      <c r="J4" s="5"/>
      <c r="K4" s="5"/>
    </row>
    <row r="5" customFormat="false" ht="15" hidden="false" customHeight="false" outlineLevel="0" collapsed="false">
      <c r="A5" s="5" t="s">
        <v>525</v>
      </c>
      <c r="B5" s="5"/>
      <c r="C5" s="5"/>
      <c r="D5" s="5"/>
      <c r="E5" s="5"/>
      <c r="F5" s="5"/>
      <c r="G5" s="5"/>
      <c r="H5" s="5"/>
      <c r="I5" s="5"/>
      <c r="J5" s="5"/>
      <c r="K5" s="5"/>
    </row>
    <row r="6" customFormat="false" ht="15" hidden="false" customHeight="false" outlineLevel="0" collapsed="false">
      <c r="A6" s="5" t="s">
        <v>526</v>
      </c>
      <c r="B6" s="5"/>
      <c r="C6" s="5"/>
      <c r="D6" s="5"/>
      <c r="E6" s="5"/>
      <c r="F6" s="5"/>
      <c r="G6" s="5"/>
      <c r="H6" s="5"/>
      <c r="I6" s="5"/>
      <c r="J6" s="5"/>
      <c r="K6" s="5"/>
    </row>
    <row r="8" customFormat="false" ht="15" hidden="false" customHeight="true" outlineLevel="0" collapsed="false">
      <c r="A8" s="3" t="s">
        <v>527</v>
      </c>
      <c r="B8" s="3"/>
      <c r="C8" s="3"/>
      <c r="D8" s="3"/>
      <c r="E8" s="3"/>
      <c r="F8" s="3"/>
      <c r="G8" s="3"/>
      <c r="H8" s="3"/>
      <c r="I8" s="3"/>
      <c r="J8" s="3"/>
      <c r="K8" s="3"/>
    </row>
    <row r="10" customFormat="false" ht="43.5" hidden="false" customHeight="true" outlineLevel="0" collapsed="false">
      <c r="A10" s="6" t="s">
        <v>528</v>
      </c>
      <c r="B10" s="6" t="s">
        <v>529</v>
      </c>
      <c r="C10" s="6" t="s">
        <v>530</v>
      </c>
      <c r="D10" s="6" t="s">
        <v>531</v>
      </c>
      <c r="E10" s="6" t="s">
        <v>532</v>
      </c>
      <c r="F10" s="6" t="s">
        <v>533</v>
      </c>
      <c r="G10" s="6" t="s">
        <v>534</v>
      </c>
      <c r="H10" s="6" t="s">
        <v>535</v>
      </c>
      <c r="I10" s="6" t="s">
        <v>536</v>
      </c>
      <c r="J10" s="6" t="s">
        <v>537</v>
      </c>
      <c r="K10" s="6" t="s">
        <v>538</v>
      </c>
    </row>
    <row r="11" customFormat="false" ht="15" hidden="false" customHeight="false" outlineLevel="0" collapsed="false">
      <c r="A11" s="50" t="str">
        <f aca="false">('S15 Queuing'!A30)</f>
        <v>11:30</v>
      </c>
      <c r="B11" s="32" t="n">
        <f aca="false">AVERAGE('S15 Queuing'!D30:D32)</f>
        <v>2.40833333333333</v>
      </c>
      <c r="C11" s="32" t="n">
        <f aca="false">AVERAGE('S15 Queuing'!L30:L32)</f>
        <v>0.425</v>
      </c>
      <c r="D11" s="34" t="n">
        <f aca="false">B11/(Inputs!$B$29*Inputs!$B$23)</f>
        <v>0.283333333333333</v>
      </c>
      <c r="E11" s="34" t="n">
        <f aca="false">C11/(Inputs!$B$29*Inputs!$B$23)</f>
        <v>0.05</v>
      </c>
      <c r="F11" s="51" t="n">
        <f aca="false">MAX(1,ROUNDUP(D11,0))</f>
        <v>1</v>
      </c>
      <c r="G11" s="51" t="n">
        <f aca="false">MAX(1,ROUNDUP(E11,0))</f>
        <v>1</v>
      </c>
      <c r="H11" s="32" t="n">
        <f aca="false">AVERAGE('S15 Queuing'!T30:T32)</f>
        <v>1.81333333333333</v>
      </c>
      <c r="I11" s="32" t="n">
        <f aca="false">AVERAGE('S15 Queuing'!AB30:AB32)</f>
        <v>1.02</v>
      </c>
      <c r="J11" s="52" t="n">
        <f aca="false">MAX(1,ROUNDUP(H11/(Inputs!$B$29*Inputs!$B$23),0))</f>
        <v>1</v>
      </c>
      <c r="K11" s="52" t="n">
        <f aca="false">MAX(1,ROUNDUP(I11/(Inputs!$B$29*Inputs!$B$23),0))</f>
        <v>1</v>
      </c>
    </row>
    <row r="12" customFormat="false" ht="15" hidden="false" customHeight="false" outlineLevel="0" collapsed="false">
      <c r="A12" s="50" t="str">
        <f aca="false">('S15 Queuing'!A33)</f>
        <v>12:00</v>
      </c>
      <c r="B12" s="32" t="n">
        <f aca="false">AVERAGE('S15 Queuing'!D33:D35)</f>
        <v>10.7666666666667</v>
      </c>
      <c r="C12" s="32" t="n">
        <f aca="false">AVERAGE('S15 Queuing'!L33:L35)</f>
        <v>1.9</v>
      </c>
      <c r="D12" s="34" t="n">
        <f aca="false">B12/(Inputs!$B$29*Inputs!$B$23)</f>
        <v>1.26666666666667</v>
      </c>
      <c r="E12" s="34" t="n">
        <f aca="false">C12/(Inputs!$B$29*Inputs!$B$23)</f>
        <v>0.223529411764706</v>
      </c>
      <c r="F12" s="51" t="n">
        <f aca="false">MAX(1,ROUNDUP(D12,0))</f>
        <v>2</v>
      </c>
      <c r="G12" s="51" t="n">
        <f aca="false">MAX(1,ROUNDUP(E12,0))</f>
        <v>1</v>
      </c>
      <c r="H12" s="32" t="n">
        <f aca="false">AVERAGE('S15 Queuing'!T33:T35)</f>
        <v>8.10666666666667</v>
      </c>
      <c r="I12" s="32" t="n">
        <f aca="false">AVERAGE('S15 Queuing'!AB33:AB35)</f>
        <v>4.56</v>
      </c>
      <c r="J12" s="52" t="n">
        <f aca="false">MAX(1,ROUNDUP(H12/(Inputs!$B$29*Inputs!$B$23),0))</f>
        <v>1</v>
      </c>
      <c r="K12" s="52" t="n">
        <f aca="false">MAX(1,ROUNDUP(I12/(Inputs!$B$29*Inputs!$B$23),0))</f>
        <v>1</v>
      </c>
    </row>
    <row r="13" customFormat="false" ht="15" hidden="false" customHeight="false" outlineLevel="0" collapsed="false">
      <c r="A13" s="50" t="str">
        <f aca="false">('S15 Queuing'!A36)</f>
        <v>12:30</v>
      </c>
      <c r="B13" s="32" t="n">
        <f aca="false">AVERAGE('S15 Queuing'!D36:D38)</f>
        <v>24.1116666666667</v>
      </c>
      <c r="C13" s="32" t="n">
        <f aca="false">AVERAGE('S15 Queuing'!L36:L38)</f>
        <v>4.255</v>
      </c>
      <c r="D13" s="34" t="n">
        <f aca="false">B13/(Inputs!$B$29*Inputs!$B$23)</f>
        <v>2.83666666666667</v>
      </c>
      <c r="E13" s="34" t="n">
        <f aca="false">C13/(Inputs!$B$29*Inputs!$B$23)</f>
        <v>0.500588235294118</v>
      </c>
      <c r="F13" s="51" t="n">
        <f aca="false">MAX(1,ROUNDUP(D13,0))</f>
        <v>3</v>
      </c>
      <c r="G13" s="51" t="n">
        <f aca="false">MAX(1,ROUNDUP(E13,0))</f>
        <v>1</v>
      </c>
      <c r="H13" s="32" t="n">
        <f aca="false">AVERAGE('S15 Queuing'!T36:T38)</f>
        <v>18.1546666666667</v>
      </c>
      <c r="I13" s="32" t="n">
        <f aca="false">AVERAGE('S15 Queuing'!AB36:AB38)</f>
        <v>10.212</v>
      </c>
      <c r="J13" s="52" t="n">
        <f aca="false">MAX(1,ROUNDUP(H13/(Inputs!$B$29*Inputs!$B$23),0))</f>
        <v>3</v>
      </c>
      <c r="K13" s="52" t="n">
        <f aca="false">MAX(1,ROUNDUP(I13/(Inputs!$B$29*Inputs!$B$23),0))</f>
        <v>2</v>
      </c>
    </row>
    <row r="14" customFormat="false" ht="15" hidden="false" customHeight="false" outlineLevel="0" collapsed="false">
      <c r="A14" s="50" t="str">
        <f aca="false">('S15 Queuing'!A39)</f>
        <v>13:00</v>
      </c>
      <c r="B14" s="32" t="n">
        <f aca="false">AVERAGE('S15 Queuing'!D39:D41)</f>
        <v>27.0583333333333</v>
      </c>
      <c r="C14" s="32" t="n">
        <f aca="false">AVERAGE('S15 Queuing'!L39:L41)</f>
        <v>4.775</v>
      </c>
      <c r="D14" s="34" t="n">
        <f aca="false">B14/(Inputs!$B$29*Inputs!$B$23)</f>
        <v>3.18333333333333</v>
      </c>
      <c r="E14" s="34" t="n">
        <f aca="false">C14/(Inputs!$B$29*Inputs!$B$23)</f>
        <v>0.561764705882353</v>
      </c>
      <c r="F14" s="51" t="n">
        <f aca="false">MAX(1,ROUNDUP(D14,0))</f>
        <v>4</v>
      </c>
      <c r="G14" s="51" t="n">
        <f aca="false">MAX(1,ROUNDUP(E14,0))</f>
        <v>1</v>
      </c>
      <c r="H14" s="32" t="n">
        <f aca="false">AVERAGE('S15 Queuing'!T39:T41)</f>
        <v>20.3733333333333</v>
      </c>
      <c r="I14" s="32" t="n">
        <f aca="false">AVERAGE('S15 Queuing'!AB39:AB41)</f>
        <v>11.46</v>
      </c>
      <c r="J14" s="52" t="n">
        <f aca="false">MAX(1,ROUNDUP(H14/(Inputs!$B$29*Inputs!$B$23),0))</f>
        <v>3</v>
      </c>
      <c r="K14" s="52" t="n">
        <f aca="false">MAX(1,ROUNDUP(I14/(Inputs!$B$29*Inputs!$B$23),0))</f>
        <v>2</v>
      </c>
    </row>
    <row r="15" customFormat="false" ht="15" hidden="false" customHeight="false" outlineLevel="0" collapsed="false">
      <c r="A15" s="50" t="str">
        <f aca="false">('S15 Queuing'!A42)</f>
        <v>13:30</v>
      </c>
      <c r="B15" s="32" t="n">
        <f aca="false">AVERAGE('S15 Queuing'!D42:D44)</f>
        <v>15.215</v>
      </c>
      <c r="C15" s="32" t="n">
        <f aca="false">AVERAGE('S15 Queuing'!L42:L44)</f>
        <v>2.685</v>
      </c>
      <c r="D15" s="34" t="n">
        <f aca="false">B15/(Inputs!$B$29*Inputs!$B$23)</f>
        <v>1.79</v>
      </c>
      <c r="E15" s="34" t="n">
        <f aca="false">C15/(Inputs!$B$29*Inputs!$B$23)</f>
        <v>0.315882352941177</v>
      </c>
      <c r="F15" s="51" t="n">
        <f aca="false">MAX(1,ROUNDUP(D15,0))</f>
        <v>2</v>
      </c>
      <c r="G15" s="51" t="n">
        <f aca="false">MAX(1,ROUNDUP(E15,0))</f>
        <v>1</v>
      </c>
      <c r="H15" s="32" t="n">
        <f aca="false">AVERAGE('S15 Queuing'!T42:T44)</f>
        <v>11.456</v>
      </c>
      <c r="I15" s="32" t="n">
        <f aca="false">AVERAGE('S15 Queuing'!AB42:AB44)</f>
        <v>6.444</v>
      </c>
      <c r="J15" s="52" t="n">
        <f aca="false">MAX(1,ROUNDUP(H15/(Inputs!$B$29*Inputs!$B$23),0))</f>
        <v>2</v>
      </c>
      <c r="K15" s="52" t="n">
        <f aca="false">MAX(1,ROUNDUP(I15/(Inputs!$B$29*Inputs!$B$23),0))</f>
        <v>1</v>
      </c>
    </row>
    <row r="16" customFormat="false" ht="15" hidden="false" customHeight="false" outlineLevel="0" collapsed="false">
      <c r="A16" s="50" t="str">
        <f aca="false">('S15 Queuing'!A45)</f>
        <v>14:00</v>
      </c>
      <c r="B16" s="32" t="n">
        <f aca="false">AVERAGE('S15 Queuing'!D45:D47)</f>
        <v>4.27833333333333</v>
      </c>
      <c r="C16" s="32" t="n">
        <f aca="false">AVERAGE('S15 Queuing'!L45:L47)</f>
        <v>0.755</v>
      </c>
      <c r="D16" s="34" t="n">
        <f aca="false">B16/(Inputs!$B$29*Inputs!$B$23)</f>
        <v>0.503333333333333</v>
      </c>
      <c r="E16" s="34" t="n">
        <f aca="false">C16/(Inputs!$B$29*Inputs!$B$23)</f>
        <v>0.0888235294117647</v>
      </c>
      <c r="F16" s="51" t="n">
        <f aca="false">MAX(1,ROUNDUP(D16,0))</f>
        <v>1</v>
      </c>
      <c r="G16" s="51" t="n">
        <f aca="false">MAX(1,ROUNDUP(E16,0))</f>
        <v>1</v>
      </c>
      <c r="H16" s="32" t="n">
        <f aca="false">AVERAGE('S15 Queuing'!T45:T47)</f>
        <v>3.22133333333333</v>
      </c>
      <c r="I16" s="32" t="n">
        <f aca="false">AVERAGE('S15 Queuing'!AB45:AB47)</f>
        <v>1.812</v>
      </c>
      <c r="J16" s="52" t="n">
        <f aca="false">MAX(1,ROUNDUP(H16/(Inputs!$B$29*Inputs!$B$23),0))</f>
        <v>1</v>
      </c>
      <c r="K16" s="52" t="n">
        <f aca="false">MAX(1,ROUNDUP(I16/(Inputs!$B$29*Inputs!$B$23),0))</f>
        <v>1</v>
      </c>
    </row>
    <row r="18" customFormat="false" ht="15" hidden="false" customHeight="false" outlineLevel="0" collapsed="false">
      <c r="A18" s="12" t="s">
        <v>539</v>
      </c>
      <c r="F18" s="26" t="n">
        <f aca="false">SUM(F11:F16)</f>
        <v>13</v>
      </c>
      <c r="G18" s="26" t="n">
        <f aca="false">SUM(G11:G16)</f>
        <v>6</v>
      </c>
      <c r="J18" s="26" t="n">
        <f aca="false">SUM(J11:J16)</f>
        <v>11</v>
      </c>
      <c r="K18" s="26" t="n">
        <f aca="false">SUM(K11:K16)</f>
        <v>8</v>
      </c>
    </row>
    <row r="19" customFormat="false" ht="15" hidden="false" customHeight="false" outlineLevel="0" collapsed="false">
      <c r="A19" s="12" t="s">
        <v>540</v>
      </c>
      <c r="E19" s="4" t="s">
        <v>541</v>
      </c>
      <c r="F19" s="43" t="n">
        <f aca="false">(F18+G18)*Inputs!$B$35*Inputs!$B$34*0.5</f>
        <v>2850</v>
      </c>
      <c r="I19" s="4" t="s">
        <v>542</v>
      </c>
      <c r="J19" s="43" t="n">
        <f aca="false">(J18+K18)*Inputs!$B$35*Inputs!$B$34*0.5</f>
        <v>2850</v>
      </c>
    </row>
    <row r="20" customFormat="false" ht="15" hidden="false" customHeight="false" outlineLevel="0" collapsed="false">
      <c r="A20" s="12" t="s">
        <v>543</v>
      </c>
      <c r="J20" s="49" t="n">
        <f aca="false">F19-J19</f>
        <v>0</v>
      </c>
    </row>
    <row r="21" customFormat="false" ht="15" hidden="false" customHeight="false" outlineLevel="0" collapsed="false">
      <c r="A21" s="12" t="s">
        <v>544</v>
      </c>
      <c r="F21" s="27" t="n">
        <f aca="false">Inputs!$B$11</f>
        <v>2</v>
      </c>
      <c r="G21" s="27" t="n">
        <f aca="false">Inputs!$B$12</f>
        <v>2</v>
      </c>
    </row>
    <row r="22" customFormat="false" ht="15" hidden="false" customHeight="false" outlineLevel="0" collapsed="false">
      <c r="A22" s="12" t="s">
        <v>545</v>
      </c>
      <c r="F22" s="51" t="n">
        <f aca="false">MAX(F11:F16)</f>
        <v>4</v>
      </c>
      <c r="G22" s="51" t="n">
        <f aca="false">MAX(G11:G16)</f>
        <v>1</v>
      </c>
      <c r="J22" s="51" t="n">
        <f aca="false">MAX(J11:J16)</f>
        <v>3</v>
      </c>
      <c r="K22" s="51" t="n">
        <f aca="false">MAX(K11:K16)</f>
        <v>2</v>
      </c>
    </row>
    <row r="23" customFormat="false" ht="30" hidden="false" customHeight="true" outlineLevel="0" collapsed="false">
      <c r="A23" s="3" t="s">
        <v>546</v>
      </c>
      <c r="B23" s="3"/>
      <c r="C23" s="3"/>
      <c r="D23" s="3"/>
      <c r="E23" s="3"/>
      <c r="F23" s="3"/>
      <c r="G23" s="3"/>
      <c r="H23" s="3"/>
      <c r="I23" s="3"/>
      <c r="J23" s="3"/>
      <c r="K23" s="3"/>
    </row>
    <row r="25" customFormat="false" ht="39.75" hidden="false" customHeight="true" outlineLevel="0" collapsed="false">
      <c r="A25" s="3" t="s">
        <v>547</v>
      </c>
      <c r="B25" s="3"/>
      <c r="C25" s="3"/>
      <c r="D25" s="3"/>
      <c r="E25" s="3"/>
      <c r="F25" s="3"/>
      <c r="G25" s="3"/>
      <c r="H25" s="3"/>
      <c r="I25" s="3"/>
      <c r="J25" s="3"/>
      <c r="K25" s="3"/>
    </row>
    <row r="27" customFormat="false" ht="35.05" hidden="false" customHeight="false" outlineLevel="0" collapsed="false">
      <c r="A27" s="6" t="s">
        <v>548</v>
      </c>
      <c r="B27" s="6" t="s">
        <v>549</v>
      </c>
      <c r="C27" s="6"/>
      <c r="D27" s="6" t="s">
        <v>550</v>
      </c>
      <c r="E27" s="6"/>
      <c r="F27" s="6" t="s">
        <v>551</v>
      </c>
      <c r="G27" s="6"/>
      <c r="H27" s="6" t="s">
        <v>71</v>
      </c>
      <c r="I27" s="6"/>
      <c r="J27" s="6"/>
      <c r="K27" s="6"/>
    </row>
    <row r="28" customFormat="false" ht="15" hidden="false" customHeight="true" outlineLevel="0" collapsed="false">
      <c r="A28" s="12" t="s">
        <v>552</v>
      </c>
      <c r="B28" s="7" t="str">
        <f aca="false">"LP relaxation, slot "&amp;INDEX($A$11:$A$16,MATCH(MAX($B$11:$B$16),$B$11:$B$16,0))</f>
        <v>LP relaxation, slot 13:00</v>
      </c>
      <c r="C28" s="7"/>
      <c r="D28" s="7" t="str">
        <f aca="false">"("&amp;TEXT(INDEX($D$11:$D$16,MATCH(MAX($B$11:$B$16),$B$11:$B$16,0)),"0.00")&amp;", "&amp;TEXT(INDEX($E$11:$E$16,MATCH(MAX($B$11:$B$16),$B$11:$B$16,0)),"0.00")&amp;")"</f>
        <v>(3.18, 0.56)</v>
      </c>
      <c r="E28" s="7"/>
      <c r="F28" s="7" t="str">
        <f aca="false">TEXT(INDEX($D$11:$D$16,MATCH(MAX($B$11:$B$16),$B$11:$B$16,0))+INDEX($E$11:$E$16,MATCH(MAX($B$11:$B$16),$B$11:$B$16,0)),"0.00")</f>
        <v>3.75</v>
      </c>
      <c r="H28" s="23" t="s">
        <v>553</v>
      </c>
      <c r="I28" s="23"/>
      <c r="J28" s="23"/>
      <c r="K28" s="23"/>
    </row>
    <row r="29" customFormat="false" ht="15" hidden="false" customHeight="true" outlineLevel="0" collapsed="false">
      <c r="A29" s="12" t="s">
        <v>554</v>
      </c>
      <c r="B29" s="7" t="str">
        <f aca="false">"Central ≤ "&amp;INT(INDEX($D$11:$D$16,MATCH(MAX($B$11:$B$16),$B$11:$B$16,0)))</f>
        <v>Central ≤ 3</v>
      </c>
      <c r="C29" s="7"/>
      <c r="D29" s="5" t="s">
        <v>28</v>
      </c>
      <c r="E29" s="5"/>
      <c r="F29" s="12" t="s">
        <v>28</v>
      </c>
      <c r="H29" s="23" t="s">
        <v>555</v>
      </c>
      <c r="I29" s="23"/>
      <c r="J29" s="23"/>
      <c r="K29" s="23"/>
    </row>
    <row r="30" customFormat="false" ht="15" hidden="false" customHeight="true" outlineLevel="0" collapsed="false">
      <c r="A30" s="12" t="s">
        <v>556</v>
      </c>
      <c r="B30" s="7" t="str">
        <f aca="false">"Central ≥ "&amp;ROUNDUP(INDEX($D$11:$D$16,MATCH(MAX($B$11:$B$16),$B$11:$B$16,0)),0)</f>
        <v>Central ≥ 4</v>
      </c>
      <c r="C30" s="7"/>
      <c r="D30" s="7" t="str">
        <f aca="false">"("&amp;ROUNDUP(INDEX($D$11:$D$16,MATCH(MAX($B$11:$B$16),$B$11:$B$16,0)),0)&amp;", "&amp;TEXT(INDEX($E$11:$E$16,MATCH(MAX($B$11:$B$16),$B$11:$B$16,0)),"0.00")&amp;")"</f>
        <v>(4, 0.56)</v>
      </c>
      <c r="E30" s="7"/>
      <c r="F30" s="7" t="str">
        <f aca="false">TEXT(ROUNDUP(INDEX($D$11:$D$16,MATCH(MAX($B$11:$B$16),$B$11:$B$16,0)),0)+INDEX($E$11:$E$16,MATCH(MAX($B$11:$B$16),$B$11:$B$16,0)),"0.00")</f>
        <v>4.56</v>
      </c>
      <c r="H30" s="23" t="s">
        <v>557</v>
      </c>
      <c r="I30" s="23"/>
      <c r="J30" s="23"/>
      <c r="K30" s="23"/>
    </row>
    <row r="31" customFormat="false" ht="15" hidden="false" customHeight="true" outlineLevel="0" collapsed="false">
      <c r="A31" s="12" t="s">
        <v>558</v>
      </c>
      <c r="B31" s="7" t="str">
        <f aca="false">"Central ≥ "&amp;ROUNDUP(INDEX($D$11:$D$16,MATCH(MAX($B$11:$B$16),$B$11:$B$16,0)),0)&amp;", Munch ≤ "&amp;INT(INDEX($E$11:$E$16,MATCH(MAX($B$11:$B$16),$B$11:$B$16,0)))</f>
        <v>Central ≥ 4, Munch ≤ 0</v>
      </c>
      <c r="C31" s="7"/>
      <c r="D31" s="5" t="s">
        <v>28</v>
      </c>
      <c r="E31" s="5"/>
      <c r="F31" s="12" t="s">
        <v>28</v>
      </c>
      <c r="H31" s="23" t="s">
        <v>559</v>
      </c>
      <c r="I31" s="23"/>
      <c r="J31" s="23"/>
      <c r="K31" s="23"/>
    </row>
    <row r="32" customFormat="false" ht="23.85" hidden="false" customHeight="true" outlineLevel="0" collapsed="false">
      <c r="A32" s="12" t="s">
        <v>34</v>
      </c>
      <c r="B32" s="7" t="str">
        <f aca="false">"Central ≥ "&amp;ROUNDUP(INDEX($D$11:$D$16,MATCH(MAX($B$11:$B$16),$B$11:$B$16,0)),0)&amp;", Munch ≥ "&amp;ROUNDUP(INDEX($E$11:$E$16,MATCH(MAX($B$11:$B$16),$B$11:$B$16,0)),0)</f>
        <v>Central ≥ 4, Munch ≥ 1</v>
      </c>
      <c r="C32" s="7"/>
      <c r="D32" s="7" t="str">
        <f aca="false">"("&amp;ROUNDUP(INDEX($D$11:$D$16,MATCH(MAX($B$11:$B$16),$B$11:$B$16,0)),0)&amp;", "&amp;ROUNDUP(INDEX($E$11:$E$16,MATCH(MAX($B$11:$B$16),$B$11:$B$16,0)),0)&amp;")"</f>
        <v>(4, 1)</v>
      </c>
      <c r="E32" s="7"/>
      <c r="F32" s="7" t="n">
        <f aca="false">ROUNDUP(INDEX($D$11:$D$16,MATCH(MAX($B$11:$B$16),$B$11:$B$16,0)),0)+ROUNDUP(INDEX($E$11:$E$16,MATCH(MAX($B$11:$B$16),$B$11:$B$16,0)),0)</f>
        <v>5</v>
      </c>
      <c r="H32" s="23" t="s">
        <v>560</v>
      </c>
      <c r="I32" s="23"/>
      <c r="J32" s="23"/>
      <c r="K32" s="23"/>
    </row>
    <row r="34" customFormat="false" ht="43.5" hidden="false" customHeight="true" outlineLevel="0" collapsed="false">
      <c r="A34" s="3" t="s">
        <v>561</v>
      </c>
      <c r="B34" s="3"/>
      <c r="C34" s="3"/>
      <c r="D34" s="3"/>
      <c r="E34" s="3"/>
      <c r="F34" s="3"/>
      <c r="G34" s="3"/>
      <c r="H34" s="3"/>
      <c r="I34" s="3"/>
      <c r="J34" s="3"/>
      <c r="K34" s="3"/>
    </row>
  </sheetData>
  <mergeCells count="22">
    <mergeCell ref="A4:K4"/>
    <mergeCell ref="A5:K5"/>
    <mergeCell ref="A6:K6"/>
    <mergeCell ref="A8:K8"/>
    <mergeCell ref="A23:K23"/>
    <mergeCell ref="A25:K25"/>
    <mergeCell ref="B28:C28"/>
    <mergeCell ref="D28:E28"/>
    <mergeCell ref="H28:K28"/>
    <mergeCell ref="B29:C29"/>
    <mergeCell ref="D29:E29"/>
    <mergeCell ref="H29:K29"/>
    <mergeCell ref="B30:C30"/>
    <mergeCell ref="D30:E30"/>
    <mergeCell ref="H30:K30"/>
    <mergeCell ref="B31:C31"/>
    <mergeCell ref="D31:E31"/>
    <mergeCell ref="H31:K31"/>
    <mergeCell ref="B32:C32"/>
    <mergeCell ref="D32:E32"/>
    <mergeCell ref="H32:K32"/>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4"/>
  </cols>
  <sheetData>
    <row r="1" customFormat="false" ht="17.35" hidden="false" customHeight="false" outlineLevel="0" collapsed="false">
      <c r="A1" s="1" t="s">
        <v>562</v>
      </c>
      <c r="B1" s="2"/>
      <c r="C1" s="2"/>
      <c r="D1" s="2"/>
      <c r="E1" s="2"/>
      <c r="F1" s="2"/>
      <c r="G1" s="2"/>
    </row>
    <row r="2" customFormat="false" ht="15" hidden="false" customHeight="false" outlineLevel="0" collapsed="false">
      <c r="A2" s="10" t="s">
        <v>563</v>
      </c>
    </row>
    <row r="4" customFormat="false" ht="15" hidden="false" customHeight="false" outlineLevel="0" collapsed="false">
      <c r="A4" s="4" t="s">
        <v>564</v>
      </c>
    </row>
    <row r="5" customFormat="false" ht="15" hidden="false" customHeight="false" outlineLevel="0" collapsed="false">
      <c r="B5" s="6" t="s">
        <v>565</v>
      </c>
      <c r="C5" s="6" t="s">
        <v>566</v>
      </c>
      <c r="D5" s="6" t="s">
        <v>567</v>
      </c>
      <c r="E5" s="6" t="s">
        <v>568</v>
      </c>
    </row>
    <row r="6" customFormat="false" ht="15" hidden="false" customHeight="false" outlineLevel="0" collapsed="false">
      <c r="A6" s="6" t="s">
        <v>565</v>
      </c>
      <c r="B6" s="29" t="n">
        <v>1</v>
      </c>
      <c r="C6" s="53" t="n">
        <v>1</v>
      </c>
      <c r="D6" s="53" t="n">
        <v>3</v>
      </c>
      <c r="E6" s="53" t="n">
        <v>5</v>
      </c>
    </row>
    <row r="7" customFormat="false" ht="15" hidden="false" customHeight="false" outlineLevel="0" collapsed="false">
      <c r="A7" s="6" t="s">
        <v>566</v>
      </c>
      <c r="B7" s="29" t="n">
        <f aca="false">1/C6</f>
        <v>1</v>
      </c>
      <c r="C7" s="29" t="n">
        <v>1</v>
      </c>
      <c r="D7" s="53" t="n">
        <v>3</v>
      </c>
      <c r="E7" s="53" t="n">
        <v>5</v>
      </c>
    </row>
    <row r="8" customFormat="false" ht="15" hidden="false" customHeight="false" outlineLevel="0" collapsed="false">
      <c r="A8" s="6" t="s">
        <v>567</v>
      </c>
      <c r="B8" s="29" t="n">
        <f aca="false">1/D6</f>
        <v>0.333333333333333</v>
      </c>
      <c r="C8" s="29" t="n">
        <f aca="false">1/D7</f>
        <v>0.333333333333333</v>
      </c>
      <c r="D8" s="29" t="n">
        <v>1</v>
      </c>
      <c r="E8" s="53" t="n">
        <v>2</v>
      </c>
    </row>
    <row r="9" customFormat="false" ht="15" hidden="false" customHeight="false" outlineLevel="0" collapsed="false">
      <c r="A9" s="6" t="s">
        <v>568</v>
      </c>
      <c r="B9" s="29" t="n">
        <f aca="false">1/E6</f>
        <v>0.2</v>
      </c>
      <c r="C9" s="29" t="n">
        <f aca="false">1/E7</f>
        <v>0.2</v>
      </c>
      <c r="D9" s="29" t="n">
        <f aca="false">1/E8</f>
        <v>0.5</v>
      </c>
      <c r="E9" s="29" t="n">
        <v>1</v>
      </c>
    </row>
    <row r="10" customFormat="false" ht="15" hidden="false" customHeight="false" outlineLevel="0" collapsed="false">
      <c r="A10" s="6" t="s">
        <v>569</v>
      </c>
      <c r="B10" s="29" t="n">
        <f aca="false">SUM(B6:B9)</f>
        <v>2.53333333333333</v>
      </c>
      <c r="C10" s="29" t="n">
        <f aca="false">SUM(C6:C9)</f>
        <v>2.53333333333333</v>
      </c>
      <c r="D10" s="29" t="n">
        <f aca="false">SUM(D6:D9)</f>
        <v>7.5</v>
      </c>
      <c r="E10" s="29" t="n">
        <f aca="false">SUM(E6:E9)</f>
        <v>13</v>
      </c>
    </row>
    <row r="12" customFormat="false" ht="15" hidden="false" customHeight="false" outlineLevel="0" collapsed="false">
      <c r="A12" s="4" t="s">
        <v>570</v>
      </c>
    </row>
    <row r="13" customFormat="false" ht="15" hidden="false" customHeight="false" outlineLevel="0" collapsed="false">
      <c r="B13" s="6" t="s">
        <v>565</v>
      </c>
      <c r="C13" s="6" t="s">
        <v>566</v>
      </c>
      <c r="D13" s="6" t="s">
        <v>567</v>
      </c>
      <c r="E13" s="6" t="s">
        <v>568</v>
      </c>
      <c r="F13" s="6" t="s">
        <v>571</v>
      </c>
    </row>
    <row r="14" customFormat="false" ht="15" hidden="false" customHeight="false" outlineLevel="0" collapsed="false">
      <c r="A14" s="6" t="s">
        <v>565</v>
      </c>
      <c r="B14" s="28" t="n">
        <f aca="false">B6/B$10</f>
        <v>0.394736842105263</v>
      </c>
      <c r="C14" s="28" t="n">
        <f aca="false">C6/C$10</f>
        <v>0.394736842105263</v>
      </c>
      <c r="D14" s="28" t="n">
        <f aca="false">D6/D$10</f>
        <v>0.4</v>
      </c>
      <c r="E14" s="28" t="n">
        <f aca="false">E6/E$10</f>
        <v>0.384615384615385</v>
      </c>
      <c r="F14" s="54" t="n">
        <f aca="false">AVERAGE(B14:E14)</f>
        <v>0.393522267206478</v>
      </c>
    </row>
    <row r="15" customFormat="false" ht="15" hidden="false" customHeight="false" outlineLevel="0" collapsed="false">
      <c r="A15" s="6" t="s">
        <v>566</v>
      </c>
      <c r="B15" s="28" t="n">
        <f aca="false">B7/B$10</f>
        <v>0.394736842105263</v>
      </c>
      <c r="C15" s="28" t="n">
        <f aca="false">C7/C$10</f>
        <v>0.394736842105263</v>
      </c>
      <c r="D15" s="28" t="n">
        <f aca="false">D7/D$10</f>
        <v>0.4</v>
      </c>
      <c r="E15" s="28" t="n">
        <f aca="false">E7/E$10</f>
        <v>0.384615384615385</v>
      </c>
      <c r="F15" s="54" t="n">
        <f aca="false">AVERAGE(B15:E15)</f>
        <v>0.393522267206478</v>
      </c>
    </row>
    <row r="16" customFormat="false" ht="15" hidden="false" customHeight="false" outlineLevel="0" collapsed="false">
      <c r="A16" s="6" t="s">
        <v>567</v>
      </c>
      <c r="B16" s="28" t="n">
        <f aca="false">B8/B$10</f>
        <v>0.131578947368421</v>
      </c>
      <c r="C16" s="28" t="n">
        <f aca="false">C8/C$10</f>
        <v>0.131578947368421</v>
      </c>
      <c r="D16" s="28" t="n">
        <f aca="false">D8/D$10</f>
        <v>0.133333333333333</v>
      </c>
      <c r="E16" s="28" t="n">
        <f aca="false">E8/E$10</f>
        <v>0.153846153846154</v>
      </c>
      <c r="F16" s="54" t="n">
        <f aca="false">AVERAGE(B16:E16)</f>
        <v>0.137584345479082</v>
      </c>
    </row>
    <row r="17" customFormat="false" ht="15" hidden="false" customHeight="false" outlineLevel="0" collapsed="false">
      <c r="A17" s="6" t="s">
        <v>568</v>
      </c>
      <c r="B17" s="28" t="n">
        <f aca="false">B9/B$10</f>
        <v>0.0789473684210526</v>
      </c>
      <c r="C17" s="28" t="n">
        <f aca="false">C9/C$10</f>
        <v>0.0789473684210526</v>
      </c>
      <c r="D17" s="28" t="n">
        <f aca="false">D9/D$10</f>
        <v>0.0666666666666667</v>
      </c>
      <c r="E17" s="28" t="n">
        <f aca="false">E9/E$10</f>
        <v>0.0769230769230769</v>
      </c>
      <c r="F17" s="54" t="n">
        <f aca="false">AVERAGE(B17:E17)</f>
        <v>0.0753711201079622</v>
      </c>
    </row>
    <row r="19" customFormat="false" ht="15" hidden="false" customHeight="false" outlineLevel="0" collapsed="false">
      <c r="A19" s="4" t="s">
        <v>572</v>
      </c>
    </row>
    <row r="20" customFormat="false" ht="15" hidden="false" customHeight="false" outlineLevel="0" collapsed="false">
      <c r="A20" s="12" t="s">
        <v>573</v>
      </c>
      <c r="B20" s="28" t="n">
        <f aca="false">B10*F14+C10*F15+D10*F16+E10*F17</f>
        <v>4.00555330634278</v>
      </c>
    </row>
    <row r="21" customFormat="false" ht="15" hidden="false" customHeight="false" outlineLevel="0" collapsed="false">
      <c r="A21" s="12" t="s">
        <v>574</v>
      </c>
      <c r="B21" s="55" t="n">
        <f aca="false">(B20-4)/3</f>
        <v>0.00185110211425984</v>
      </c>
    </row>
    <row r="22" customFormat="false" ht="15" hidden="false" customHeight="false" outlineLevel="0" collapsed="false">
      <c r="A22" s="12" t="s">
        <v>575</v>
      </c>
      <c r="B22" s="53" t="n">
        <v>0.9</v>
      </c>
    </row>
    <row r="23" customFormat="false" ht="15" hidden="false" customHeight="false" outlineLevel="0" collapsed="false">
      <c r="A23" s="12" t="s">
        <v>576</v>
      </c>
      <c r="B23" s="56" t="n">
        <f aca="false">B21/B22</f>
        <v>0.00205678012695537</v>
      </c>
      <c r="C23" s="7" t="str">
        <f aca="false">IF(B23&lt;0.1,"Consistent (CR &lt; 0.10)","Revise judgements")</f>
        <v>Consistent (CR &lt; 0.10)</v>
      </c>
    </row>
    <row r="25" customFormat="false" ht="15" hidden="false" customHeight="false" outlineLevel="0" collapsed="false">
      <c r="A25" s="4" t="s">
        <v>577</v>
      </c>
    </row>
    <row r="26" customFormat="false" ht="15" hidden="false" customHeight="false" outlineLevel="0" collapsed="false">
      <c r="A26" s="6" t="s">
        <v>427</v>
      </c>
      <c r="B26" s="6" t="s">
        <v>565</v>
      </c>
      <c r="C26" s="6" t="s">
        <v>566</v>
      </c>
      <c r="D26" s="6" t="s">
        <v>567</v>
      </c>
      <c r="E26" s="6" t="s">
        <v>568</v>
      </c>
      <c r="F26" s="6" t="s">
        <v>578</v>
      </c>
      <c r="G26" s="6" t="s">
        <v>579</v>
      </c>
    </row>
    <row r="27" customFormat="false" ht="15" hidden="false" customHeight="false" outlineLevel="0" collapsed="false">
      <c r="A27" s="12" t="s">
        <v>419</v>
      </c>
      <c r="B27" s="16" t="n">
        <v>3</v>
      </c>
      <c r="C27" s="16" t="n">
        <v>3</v>
      </c>
      <c r="D27" s="16" t="n">
        <v>6</v>
      </c>
      <c r="E27" s="16" t="n">
        <v>5</v>
      </c>
      <c r="F27" s="42" t="n">
        <f aca="false">B27*$F$14+C27*$F$15+D27*$F$16+E27*$F$17</f>
        <v>3.56349527665317</v>
      </c>
      <c r="G27" s="26" t="n">
        <f aca="false">RANK(F27,$F$27:$F$31)</f>
        <v>5</v>
      </c>
    </row>
    <row r="28" customFormat="false" ht="15" hidden="false" customHeight="false" outlineLevel="0" collapsed="false">
      <c r="A28" s="12" t="s">
        <v>305</v>
      </c>
      <c r="B28" s="16" t="n">
        <v>7</v>
      </c>
      <c r="C28" s="16" t="n">
        <v>4</v>
      </c>
      <c r="D28" s="16" t="n">
        <v>6</v>
      </c>
      <c r="E28" s="16" t="n">
        <v>7</v>
      </c>
      <c r="F28" s="42" t="n">
        <f aca="false">B28*$F$14+C28*$F$15+D28*$F$16+E28*$F$17</f>
        <v>5.68184885290148</v>
      </c>
      <c r="G28" s="26" t="n">
        <f aca="false">RANK(F28,$F$27:$F$31)</f>
        <v>3</v>
      </c>
    </row>
    <row r="29" customFormat="false" ht="15" hidden="false" customHeight="false" outlineLevel="0" collapsed="false">
      <c r="A29" s="12" t="s">
        <v>308</v>
      </c>
      <c r="B29" s="16" t="n">
        <v>7</v>
      </c>
      <c r="C29" s="16" t="n">
        <v>8</v>
      </c>
      <c r="D29" s="16" t="n">
        <v>4</v>
      </c>
      <c r="E29" s="16" t="n">
        <v>7</v>
      </c>
      <c r="F29" s="42" t="n">
        <f aca="false">B29*$F$14+C29*$F$15+D29*$F$16+E29*$F$17</f>
        <v>6.98076923076923</v>
      </c>
      <c r="G29" s="26" t="n">
        <f aca="false">RANK(F29,$F$27:$F$31)</f>
        <v>1</v>
      </c>
    </row>
    <row r="30" customFormat="false" ht="15" hidden="false" customHeight="false" outlineLevel="0" collapsed="false">
      <c r="A30" s="12" t="s">
        <v>420</v>
      </c>
      <c r="B30" s="16" t="n">
        <v>7</v>
      </c>
      <c r="C30" s="16" t="n">
        <v>4</v>
      </c>
      <c r="D30" s="16" t="n">
        <v>6</v>
      </c>
      <c r="E30" s="16" t="n">
        <v>4</v>
      </c>
      <c r="F30" s="42" t="n">
        <f aca="false">B30*$F$14+C30*$F$15+D30*$F$16+E30*$F$17</f>
        <v>5.4557354925776</v>
      </c>
      <c r="G30" s="26" t="n">
        <f aca="false">RANK(F30,$F$27:$F$31)</f>
        <v>4</v>
      </c>
    </row>
    <row r="31" customFormat="false" ht="15" hidden="false" customHeight="false" outlineLevel="0" collapsed="false">
      <c r="A31" s="12" t="s">
        <v>421</v>
      </c>
      <c r="B31" s="16" t="n">
        <v>9</v>
      </c>
      <c r="C31" s="16" t="n">
        <v>5</v>
      </c>
      <c r="D31" s="16" t="n">
        <v>6</v>
      </c>
      <c r="E31" s="16" t="n">
        <v>5</v>
      </c>
      <c r="F31" s="42" t="n">
        <f aca="false">B31*$F$14+C31*$F$15+D31*$F$16+E31*$F$17</f>
        <v>6.71167341430499</v>
      </c>
      <c r="G31" s="26" t="n">
        <f aca="false">RANK(F31,$F$27:$F$31)</f>
        <v>2</v>
      </c>
    </row>
    <row r="33" customFormat="false" ht="15" hidden="false" customHeight="false" outlineLevel="0" collapsed="false">
      <c r="A33" s="4" t="s">
        <v>580</v>
      </c>
      <c r="B33" s="45" t="str">
        <f aca="false">INDEX(A27:A31,MATCH(MAX(F27:F31),F27:F31,0))</f>
        <v>A3 Screens + kitchen early alerts</v>
      </c>
      <c r="C33" s="45"/>
      <c r="D33" s="45"/>
      <c r="E33" s="45"/>
    </row>
    <row r="35" customFormat="false" ht="30" hidden="false" customHeight="true" outlineLevel="0" collapsed="false">
      <c r="A35" s="3" t="s">
        <v>581</v>
      </c>
      <c r="B35" s="3"/>
      <c r="C35" s="3"/>
      <c r="D35" s="3"/>
      <c r="E35" s="3"/>
      <c r="F35" s="3"/>
      <c r="G35" s="3"/>
    </row>
  </sheetData>
  <mergeCells count="2">
    <mergeCell ref="B33:E33"/>
    <mergeCell ref="A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4"/>
  </cols>
  <sheetData>
    <row r="1" customFormat="false" ht="17.35" hidden="false" customHeight="false" outlineLevel="0" collapsed="false">
      <c r="A1" s="1" t="s">
        <v>582</v>
      </c>
      <c r="B1" s="2"/>
      <c r="C1" s="2"/>
      <c r="D1" s="2"/>
      <c r="E1" s="2"/>
      <c r="F1" s="2"/>
    </row>
    <row r="2" customFormat="false" ht="15" hidden="false" customHeight="false" outlineLevel="0" collapsed="false">
      <c r="A2" s="10" t="s">
        <v>583</v>
      </c>
    </row>
    <row r="4" customFormat="false" ht="15" hidden="false" customHeight="false" outlineLevel="0" collapsed="false">
      <c r="A4" s="12" t="s">
        <v>584</v>
      </c>
      <c r="B4" s="24" t="s">
        <v>565</v>
      </c>
    </row>
    <row r="5" customFormat="false" ht="15" hidden="false" customHeight="false" outlineLevel="0" collapsed="false">
      <c r="A5" s="12" t="s">
        <v>585</v>
      </c>
      <c r="B5" s="24" t="s">
        <v>568</v>
      </c>
    </row>
    <row r="7" customFormat="false" ht="15" hidden="false" customHeight="false" outlineLevel="0" collapsed="false">
      <c r="A7" s="4" t="s">
        <v>586</v>
      </c>
    </row>
    <row r="8" customFormat="false" ht="23.85" hidden="false" customHeight="false" outlineLevel="0" collapsed="false">
      <c r="A8" s="6" t="s">
        <v>587</v>
      </c>
      <c r="B8" s="6" t="s">
        <v>588</v>
      </c>
      <c r="C8" s="6" t="s">
        <v>589</v>
      </c>
      <c r="D8" s="6" t="s">
        <v>590</v>
      </c>
      <c r="E8" s="6" t="s">
        <v>591</v>
      </c>
      <c r="F8" s="6" t="s">
        <v>592</v>
      </c>
    </row>
    <row r="9" customFormat="false" ht="15" hidden="false" customHeight="false" outlineLevel="0" collapsed="false">
      <c r="A9" s="12" t="s">
        <v>565</v>
      </c>
      <c r="B9" s="16" t="n">
        <v>1</v>
      </c>
      <c r="C9" s="16" t="n">
        <v>7</v>
      </c>
      <c r="D9" s="57" t="n">
        <v>0.5123</v>
      </c>
      <c r="E9" s="55" t="n">
        <f aca="false">ABS($D$9-B9*D9)</f>
        <v>0</v>
      </c>
      <c r="F9" s="55" t="n">
        <f aca="false">ABS(D9-C9*$D$12)</f>
        <v>0.0545</v>
      </c>
    </row>
    <row r="10" customFormat="false" ht="15" hidden="false" customHeight="false" outlineLevel="0" collapsed="false">
      <c r="A10" s="12" t="s">
        <v>566</v>
      </c>
      <c r="B10" s="16" t="n">
        <v>2</v>
      </c>
      <c r="C10" s="16" t="n">
        <v>5</v>
      </c>
      <c r="D10" s="57" t="n">
        <v>0.2806</v>
      </c>
      <c r="E10" s="55" t="n">
        <f aca="false">ABS($D$9-B10*D10)</f>
        <v>0.0489000000000001</v>
      </c>
      <c r="F10" s="55" t="n">
        <f aca="false">ABS(D10-C10*$D$12)</f>
        <v>0.0464</v>
      </c>
    </row>
    <row r="11" customFormat="false" ht="15" hidden="false" customHeight="false" outlineLevel="0" collapsed="false">
      <c r="A11" s="12" t="s">
        <v>567</v>
      </c>
      <c r="B11" s="16" t="n">
        <v>4</v>
      </c>
      <c r="C11" s="16" t="n">
        <v>3</v>
      </c>
      <c r="D11" s="57" t="n">
        <v>0.1417</v>
      </c>
      <c r="E11" s="55" t="n">
        <f aca="false">ABS($D$9-B11*D11)</f>
        <v>0.0545</v>
      </c>
      <c r="F11" s="55" t="n">
        <f aca="false">ABS(D11-C11*$D$12)</f>
        <v>0.0545</v>
      </c>
    </row>
    <row r="12" customFormat="false" ht="15" hidden="false" customHeight="false" outlineLevel="0" collapsed="false">
      <c r="A12" s="12" t="s">
        <v>568</v>
      </c>
      <c r="B12" s="16" t="n">
        <v>7</v>
      </c>
      <c r="C12" s="16" t="n">
        <v>1</v>
      </c>
      <c r="D12" s="57" t="n">
        <v>0.0654</v>
      </c>
      <c r="E12" s="55" t="n">
        <f aca="false">ABS($D$9-B12*D12)</f>
        <v>0.0545</v>
      </c>
      <c r="F12" s="55" t="n">
        <f aca="false">ABS(D12-C12*$D$12)</f>
        <v>0</v>
      </c>
    </row>
    <row r="13" customFormat="false" ht="15" hidden="false" customHeight="false" outlineLevel="0" collapsed="false">
      <c r="A13" s="12" t="s">
        <v>593</v>
      </c>
      <c r="D13" s="28" t="n">
        <f aca="false">SUM(D9:D12)</f>
        <v>1</v>
      </c>
    </row>
    <row r="14" customFormat="false" ht="15" hidden="false" customHeight="false" outlineLevel="0" collapsed="false">
      <c r="A14" s="12" t="s">
        <v>594</v>
      </c>
      <c r="D14" s="56" t="n">
        <f aca="false">MAX(E9:F12)</f>
        <v>0.0545</v>
      </c>
    </row>
    <row r="15" customFormat="false" ht="15" hidden="false" customHeight="false" outlineLevel="0" collapsed="false">
      <c r="A15" s="12" t="s">
        <v>595</v>
      </c>
      <c r="D15" s="29" t="n">
        <f aca="false">INDEX({0,0.44,1,1.63,2.3,3,3.73,4.47,5.23},B12)</f>
        <v>3.73</v>
      </c>
    </row>
    <row r="16" customFormat="false" ht="15" hidden="false" customHeight="false" outlineLevel="0" collapsed="false">
      <c r="A16" s="12" t="s">
        <v>596</v>
      </c>
      <c r="D16" s="54" t="n">
        <f aca="false">D14/D15</f>
        <v>0.0146112600536193</v>
      </c>
    </row>
    <row r="18" customFormat="false" ht="51.75" hidden="false" customHeight="true" outlineLevel="0" collapsed="false">
      <c r="A18" s="3" t="s">
        <v>597</v>
      </c>
      <c r="B18" s="3"/>
      <c r="C18" s="3"/>
      <c r="D18" s="3"/>
      <c r="E18" s="3"/>
      <c r="F18" s="3"/>
    </row>
    <row r="20" customFormat="false" ht="15" hidden="false" customHeight="false" outlineLevel="0" collapsed="false">
      <c r="A20" s="4" t="s">
        <v>598</v>
      </c>
    </row>
    <row r="21" customFormat="false" ht="15" hidden="false" customHeight="false" outlineLevel="0" collapsed="false">
      <c r="A21" s="6" t="s">
        <v>587</v>
      </c>
      <c r="B21" s="6" t="s">
        <v>599</v>
      </c>
      <c r="C21" s="6" t="s">
        <v>600</v>
      </c>
      <c r="D21" s="6" t="s">
        <v>601</v>
      </c>
    </row>
    <row r="22" customFormat="false" ht="15" hidden="false" customHeight="false" outlineLevel="0" collapsed="false">
      <c r="A22" s="7" t="s">
        <v>565</v>
      </c>
      <c r="B22" s="28" t="n">
        <f aca="false">D9</f>
        <v>0.5123</v>
      </c>
      <c r="C22" s="58" t="n">
        <f aca="false">'S16-17 AHP'!F14</f>
        <v>0.393522267206478</v>
      </c>
      <c r="D22" s="28" t="n">
        <f aca="false">B22-C22</f>
        <v>0.118777732793522</v>
      </c>
    </row>
    <row r="23" customFormat="false" ht="15" hidden="false" customHeight="false" outlineLevel="0" collapsed="false">
      <c r="A23" s="7" t="s">
        <v>566</v>
      </c>
      <c r="B23" s="28" t="n">
        <f aca="false">D10</f>
        <v>0.2806</v>
      </c>
      <c r="C23" s="58" t="n">
        <f aca="false">'S16-17 AHP'!F15</f>
        <v>0.393522267206478</v>
      </c>
      <c r="D23" s="28" t="n">
        <f aca="false">B23-C23</f>
        <v>-0.112922267206478</v>
      </c>
    </row>
    <row r="24" customFormat="false" ht="15" hidden="false" customHeight="false" outlineLevel="0" collapsed="false">
      <c r="A24" s="7" t="s">
        <v>567</v>
      </c>
      <c r="B24" s="28" t="n">
        <f aca="false">D11</f>
        <v>0.1417</v>
      </c>
      <c r="C24" s="58" t="n">
        <f aca="false">'S16-17 AHP'!F16</f>
        <v>0.137584345479082</v>
      </c>
      <c r="D24" s="28" t="n">
        <f aca="false">B24-C24</f>
        <v>0.00411565452091769</v>
      </c>
    </row>
    <row r="25" customFormat="false" ht="15" hidden="false" customHeight="false" outlineLevel="0" collapsed="false">
      <c r="A25" s="7" t="s">
        <v>568</v>
      </c>
      <c r="B25" s="28" t="n">
        <f aca="false">D12</f>
        <v>0.0654</v>
      </c>
      <c r="C25" s="58" t="n">
        <f aca="false">'S16-17 AHP'!F17</f>
        <v>0.0753711201079622</v>
      </c>
      <c r="D25" s="28" t="n">
        <f aca="false">B25-C25</f>
        <v>-0.00997112010796221</v>
      </c>
    </row>
  </sheetData>
  <mergeCells count="1">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1" min="2" style="0" width="6"/>
    <col collapsed="false" customWidth="true" hidden="false" outlineLevel="0" max="13" min="12" style="0" width="12"/>
    <col collapsed="false" customWidth="true" hidden="false" outlineLevel="0" max="14" min="14" style="0" width="16"/>
  </cols>
  <sheetData>
    <row r="1" customFormat="false" ht="17.35" hidden="false" customHeight="false" outlineLevel="0" collapsed="false">
      <c r="A1" s="1" t="s">
        <v>602</v>
      </c>
      <c r="B1" s="2"/>
      <c r="C1" s="2"/>
      <c r="D1" s="2"/>
      <c r="E1" s="2"/>
      <c r="F1" s="2"/>
      <c r="G1" s="2"/>
      <c r="H1" s="2"/>
      <c r="I1" s="2"/>
      <c r="J1" s="2"/>
      <c r="K1" s="2"/>
      <c r="L1" s="2"/>
      <c r="M1" s="2"/>
      <c r="N1" s="2"/>
    </row>
    <row r="2" customFormat="false" ht="15" hidden="false" customHeight="false" outlineLevel="0" collapsed="false">
      <c r="A2" s="10" t="s">
        <v>603</v>
      </c>
    </row>
    <row r="4" customFormat="false" ht="15" hidden="false" customHeight="false" outlineLevel="0" collapsed="false">
      <c r="A4" s="4" t="s">
        <v>604</v>
      </c>
    </row>
    <row r="5" customFormat="false" ht="15" hidden="false" customHeight="false" outlineLevel="0" collapsed="false">
      <c r="A5" s="4" t="s">
        <v>605</v>
      </c>
    </row>
    <row r="6" customFormat="false" ht="15" hidden="false" customHeight="false" outlineLevel="0" collapsed="false">
      <c r="B6" s="6" t="s">
        <v>606</v>
      </c>
      <c r="C6" s="6" t="s">
        <v>607</v>
      </c>
      <c r="D6" s="6" t="s">
        <v>608</v>
      </c>
      <c r="E6" s="6" t="s">
        <v>609</v>
      </c>
      <c r="F6" s="6" t="s">
        <v>610</v>
      </c>
      <c r="G6" s="6" t="s">
        <v>611</v>
      </c>
      <c r="H6" s="6" t="s">
        <v>612</v>
      </c>
      <c r="I6" s="6" t="s">
        <v>613</v>
      </c>
      <c r="J6" s="6" t="s">
        <v>614</v>
      </c>
      <c r="K6" s="6" t="s">
        <v>615</v>
      </c>
    </row>
    <row r="7" customFormat="false" ht="15" hidden="false" customHeight="false" outlineLevel="0" collapsed="false">
      <c r="A7" s="59" t="s">
        <v>616</v>
      </c>
      <c r="B7" s="60" t="n">
        <v>1</v>
      </c>
      <c r="C7" s="60" t="n">
        <v>0</v>
      </c>
      <c r="D7" s="60" t="n">
        <v>1</v>
      </c>
      <c r="E7" s="60" t="n">
        <v>0</v>
      </c>
      <c r="F7" s="60" t="n">
        <v>1</v>
      </c>
      <c r="G7" s="60" t="n">
        <v>1</v>
      </c>
      <c r="H7" s="60" t="n">
        <v>1</v>
      </c>
      <c r="I7" s="60" t="n">
        <v>0</v>
      </c>
      <c r="J7" s="60" t="n">
        <v>0</v>
      </c>
      <c r="K7" s="60" t="n">
        <v>0</v>
      </c>
    </row>
    <row r="8" customFormat="false" ht="15" hidden="false" customHeight="false" outlineLevel="0" collapsed="false">
      <c r="A8" s="59" t="s">
        <v>617</v>
      </c>
      <c r="B8" s="60" t="n">
        <v>0</v>
      </c>
      <c r="C8" s="60" t="n">
        <v>1</v>
      </c>
      <c r="D8" s="60" t="n">
        <v>0</v>
      </c>
      <c r="E8" s="60" t="n">
        <v>0</v>
      </c>
      <c r="F8" s="60" t="n">
        <v>0</v>
      </c>
      <c r="G8" s="60" t="n">
        <v>0</v>
      </c>
      <c r="H8" s="60" t="n">
        <v>0</v>
      </c>
      <c r="I8" s="60" t="n">
        <v>0</v>
      </c>
      <c r="J8" s="60" t="n">
        <v>1</v>
      </c>
      <c r="K8" s="60" t="n">
        <v>0</v>
      </c>
    </row>
    <row r="9" customFormat="false" ht="15" hidden="false" customHeight="false" outlineLevel="0" collapsed="false">
      <c r="A9" s="59" t="s">
        <v>618</v>
      </c>
      <c r="B9" s="60" t="n">
        <v>0</v>
      </c>
      <c r="C9" s="60" t="n">
        <v>0</v>
      </c>
      <c r="D9" s="60" t="n">
        <v>1</v>
      </c>
      <c r="E9" s="60" t="n">
        <v>0</v>
      </c>
      <c r="F9" s="60" t="n">
        <v>0</v>
      </c>
      <c r="G9" s="60" t="n">
        <v>0</v>
      </c>
      <c r="H9" s="60" t="n">
        <v>0</v>
      </c>
      <c r="I9" s="60" t="n">
        <v>0</v>
      </c>
      <c r="J9" s="60" t="n">
        <v>1</v>
      </c>
      <c r="K9" s="60" t="n">
        <v>0</v>
      </c>
    </row>
    <row r="10" customFormat="false" ht="15" hidden="false" customHeight="false" outlineLevel="0" collapsed="false">
      <c r="A10" s="59" t="s">
        <v>619</v>
      </c>
      <c r="B10" s="60" t="n">
        <v>0</v>
      </c>
      <c r="C10" s="60" t="n">
        <v>0</v>
      </c>
      <c r="D10" s="60" t="n">
        <v>0</v>
      </c>
      <c r="E10" s="60" t="n">
        <v>1</v>
      </c>
      <c r="F10" s="60" t="n">
        <v>0</v>
      </c>
      <c r="G10" s="60" t="n">
        <v>0</v>
      </c>
      <c r="H10" s="60" t="n">
        <v>0</v>
      </c>
      <c r="I10" s="60" t="n">
        <v>0</v>
      </c>
      <c r="J10" s="60" t="n">
        <v>1</v>
      </c>
      <c r="K10" s="60" t="n">
        <v>0</v>
      </c>
    </row>
    <row r="11" customFormat="false" ht="15" hidden="false" customHeight="false" outlineLevel="0" collapsed="false">
      <c r="A11" s="59" t="s">
        <v>620</v>
      </c>
      <c r="B11" s="60" t="n">
        <v>0</v>
      </c>
      <c r="C11" s="60" t="n">
        <v>0</v>
      </c>
      <c r="D11" s="60" t="n">
        <v>0</v>
      </c>
      <c r="E11" s="60" t="n">
        <v>0</v>
      </c>
      <c r="F11" s="60" t="n">
        <v>1</v>
      </c>
      <c r="G11" s="60" t="n">
        <v>0</v>
      </c>
      <c r="H11" s="60" t="n">
        <v>0</v>
      </c>
      <c r="I11" s="60" t="n">
        <v>0</v>
      </c>
      <c r="J11" s="60" t="n">
        <v>1</v>
      </c>
      <c r="K11" s="60" t="n">
        <v>0</v>
      </c>
    </row>
    <row r="12" customFormat="false" ht="15" hidden="false" customHeight="false" outlineLevel="0" collapsed="false">
      <c r="A12" s="59" t="s">
        <v>621</v>
      </c>
      <c r="B12" s="60" t="n">
        <v>0</v>
      </c>
      <c r="C12" s="60" t="n">
        <v>0</v>
      </c>
      <c r="D12" s="60" t="n">
        <v>0</v>
      </c>
      <c r="E12" s="60" t="n">
        <v>0</v>
      </c>
      <c r="F12" s="60" t="n">
        <v>0</v>
      </c>
      <c r="G12" s="60" t="n">
        <v>1</v>
      </c>
      <c r="H12" s="60" t="n">
        <v>0</v>
      </c>
      <c r="I12" s="60" t="n">
        <v>1</v>
      </c>
      <c r="J12" s="60" t="n">
        <v>0</v>
      </c>
      <c r="K12" s="60" t="n">
        <v>0</v>
      </c>
    </row>
    <row r="13" customFormat="false" ht="15" hidden="false" customHeight="false" outlineLevel="0" collapsed="false">
      <c r="A13" s="59" t="s">
        <v>622</v>
      </c>
      <c r="B13" s="60" t="n">
        <v>0</v>
      </c>
      <c r="C13" s="60" t="n">
        <v>0</v>
      </c>
      <c r="D13" s="60" t="n">
        <v>0</v>
      </c>
      <c r="E13" s="60" t="n">
        <v>0</v>
      </c>
      <c r="F13" s="60" t="n">
        <v>0</v>
      </c>
      <c r="G13" s="60" t="n">
        <v>0</v>
      </c>
      <c r="H13" s="60" t="n">
        <v>1</v>
      </c>
      <c r="I13" s="60" t="n">
        <v>1</v>
      </c>
      <c r="J13" s="60" t="n">
        <v>0</v>
      </c>
      <c r="K13" s="60" t="n">
        <v>0</v>
      </c>
    </row>
    <row r="14" customFormat="false" ht="15" hidden="false" customHeight="false" outlineLevel="0" collapsed="false">
      <c r="A14" s="59" t="s">
        <v>623</v>
      </c>
      <c r="B14" s="60" t="n">
        <v>0</v>
      </c>
      <c r="C14" s="60" t="n">
        <v>0</v>
      </c>
      <c r="D14" s="60" t="n">
        <v>0</v>
      </c>
      <c r="E14" s="60" t="n">
        <v>1</v>
      </c>
      <c r="F14" s="60" t="n">
        <v>0</v>
      </c>
      <c r="G14" s="60" t="n">
        <v>0</v>
      </c>
      <c r="H14" s="60" t="n">
        <v>0</v>
      </c>
      <c r="I14" s="60" t="n">
        <v>1</v>
      </c>
      <c r="J14" s="60" t="n">
        <v>1</v>
      </c>
      <c r="K14" s="60" t="n">
        <v>0</v>
      </c>
    </row>
    <row r="15" customFormat="false" ht="15" hidden="false" customHeight="false" outlineLevel="0" collapsed="false">
      <c r="A15" s="59" t="s">
        <v>624</v>
      </c>
      <c r="B15" s="60" t="n">
        <v>0</v>
      </c>
      <c r="C15" s="60" t="n">
        <v>0</v>
      </c>
      <c r="D15" s="60" t="n">
        <v>0</v>
      </c>
      <c r="E15" s="60" t="n">
        <v>0</v>
      </c>
      <c r="F15" s="60" t="n">
        <v>0</v>
      </c>
      <c r="G15" s="60" t="n">
        <v>0</v>
      </c>
      <c r="H15" s="60" t="n">
        <v>0</v>
      </c>
      <c r="I15" s="60" t="n">
        <v>0</v>
      </c>
      <c r="J15" s="60" t="n">
        <v>1</v>
      </c>
      <c r="K15" s="60" t="n">
        <v>1</v>
      </c>
    </row>
    <row r="16" customFormat="false" ht="15" hidden="false" customHeight="false" outlineLevel="0" collapsed="false">
      <c r="A16" s="59" t="s">
        <v>625</v>
      </c>
      <c r="B16" s="60" t="n">
        <v>0</v>
      </c>
      <c r="C16" s="60" t="n">
        <v>0</v>
      </c>
      <c r="D16" s="60" t="n">
        <v>0</v>
      </c>
      <c r="E16" s="60" t="n">
        <v>0</v>
      </c>
      <c r="F16" s="60" t="n">
        <v>0</v>
      </c>
      <c r="G16" s="60" t="n">
        <v>0</v>
      </c>
      <c r="H16" s="60" t="n">
        <v>0</v>
      </c>
      <c r="I16" s="60" t="n">
        <v>0</v>
      </c>
      <c r="J16" s="60" t="n">
        <v>0</v>
      </c>
      <c r="K16" s="60" t="n">
        <v>1</v>
      </c>
    </row>
    <row r="18" customFormat="false" ht="15" hidden="false" customHeight="false" outlineLevel="0" collapsed="false">
      <c r="A18" s="4" t="s">
        <v>626</v>
      </c>
    </row>
    <row r="19" customFormat="false" ht="15" hidden="false" customHeight="false" outlineLevel="0" collapsed="false">
      <c r="B19" s="6" t="s">
        <v>606</v>
      </c>
      <c r="C19" s="6" t="s">
        <v>607</v>
      </c>
      <c r="D19" s="6" t="s">
        <v>608</v>
      </c>
      <c r="E19" s="6" t="s">
        <v>609</v>
      </c>
      <c r="F19" s="6" t="s">
        <v>610</v>
      </c>
      <c r="G19" s="6" t="s">
        <v>611</v>
      </c>
      <c r="H19" s="6" t="s">
        <v>612</v>
      </c>
      <c r="I19" s="6" t="s">
        <v>613</v>
      </c>
      <c r="J19" s="6" t="s">
        <v>614</v>
      </c>
      <c r="K19" s="6" t="s">
        <v>615</v>
      </c>
    </row>
    <row r="20" customFormat="false" ht="15" hidden="false" customHeight="false" outlineLevel="0" collapsed="false">
      <c r="A20" s="59" t="s">
        <v>616</v>
      </c>
      <c r="B20" s="61" t="n">
        <f aca="false">IF(MMULT($B7:$K7,B$7:B$16)&gt;0,1,0)</f>
        <v>1</v>
      </c>
      <c r="C20" s="61" t="n">
        <f aca="false">IF(MMULT($B7:$K7,C$7:C$16)&gt;0,1,0)</f>
        <v>0</v>
      </c>
      <c r="D20" s="61" t="n">
        <f aca="false">IF(MMULT($B7:$K7,D$7:D$16)&gt;0,1,0)</f>
        <v>1</v>
      </c>
      <c r="E20" s="61" t="n">
        <f aca="false">IF(MMULT($B7:$K7,E$7:E$16)&gt;0,1,0)</f>
        <v>0</v>
      </c>
      <c r="F20" s="61" t="n">
        <f aca="false">IF(MMULT($B7:$K7,F$7:F$16)&gt;0,1,0)</f>
        <v>1</v>
      </c>
      <c r="G20" s="61" t="n">
        <f aca="false">IF(MMULT($B7:$K7,G$7:G$16)&gt;0,1,0)</f>
        <v>1</v>
      </c>
      <c r="H20" s="61" t="n">
        <f aca="false">IF(MMULT($B7:$K7,H$7:H$16)&gt;0,1,0)</f>
        <v>1</v>
      </c>
      <c r="I20" s="61" t="n">
        <f aca="false">IF(MMULT($B7:$K7,I$7:I$16)&gt;0,1,0)</f>
        <v>1</v>
      </c>
      <c r="J20" s="61" t="n">
        <f aca="false">IF(MMULT($B7:$K7,J$7:J$16)&gt;0,1,0)</f>
        <v>1</v>
      </c>
      <c r="K20" s="61" t="n">
        <f aca="false">IF(MMULT($B7:$K7,K$7:K$16)&gt;0,1,0)</f>
        <v>0</v>
      </c>
    </row>
    <row r="21" customFormat="false" ht="15" hidden="false" customHeight="false" outlineLevel="0" collapsed="false">
      <c r="A21" s="59" t="s">
        <v>617</v>
      </c>
      <c r="B21" s="61" t="n">
        <f aca="false">IF(MMULT($B8:$K8,B$7:B$16)&gt;0,1,0)</f>
        <v>0</v>
      </c>
      <c r="C21" s="61" t="n">
        <f aca="false">IF(MMULT($B8:$K8,C$7:C$16)&gt;0,1,0)</f>
        <v>1</v>
      </c>
      <c r="D21" s="61" t="n">
        <f aca="false">IF(MMULT($B8:$K8,D$7:D$16)&gt;0,1,0)</f>
        <v>0</v>
      </c>
      <c r="E21" s="61" t="n">
        <f aca="false">IF(MMULT($B8:$K8,E$7:E$16)&gt;0,1,0)</f>
        <v>0</v>
      </c>
      <c r="F21" s="61" t="n">
        <f aca="false">IF(MMULT($B8:$K8,F$7:F$16)&gt;0,1,0)</f>
        <v>0</v>
      </c>
      <c r="G21" s="61" t="n">
        <f aca="false">IF(MMULT($B8:$K8,G$7:G$16)&gt;0,1,0)</f>
        <v>0</v>
      </c>
      <c r="H21" s="61" t="n">
        <f aca="false">IF(MMULT($B8:$K8,H$7:H$16)&gt;0,1,0)</f>
        <v>0</v>
      </c>
      <c r="I21" s="61" t="n">
        <f aca="false">IF(MMULT($B8:$K8,I$7:I$16)&gt;0,1,0)</f>
        <v>0</v>
      </c>
      <c r="J21" s="61" t="n">
        <f aca="false">IF(MMULT($B8:$K8,J$7:J$16)&gt;0,1,0)</f>
        <v>1</v>
      </c>
      <c r="K21" s="61" t="n">
        <f aca="false">IF(MMULT($B8:$K8,K$7:K$16)&gt;0,1,0)</f>
        <v>1</v>
      </c>
    </row>
    <row r="22" customFormat="false" ht="15" hidden="false" customHeight="false" outlineLevel="0" collapsed="false">
      <c r="A22" s="59" t="s">
        <v>618</v>
      </c>
      <c r="B22" s="61" t="n">
        <f aca="false">IF(MMULT($B9:$K9,B$7:B$16)&gt;0,1,0)</f>
        <v>0</v>
      </c>
      <c r="C22" s="61" t="n">
        <f aca="false">IF(MMULT($B9:$K9,C$7:C$16)&gt;0,1,0)</f>
        <v>0</v>
      </c>
      <c r="D22" s="61" t="n">
        <f aca="false">IF(MMULT($B9:$K9,D$7:D$16)&gt;0,1,0)</f>
        <v>1</v>
      </c>
      <c r="E22" s="61" t="n">
        <f aca="false">IF(MMULT($B9:$K9,E$7:E$16)&gt;0,1,0)</f>
        <v>0</v>
      </c>
      <c r="F22" s="61" t="n">
        <f aca="false">IF(MMULT($B9:$K9,F$7:F$16)&gt;0,1,0)</f>
        <v>0</v>
      </c>
      <c r="G22" s="61" t="n">
        <f aca="false">IF(MMULT($B9:$K9,G$7:G$16)&gt;0,1,0)</f>
        <v>0</v>
      </c>
      <c r="H22" s="61" t="n">
        <f aca="false">IF(MMULT($B9:$K9,H$7:H$16)&gt;0,1,0)</f>
        <v>0</v>
      </c>
      <c r="I22" s="61" t="n">
        <f aca="false">IF(MMULT($B9:$K9,I$7:I$16)&gt;0,1,0)</f>
        <v>0</v>
      </c>
      <c r="J22" s="61" t="n">
        <f aca="false">IF(MMULT($B9:$K9,J$7:J$16)&gt;0,1,0)</f>
        <v>1</v>
      </c>
      <c r="K22" s="61" t="n">
        <f aca="false">IF(MMULT($B9:$K9,K$7:K$16)&gt;0,1,0)</f>
        <v>1</v>
      </c>
    </row>
    <row r="23" customFormat="false" ht="15" hidden="false" customHeight="false" outlineLevel="0" collapsed="false">
      <c r="A23" s="59" t="s">
        <v>619</v>
      </c>
      <c r="B23" s="61" t="n">
        <f aca="false">IF(MMULT($B10:$K10,B$7:B$16)&gt;0,1,0)</f>
        <v>0</v>
      </c>
      <c r="C23" s="61" t="n">
        <f aca="false">IF(MMULT($B10:$K10,C$7:C$16)&gt;0,1,0)</f>
        <v>0</v>
      </c>
      <c r="D23" s="61" t="n">
        <f aca="false">IF(MMULT($B10:$K10,D$7:D$16)&gt;0,1,0)</f>
        <v>0</v>
      </c>
      <c r="E23" s="61" t="n">
        <f aca="false">IF(MMULT($B10:$K10,E$7:E$16)&gt;0,1,0)</f>
        <v>1</v>
      </c>
      <c r="F23" s="61" t="n">
        <f aca="false">IF(MMULT($B10:$K10,F$7:F$16)&gt;0,1,0)</f>
        <v>0</v>
      </c>
      <c r="G23" s="61" t="n">
        <f aca="false">IF(MMULT($B10:$K10,G$7:G$16)&gt;0,1,0)</f>
        <v>0</v>
      </c>
      <c r="H23" s="61" t="n">
        <f aca="false">IF(MMULT($B10:$K10,H$7:H$16)&gt;0,1,0)</f>
        <v>0</v>
      </c>
      <c r="I23" s="61" t="n">
        <f aca="false">IF(MMULT($B10:$K10,I$7:I$16)&gt;0,1,0)</f>
        <v>0</v>
      </c>
      <c r="J23" s="61" t="n">
        <f aca="false">IF(MMULT($B10:$K10,J$7:J$16)&gt;0,1,0)</f>
        <v>1</v>
      </c>
      <c r="K23" s="61" t="n">
        <f aca="false">IF(MMULT($B10:$K10,K$7:K$16)&gt;0,1,0)</f>
        <v>1</v>
      </c>
    </row>
    <row r="24" customFormat="false" ht="15" hidden="false" customHeight="false" outlineLevel="0" collapsed="false">
      <c r="A24" s="59" t="s">
        <v>620</v>
      </c>
      <c r="B24" s="61" t="n">
        <f aca="false">IF(MMULT($B11:$K11,B$7:B$16)&gt;0,1,0)</f>
        <v>0</v>
      </c>
      <c r="C24" s="61" t="n">
        <f aca="false">IF(MMULT($B11:$K11,C$7:C$16)&gt;0,1,0)</f>
        <v>0</v>
      </c>
      <c r="D24" s="61" t="n">
        <f aca="false">IF(MMULT($B11:$K11,D$7:D$16)&gt;0,1,0)</f>
        <v>0</v>
      </c>
      <c r="E24" s="61" t="n">
        <f aca="false">IF(MMULT($B11:$K11,E$7:E$16)&gt;0,1,0)</f>
        <v>0</v>
      </c>
      <c r="F24" s="61" t="n">
        <f aca="false">IF(MMULT($B11:$K11,F$7:F$16)&gt;0,1,0)</f>
        <v>1</v>
      </c>
      <c r="G24" s="61" t="n">
        <f aca="false">IF(MMULT($B11:$K11,G$7:G$16)&gt;0,1,0)</f>
        <v>0</v>
      </c>
      <c r="H24" s="61" t="n">
        <f aca="false">IF(MMULT($B11:$K11,H$7:H$16)&gt;0,1,0)</f>
        <v>0</v>
      </c>
      <c r="I24" s="61" t="n">
        <f aca="false">IF(MMULT($B11:$K11,I$7:I$16)&gt;0,1,0)</f>
        <v>0</v>
      </c>
      <c r="J24" s="61" t="n">
        <f aca="false">IF(MMULT($B11:$K11,J$7:J$16)&gt;0,1,0)</f>
        <v>1</v>
      </c>
      <c r="K24" s="61" t="n">
        <f aca="false">IF(MMULT($B11:$K11,K$7:K$16)&gt;0,1,0)</f>
        <v>1</v>
      </c>
    </row>
    <row r="25" customFormat="false" ht="15" hidden="false" customHeight="false" outlineLevel="0" collapsed="false">
      <c r="A25" s="59" t="s">
        <v>621</v>
      </c>
      <c r="B25" s="61" t="n">
        <f aca="false">IF(MMULT($B12:$K12,B$7:B$16)&gt;0,1,0)</f>
        <v>0</v>
      </c>
      <c r="C25" s="61" t="n">
        <f aca="false">IF(MMULT($B12:$K12,C$7:C$16)&gt;0,1,0)</f>
        <v>0</v>
      </c>
      <c r="D25" s="61" t="n">
        <f aca="false">IF(MMULT($B12:$K12,D$7:D$16)&gt;0,1,0)</f>
        <v>0</v>
      </c>
      <c r="E25" s="61" t="n">
        <f aca="false">IF(MMULT($B12:$K12,E$7:E$16)&gt;0,1,0)</f>
        <v>1</v>
      </c>
      <c r="F25" s="61" t="n">
        <f aca="false">IF(MMULT($B12:$K12,F$7:F$16)&gt;0,1,0)</f>
        <v>0</v>
      </c>
      <c r="G25" s="61" t="n">
        <f aca="false">IF(MMULT($B12:$K12,G$7:G$16)&gt;0,1,0)</f>
        <v>1</v>
      </c>
      <c r="H25" s="61" t="n">
        <f aca="false">IF(MMULT($B12:$K12,H$7:H$16)&gt;0,1,0)</f>
        <v>0</v>
      </c>
      <c r="I25" s="61" t="n">
        <f aca="false">IF(MMULT($B12:$K12,I$7:I$16)&gt;0,1,0)</f>
        <v>1</v>
      </c>
      <c r="J25" s="61" t="n">
        <f aca="false">IF(MMULT($B12:$K12,J$7:J$16)&gt;0,1,0)</f>
        <v>1</v>
      </c>
      <c r="K25" s="61" t="n">
        <f aca="false">IF(MMULT($B12:$K12,K$7:K$16)&gt;0,1,0)</f>
        <v>0</v>
      </c>
    </row>
    <row r="26" customFormat="false" ht="15" hidden="false" customHeight="false" outlineLevel="0" collapsed="false">
      <c r="A26" s="59" t="s">
        <v>622</v>
      </c>
      <c r="B26" s="61" t="n">
        <f aca="false">IF(MMULT($B13:$K13,B$7:B$16)&gt;0,1,0)</f>
        <v>0</v>
      </c>
      <c r="C26" s="61" t="n">
        <f aca="false">IF(MMULT($B13:$K13,C$7:C$16)&gt;0,1,0)</f>
        <v>0</v>
      </c>
      <c r="D26" s="61" t="n">
        <f aca="false">IF(MMULT($B13:$K13,D$7:D$16)&gt;0,1,0)</f>
        <v>0</v>
      </c>
      <c r="E26" s="61" t="n">
        <f aca="false">IF(MMULT($B13:$K13,E$7:E$16)&gt;0,1,0)</f>
        <v>1</v>
      </c>
      <c r="F26" s="61" t="n">
        <f aca="false">IF(MMULT($B13:$K13,F$7:F$16)&gt;0,1,0)</f>
        <v>0</v>
      </c>
      <c r="G26" s="61" t="n">
        <f aca="false">IF(MMULT($B13:$K13,G$7:G$16)&gt;0,1,0)</f>
        <v>0</v>
      </c>
      <c r="H26" s="61" t="n">
        <f aca="false">IF(MMULT($B13:$K13,H$7:H$16)&gt;0,1,0)</f>
        <v>1</v>
      </c>
      <c r="I26" s="61" t="n">
        <f aca="false">IF(MMULT($B13:$K13,I$7:I$16)&gt;0,1,0)</f>
        <v>1</v>
      </c>
      <c r="J26" s="61" t="n">
        <f aca="false">IF(MMULT($B13:$K13,J$7:J$16)&gt;0,1,0)</f>
        <v>1</v>
      </c>
      <c r="K26" s="61" t="n">
        <f aca="false">IF(MMULT($B13:$K13,K$7:K$16)&gt;0,1,0)</f>
        <v>0</v>
      </c>
    </row>
    <row r="27" customFormat="false" ht="15" hidden="false" customHeight="false" outlineLevel="0" collapsed="false">
      <c r="A27" s="59" t="s">
        <v>623</v>
      </c>
      <c r="B27" s="61" t="n">
        <f aca="false">IF(MMULT($B14:$K14,B$7:B$16)&gt;0,1,0)</f>
        <v>0</v>
      </c>
      <c r="C27" s="61" t="n">
        <f aca="false">IF(MMULT($B14:$K14,C$7:C$16)&gt;0,1,0)</f>
        <v>0</v>
      </c>
      <c r="D27" s="61" t="n">
        <f aca="false">IF(MMULT($B14:$K14,D$7:D$16)&gt;0,1,0)</f>
        <v>0</v>
      </c>
      <c r="E27" s="61" t="n">
        <f aca="false">IF(MMULT($B14:$K14,E$7:E$16)&gt;0,1,0)</f>
        <v>1</v>
      </c>
      <c r="F27" s="61" t="n">
        <f aca="false">IF(MMULT($B14:$K14,F$7:F$16)&gt;0,1,0)</f>
        <v>0</v>
      </c>
      <c r="G27" s="61" t="n">
        <f aca="false">IF(MMULT($B14:$K14,G$7:G$16)&gt;0,1,0)</f>
        <v>0</v>
      </c>
      <c r="H27" s="61" t="n">
        <f aca="false">IF(MMULT($B14:$K14,H$7:H$16)&gt;0,1,0)</f>
        <v>0</v>
      </c>
      <c r="I27" s="61" t="n">
        <f aca="false">IF(MMULT($B14:$K14,I$7:I$16)&gt;0,1,0)</f>
        <v>1</v>
      </c>
      <c r="J27" s="61" t="n">
        <f aca="false">IF(MMULT($B14:$K14,J$7:J$16)&gt;0,1,0)</f>
        <v>1</v>
      </c>
      <c r="K27" s="61" t="n">
        <f aca="false">IF(MMULT($B14:$K14,K$7:K$16)&gt;0,1,0)</f>
        <v>1</v>
      </c>
    </row>
    <row r="28" customFormat="false" ht="15" hidden="false" customHeight="false" outlineLevel="0" collapsed="false">
      <c r="A28" s="59" t="s">
        <v>624</v>
      </c>
      <c r="B28" s="61" t="n">
        <f aca="false">IF(MMULT($B15:$K15,B$7:B$16)&gt;0,1,0)</f>
        <v>0</v>
      </c>
      <c r="C28" s="61" t="n">
        <f aca="false">IF(MMULT($B15:$K15,C$7:C$16)&gt;0,1,0)</f>
        <v>0</v>
      </c>
      <c r="D28" s="61" t="n">
        <f aca="false">IF(MMULT($B15:$K15,D$7:D$16)&gt;0,1,0)</f>
        <v>0</v>
      </c>
      <c r="E28" s="61" t="n">
        <f aca="false">IF(MMULT($B15:$K15,E$7:E$16)&gt;0,1,0)</f>
        <v>0</v>
      </c>
      <c r="F28" s="61" t="n">
        <f aca="false">IF(MMULT($B15:$K15,F$7:F$16)&gt;0,1,0)</f>
        <v>0</v>
      </c>
      <c r="G28" s="61" t="n">
        <f aca="false">IF(MMULT($B15:$K15,G$7:G$16)&gt;0,1,0)</f>
        <v>0</v>
      </c>
      <c r="H28" s="61" t="n">
        <f aca="false">IF(MMULT($B15:$K15,H$7:H$16)&gt;0,1,0)</f>
        <v>0</v>
      </c>
      <c r="I28" s="61" t="n">
        <f aca="false">IF(MMULT($B15:$K15,I$7:I$16)&gt;0,1,0)</f>
        <v>0</v>
      </c>
      <c r="J28" s="61" t="n">
        <f aca="false">IF(MMULT($B15:$K15,J$7:J$16)&gt;0,1,0)</f>
        <v>1</v>
      </c>
      <c r="K28" s="61" t="n">
        <f aca="false">IF(MMULT($B15:$K15,K$7:K$16)&gt;0,1,0)</f>
        <v>1</v>
      </c>
    </row>
    <row r="29" customFormat="false" ht="15" hidden="false" customHeight="false" outlineLevel="0" collapsed="false">
      <c r="A29" s="59" t="s">
        <v>625</v>
      </c>
      <c r="B29" s="61" t="n">
        <f aca="false">IF(MMULT($B16:$K16,B$7:B$16)&gt;0,1,0)</f>
        <v>0</v>
      </c>
      <c r="C29" s="61" t="n">
        <f aca="false">IF(MMULT($B16:$K16,C$7:C$16)&gt;0,1,0)</f>
        <v>0</v>
      </c>
      <c r="D29" s="61" t="n">
        <f aca="false">IF(MMULT($B16:$K16,D$7:D$16)&gt;0,1,0)</f>
        <v>0</v>
      </c>
      <c r="E29" s="61" t="n">
        <f aca="false">IF(MMULT($B16:$K16,E$7:E$16)&gt;0,1,0)</f>
        <v>0</v>
      </c>
      <c r="F29" s="61" t="n">
        <f aca="false">IF(MMULT($B16:$K16,F$7:F$16)&gt;0,1,0)</f>
        <v>0</v>
      </c>
      <c r="G29" s="61" t="n">
        <f aca="false">IF(MMULT($B16:$K16,G$7:G$16)&gt;0,1,0)</f>
        <v>0</v>
      </c>
      <c r="H29" s="61" t="n">
        <f aca="false">IF(MMULT($B16:$K16,H$7:H$16)&gt;0,1,0)</f>
        <v>0</v>
      </c>
      <c r="I29" s="61" t="n">
        <f aca="false">IF(MMULT($B16:$K16,I$7:I$16)&gt;0,1,0)</f>
        <v>0</v>
      </c>
      <c r="J29" s="61" t="n">
        <f aca="false">IF(MMULT($B16:$K16,J$7:J$16)&gt;0,1,0)</f>
        <v>0</v>
      </c>
      <c r="K29" s="61" t="n">
        <f aca="false">IF(MMULT($B16:$K16,K$7:K$16)&gt;0,1,0)</f>
        <v>1</v>
      </c>
    </row>
    <row r="31" customFormat="false" ht="15" hidden="false" customHeight="false" outlineLevel="0" collapsed="false">
      <c r="A31" s="4" t="s">
        <v>627</v>
      </c>
    </row>
    <row r="32" customFormat="false" ht="15" hidden="false" customHeight="false" outlineLevel="0" collapsed="false">
      <c r="B32" s="6" t="s">
        <v>606</v>
      </c>
      <c r="C32" s="6" t="s">
        <v>607</v>
      </c>
      <c r="D32" s="6" t="s">
        <v>608</v>
      </c>
      <c r="E32" s="6" t="s">
        <v>609</v>
      </c>
      <c r="F32" s="6" t="s">
        <v>610</v>
      </c>
      <c r="G32" s="6" t="s">
        <v>611</v>
      </c>
      <c r="H32" s="6" t="s">
        <v>612</v>
      </c>
      <c r="I32" s="6" t="s">
        <v>613</v>
      </c>
      <c r="J32" s="6" t="s">
        <v>614</v>
      </c>
      <c r="K32" s="6" t="s">
        <v>615</v>
      </c>
    </row>
    <row r="33" customFormat="false" ht="15" hidden="false" customHeight="false" outlineLevel="0" collapsed="false">
      <c r="A33" s="59" t="s">
        <v>616</v>
      </c>
      <c r="B33" s="61" t="n">
        <f aca="false">IF(MMULT($B20:$K20,B$20:B$29)&gt;0,1,0)</f>
        <v>1</v>
      </c>
      <c r="C33" s="61" t="n">
        <f aca="false">IF(MMULT($B20:$K20,C$20:C$29)&gt;0,1,0)</f>
        <v>0</v>
      </c>
      <c r="D33" s="61" t="n">
        <f aca="false">IF(MMULT($B20:$K20,D$20:D$29)&gt;0,1,0)</f>
        <v>1</v>
      </c>
      <c r="E33" s="61" t="n">
        <f aca="false">IF(MMULT($B20:$K20,E$20:E$29)&gt;0,1,0)</f>
        <v>1</v>
      </c>
      <c r="F33" s="61" t="n">
        <f aca="false">IF(MMULT($B20:$K20,F$20:F$29)&gt;0,1,0)</f>
        <v>1</v>
      </c>
      <c r="G33" s="61" t="n">
        <f aca="false">IF(MMULT($B20:$K20,G$20:G$29)&gt;0,1,0)</f>
        <v>1</v>
      </c>
      <c r="H33" s="61" t="n">
        <f aca="false">IF(MMULT($B20:$K20,H$20:H$29)&gt;0,1,0)</f>
        <v>1</v>
      </c>
      <c r="I33" s="61" t="n">
        <f aca="false">IF(MMULT($B20:$K20,I$20:I$29)&gt;0,1,0)</f>
        <v>1</v>
      </c>
      <c r="J33" s="61" t="n">
        <f aca="false">IF(MMULT($B20:$K20,J$20:J$29)&gt;0,1,0)</f>
        <v>1</v>
      </c>
      <c r="K33" s="61" t="n">
        <f aca="false">IF(MMULT($B20:$K20,K$20:K$29)&gt;0,1,0)</f>
        <v>1</v>
      </c>
    </row>
    <row r="34" customFormat="false" ht="15" hidden="false" customHeight="false" outlineLevel="0" collapsed="false">
      <c r="A34" s="59" t="s">
        <v>617</v>
      </c>
      <c r="B34" s="61" t="n">
        <f aca="false">IF(MMULT($B21:$K21,B$20:B$29)&gt;0,1,0)</f>
        <v>0</v>
      </c>
      <c r="C34" s="61" t="n">
        <f aca="false">IF(MMULT($B21:$K21,C$20:C$29)&gt;0,1,0)</f>
        <v>1</v>
      </c>
      <c r="D34" s="61" t="n">
        <f aca="false">IF(MMULT($B21:$K21,D$20:D$29)&gt;0,1,0)</f>
        <v>0</v>
      </c>
      <c r="E34" s="61" t="n">
        <f aca="false">IF(MMULT($B21:$K21,E$20:E$29)&gt;0,1,0)</f>
        <v>0</v>
      </c>
      <c r="F34" s="61" t="n">
        <f aca="false">IF(MMULT($B21:$K21,F$20:F$29)&gt;0,1,0)</f>
        <v>0</v>
      </c>
      <c r="G34" s="61" t="n">
        <f aca="false">IF(MMULT($B21:$K21,G$20:G$29)&gt;0,1,0)</f>
        <v>0</v>
      </c>
      <c r="H34" s="61" t="n">
        <f aca="false">IF(MMULT($B21:$K21,H$20:H$29)&gt;0,1,0)</f>
        <v>0</v>
      </c>
      <c r="I34" s="61" t="n">
        <f aca="false">IF(MMULT($B21:$K21,I$20:I$29)&gt;0,1,0)</f>
        <v>0</v>
      </c>
      <c r="J34" s="61" t="n">
        <f aca="false">IF(MMULT($B21:$K21,J$20:J$29)&gt;0,1,0)</f>
        <v>1</v>
      </c>
      <c r="K34" s="61" t="n">
        <f aca="false">IF(MMULT($B21:$K21,K$20:K$29)&gt;0,1,0)</f>
        <v>1</v>
      </c>
    </row>
    <row r="35" customFormat="false" ht="15" hidden="false" customHeight="false" outlineLevel="0" collapsed="false">
      <c r="A35" s="59" t="s">
        <v>618</v>
      </c>
      <c r="B35" s="61" t="n">
        <f aca="false">IF(MMULT($B22:$K22,B$20:B$29)&gt;0,1,0)</f>
        <v>0</v>
      </c>
      <c r="C35" s="61" t="n">
        <f aca="false">IF(MMULT($B22:$K22,C$20:C$29)&gt;0,1,0)</f>
        <v>0</v>
      </c>
      <c r="D35" s="61" t="n">
        <f aca="false">IF(MMULT($B22:$K22,D$20:D$29)&gt;0,1,0)</f>
        <v>1</v>
      </c>
      <c r="E35" s="61" t="n">
        <f aca="false">IF(MMULT($B22:$K22,E$20:E$29)&gt;0,1,0)</f>
        <v>0</v>
      </c>
      <c r="F35" s="61" t="n">
        <f aca="false">IF(MMULT($B22:$K22,F$20:F$29)&gt;0,1,0)</f>
        <v>0</v>
      </c>
      <c r="G35" s="61" t="n">
        <f aca="false">IF(MMULT($B22:$K22,G$20:G$29)&gt;0,1,0)</f>
        <v>0</v>
      </c>
      <c r="H35" s="61" t="n">
        <f aca="false">IF(MMULT($B22:$K22,H$20:H$29)&gt;0,1,0)</f>
        <v>0</v>
      </c>
      <c r="I35" s="61" t="n">
        <f aca="false">IF(MMULT($B22:$K22,I$20:I$29)&gt;0,1,0)</f>
        <v>0</v>
      </c>
      <c r="J35" s="61" t="n">
        <f aca="false">IF(MMULT($B22:$K22,J$20:J$29)&gt;0,1,0)</f>
        <v>1</v>
      </c>
      <c r="K35" s="61" t="n">
        <f aca="false">IF(MMULT($B22:$K22,K$20:K$29)&gt;0,1,0)</f>
        <v>1</v>
      </c>
    </row>
    <row r="36" customFormat="false" ht="15" hidden="false" customHeight="false" outlineLevel="0" collapsed="false">
      <c r="A36" s="59" t="s">
        <v>619</v>
      </c>
      <c r="B36" s="61" t="n">
        <f aca="false">IF(MMULT($B23:$K23,B$20:B$29)&gt;0,1,0)</f>
        <v>0</v>
      </c>
      <c r="C36" s="61" t="n">
        <f aca="false">IF(MMULT($B23:$K23,C$20:C$29)&gt;0,1,0)</f>
        <v>0</v>
      </c>
      <c r="D36" s="61" t="n">
        <f aca="false">IF(MMULT($B23:$K23,D$20:D$29)&gt;0,1,0)</f>
        <v>0</v>
      </c>
      <c r="E36" s="61" t="n">
        <f aca="false">IF(MMULT($B23:$K23,E$20:E$29)&gt;0,1,0)</f>
        <v>1</v>
      </c>
      <c r="F36" s="61" t="n">
        <f aca="false">IF(MMULT($B23:$K23,F$20:F$29)&gt;0,1,0)</f>
        <v>0</v>
      </c>
      <c r="G36" s="61" t="n">
        <f aca="false">IF(MMULT($B23:$K23,G$20:G$29)&gt;0,1,0)</f>
        <v>0</v>
      </c>
      <c r="H36" s="61" t="n">
        <f aca="false">IF(MMULT($B23:$K23,H$20:H$29)&gt;0,1,0)</f>
        <v>0</v>
      </c>
      <c r="I36" s="61" t="n">
        <f aca="false">IF(MMULT($B23:$K23,I$20:I$29)&gt;0,1,0)</f>
        <v>0</v>
      </c>
      <c r="J36" s="61" t="n">
        <f aca="false">IF(MMULT($B23:$K23,J$20:J$29)&gt;0,1,0)</f>
        <v>1</v>
      </c>
      <c r="K36" s="61" t="n">
        <f aca="false">IF(MMULT($B23:$K23,K$20:K$29)&gt;0,1,0)</f>
        <v>1</v>
      </c>
    </row>
    <row r="37" customFormat="false" ht="15" hidden="false" customHeight="false" outlineLevel="0" collapsed="false">
      <c r="A37" s="59" t="s">
        <v>620</v>
      </c>
      <c r="B37" s="61" t="n">
        <f aca="false">IF(MMULT($B24:$K24,B$20:B$29)&gt;0,1,0)</f>
        <v>0</v>
      </c>
      <c r="C37" s="61" t="n">
        <f aca="false">IF(MMULT($B24:$K24,C$20:C$29)&gt;0,1,0)</f>
        <v>0</v>
      </c>
      <c r="D37" s="61" t="n">
        <f aca="false">IF(MMULT($B24:$K24,D$20:D$29)&gt;0,1,0)</f>
        <v>0</v>
      </c>
      <c r="E37" s="61" t="n">
        <f aca="false">IF(MMULT($B24:$K24,E$20:E$29)&gt;0,1,0)</f>
        <v>0</v>
      </c>
      <c r="F37" s="61" t="n">
        <f aca="false">IF(MMULT($B24:$K24,F$20:F$29)&gt;0,1,0)</f>
        <v>1</v>
      </c>
      <c r="G37" s="61" t="n">
        <f aca="false">IF(MMULT($B24:$K24,G$20:G$29)&gt;0,1,0)</f>
        <v>0</v>
      </c>
      <c r="H37" s="61" t="n">
        <f aca="false">IF(MMULT($B24:$K24,H$20:H$29)&gt;0,1,0)</f>
        <v>0</v>
      </c>
      <c r="I37" s="61" t="n">
        <f aca="false">IF(MMULT($B24:$K24,I$20:I$29)&gt;0,1,0)</f>
        <v>0</v>
      </c>
      <c r="J37" s="61" t="n">
        <f aca="false">IF(MMULT($B24:$K24,J$20:J$29)&gt;0,1,0)</f>
        <v>1</v>
      </c>
      <c r="K37" s="61" t="n">
        <f aca="false">IF(MMULT($B24:$K24,K$20:K$29)&gt;0,1,0)</f>
        <v>1</v>
      </c>
    </row>
    <row r="38" customFormat="false" ht="15" hidden="false" customHeight="false" outlineLevel="0" collapsed="false">
      <c r="A38" s="59" t="s">
        <v>621</v>
      </c>
      <c r="B38" s="61" t="n">
        <f aca="false">IF(MMULT($B25:$K25,B$20:B$29)&gt;0,1,0)</f>
        <v>0</v>
      </c>
      <c r="C38" s="61" t="n">
        <f aca="false">IF(MMULT($B25:$K25,C$20:C$29)&gt;0,1,0)</f>
        <v>0</v>
      </c>
      <c r="D38" s="61" t="n">
        <f aca="false">IF(MMULT($B25:$K25,D$20:D$29)&gt;0,1,0)</f>
        <v>0</v>
      </c>
      <c r="E38" s="61" t="n">
        <f aca="false">IF(MMULT($B25:$K25,E$20:E$29)&gt;0,1,0)</f>
        <v>1</v>
      </c>
      <c r="F38" s="61" t="n">
        <f aca="false">IF(MMULT($B25:$K25,F$20:F$29)&gt;0,1,0)</f>
        <v>0</v>
      </c>
      <c r="G38" s="61" t="n">
        <f aca="false">IF(MMULT($B25:$K25,G$20:G$29)&gt;0,1,0)</f>
        <v>1</v>
      </c>
      <c r="H38" s="61" t="n">
        <f aca="false">IF(MMULT($B25:$K25,H$20:H$29)&gt;0,1,0)</f>
        <v>0</v>
      </c>
      <c r="I38" s="61" t="n">
        <f aca="false">IF(MMULT($B25:$K25,I$20:I$29)&gt;0,1,0)</f>
        <v>1</v>
      </c>
      <c r="J38" s="61" t="n">
        <f aca="false">IF(MMULT($B25:$K25,J$20:J$29)&gt;0,1,0)</f>
        <v>1</v>
      </c>
      <c r="K38" s="61" t="n">
        <f aca="false">IF(MMULT($B25:$K25,K$20:K$29)&gt;0,1,0)</f>
        <v>1</v>
      </c>
    </row>
    <row r="39" customFormat="false" ht="15" hidden="false" customHeight="false" outlineLevel="0" collapsed="false">
      <c r="A39" s="59" t="s">
        <v>622</v>
      </c>
      <c r="B39" s="61" t="n">
        <f aca="false">IF(MMULT($B26:$K26,B$20:B$29)&gt;0,1,0)</f>
        <v>0</v>
      </c>
      <c r="C39" s="61" t="n">
        <f aca="false">IF(MMULT($B26:$K26,C$20:C$29)&gt;0,1,0)</f>
        <v>0</v>
      </c>
      <c r="D39" s="61" t="n">
        <f aca="false">IF(MMULT($B26:$K26,D$20:D$29)&gt;0,1,0)</f>
        <v>0</v>
      </c>
      <c r="E39" s="61" t="n">
        <f aca="false">IF(MMULT($B26:$K26,E$20:E$29)&gt;0,1,0)</f>
        <v>1</v>
      </c>
      <c r="F39" s="61" t="n">
        <f aca="false">IF(MMULT($B26:$K26,F$20:F$29)&gt;0,1,0)</f>
        <v>0</v>
      </c>
      <c r="G39" s="61" t="n">
        <f aca="false">IF(MMULT($B26:$K26,G$20:G$29)&gt;0,1,0)</f>
        <v>0</v>
      </c>
      <c r="H39" s="61" t="n">
        <f aca="false">IF(MMULT($B26:$K26,H$20:H$29)&gt;0,1,0)</f>
        <v>1</v>
      </c>
      <c r="I39" s="61" t="n">
        <f aca="false">IF(MMULT($B26:$K26,I$20:I$29)&gt;0,1,0)</f>
        <v>1</v>
      </c>
      <c r="J39" s="61" t="n">
        <f aca="false">IF(MMULT($B26:$K26,J$20:J$29)&gt;0,1,0)</f>
        <v>1</v>
      </c>
      <c r="K39" s="61" t="n">
        <f aca="false">IF(MMULT($B26:$K26,K$20:K$29)&gt;0,1,0)</f>
        <v>1</v>
      </c>
    </row>
    <row r="40" customFormat="false" ht="15" hidden="false" customHeight="false" outlineLevel="0" collapsed="false">
      <c r="A40" s="59" t="s">
        <v>623</v>
      </c>
      <c r="B40" s="61" t="n">
        <f aca="false">IF(MMULT($B27:$K27,B$20:B$29)&gt;0,1,0)</f>
        <v>0</v>
      </c>
      <c r="C40" s="61" t="n">
        <f aca="false">IF(MMULT($B27:$K27,C$20:C$29)&gt;0,1,0)</f>
        <v>0</v>
      </c>
      <c r="D40" s="61" t="n">
        <f aca="false">IF(MMULT($B27:$K27,D$20:D$29)&gt;0,1,0)</f>
        <v>0</v>
      </c>
      <c r="E40" s="61" t="n">
        <f aca="false">IF(MMULT($B27:$K27,E$20:E$29)&gt;0,1,0)</f>
        <v>1</v>
      </c>
      <c r="F40" s="61" t="n">
        <f aca="false">IF(MMULT($B27:$K27,F$20:F$29)&gt;0,1,0)</f>
        <v>0</v>
      </c>
      <c r="G40" s="61" t="n">
        <f aca="false">IF(MMULT($B27:$K27,G$20:G$29)&gt;0,1,0)</f>
        <v>0</v>
      </c>
      <c r="H40" s="61" t="n">
        <f aca="false">IF(MMULT($B27:$K27,H$20:H$29)&gt;0,1,0)</f>
        <v>0</v>
      </c>
      <c r="I40" s="61" t="n">
        <f aca="false">IF(MMULT($B27:$K27,I$20:I$29)&gt;0,1,0)</f>
        <v>1</v>
      </c>
      <c r="J40" s="61" t="n">
        <f aca="false">IF(MMULT($B27:$K27,J$20:J$29)&gt;0,1,0)</f>
        <v>1</v>
      </c>
      <c r="K40" s="61" t="n">
        <f aca="false">IF(MMULT($B27:$K27,K$20:K$29)&gt;0,1,0)</f>
        <v>1</v>
      </c>
    </row>
    <row r="41" customFormat="false" ht="15" hidden="false" customHeight="false" outlineLevel="0" collapsed="false">
      <c r="A41" s="59" t="s">
        <v>624</v>
      </c>
      <c r="B41" s="61" t="n">
        <f aca="false">IF(MMULT($B28:$K28,B$20:B$29)&gt;0,1,0)</f>
        <v>0</v>
      </c>
      <c r="C41" s="61" t="n">
        <f aca="false">IF(MMULT($B28:$K28,C$20:C$29)&gt;0,1,0)</f>
        <v>0</v>
      </c>
      <c r="D41" s="61" t="n">
        <f aca="false">IF(MMULT($B28:$K28,D$20:D$29)&gt;0,1,0)</f>
        <v>0</v>
      </c>
      <c r="E41" s="61" t="n">
        <f aca="false">IF(MMULT($B28:$K28,E$20:E$29)&gt;0,1,0)</f>
        <v>0</v>
      </c>
      <c r="F41" s="61" t="n">
        <f aca="false">IF(MMULT($B28:$K28,F$20:F$29)&gt;0,1,0)</f>
        <v>0</v>
      </c>
      <c r="G41" s="61" t="n">
        <f aca="false">IF(MMULT($B28:$K28,G$20:G$29)&gt;0,1,0)</f>
        <v>0</v>
      </c>
      <c r="H41" s="61" t="n">
        <f aca="false">IF(MMULT($B28:$K28,H$20:H$29)&gt;0,1,0)</f>
        <v>0</v>
      </c>
      <c r="I41" s="61" t="n">
        <f aca="false">IF(MMULT($B28:$K28,I$20:I$29)&gt;0,1,0)</f>
        <v>0</v>
      </c>
      <c r="J41" s="61" t="n">
        <f aca="false">IF(MMULT($B28:$K28,J$20:J$29)&gt;0,1,0)</f>
        <v>1</v>
      </c>
      <c r="K41" s="61" t="n">
        <f aca="false">IF(MMULT($B28:$K28,K$20:K$29)&gt;0,1,0)</f>
        <v>1</v>
      </c>
    </row>
    <row r="42" customFormat="false" ht="15" hidden="false" customHeight="false" outlineLevel="0" collapsed="false">
      <c r="A42" s="59" t="s">
        <v>625</v>
      </c>
      <c r="B42" s="61" t="n">
        <f aca="false">IF(MMULT($B29:$K29,B$20:B$29)&gt;0,1,0)</f>
        <v>0</v>
      </c>
      <c r="C42" s="61" t="n">
        <f aca="false">IF(MMULT($B29:$K29,C$20:C$29)&gt;0,1,0)</f>
        <v>0</v>
      </c>
      <c r="D42" s="61" t="n">
        <f aca="false">IF(MMULT($B29:$K29,D$20:D$29)&gt;0,1,0)</f>
        <v>0</v>
      </c>
      <c r="E42" s="61" t="n">
        <f aca="false">IF(MMULT($B29:$K29,E$20:E$29)&gt;0,1,0)</f>
        <v>0</v>
      </c>
      <c r="F42" s="61" t="n">
        <f aca="false">IF(MMULT($B29:$K29,F$20:F$29)&gt;0,1,0)</f>
        <v>0</v>
      </c>
      <c r="G42" s="61" t="n">
        <f aca="false">IF(MMULT($B29:$K29,G$20:G$29)&gt;0,1,0)</f>
        <v>0</v>
      </c>
      <c r="H42" s="61" t="n">
        <f aca="false">IF(MMULT($B29:$K29,H$20:H$29)&gt;0,1,0)</f>
        <v>0</v>
      </c>
      <c r="I42" s="61" t="n">
        <f aca="false">IF(MMULT($B29:$K29,I$20:I$29)&gt;0,1,0)</f>
        <v>0</v>
      </c>
      <c r="J42" s="61" t="n">
        <f aca="false">IF(MMULT($B29:$K29,J$20:J$29)&gt;0,1,0)</f>
        <v>0</v>
      </c>
      <c r="K42" s="61" t="n">
        <f aca="false">IF(MMULT($B29:$K29,K$20:K$29)&gt;0,1,0)</f>
        <v>1</v>
      </c>
    </row>
    <row r="44" customFormat="false" ht="15" hidden="false" customHeight="false" outlineLevel="0" collapsed="false">
      <c r="A44" s="4" t="s">
        <v>628</v>
      </c>
    </row>
    <row r="45" customFormat="false" ht="15" hidden="false" customHeight="false" outlineLevel="0" collapsed="false">
      <c r="B45" s="6" t="s">
        <v>606</v>
      </c>
      <c r="C45" s="6" t="s">
        <v>607</v>
      </c>
      <c r="D45" s="6" t="s">
        <v>608</v>
      </c>
      <c r="E45" s="6" t="s">
        <v>609</v>
      </c>
      <c r="F45" s="6" t="s">
        <v>610</v>
      </c>
      <c r="G45" s="6" t="s">
        <v>611</v>
      </c>
      <c r="H45" s="6" t="s">
        <v>612</v>
      </c>
      <c r="I45" s="6" t="s">
        <v>613</v>
      </c>
      <c r="J45" s="6" t="s">
        <v>614</v>
      </c>
      <c r="K45" s="6" t="s">
        <v>615</v>
      </c>
    </row>
    <row r="46" customFormat="false" ht="15" hidden="false" customHeight="false" outlineLevel="0" collapsed="false">
      <c r="A46" s="59" t="s">
        <v>616</v>
      </c>
      <c r="B46" s="61" t="n">
        <f aca="false">IF(MMULT($B33:$K33,B$33:B$42)&gt;0,1,0)</f>
        <v>1</v>
      </c>
      <c r="C46" s="61" t="n">
        <f aca="false">IF(MMULT($B33:$K33,C$33:C$42)&gt;0,1,0)</f>
        <v>0</v>
      </c>
      <c r="D46" s="61" t="n">
        <f aca="false">IF(MMULT($B33:$K33,D$33:D$42)&gt;0,1,0)</f>
        <v>1</v>
      </c>
      <c r="E46" s="61" t="n">
        <f aca="false">IF(MMULT($B33:$K33,E$33:E$42)&gt;0,1,0)</f>
        <v>1</v>
      </c>
      <c r="F46" s="61" t="n">
        <f aca="false">IF(MMULT($B33:$K33,F$33:F$42)&gt;0,1,0)</f>
        <v>1</v>
      </c>
      <c r="G46" s="61" t="n">
        <f aca="false">IF(MMULT($B33:$K33,G$33:G$42)&gt;0,1,0)</f>
        <v>1</v>
      </c>
      <c r="H46" s="61" t="n">
        <f aca="false">IF(MMULT($B33:$K33,H$33:H$42)&gt;0,1,0)</f>
        <v>1</v>
      </c>
      <c r="I46" s="61" t="n">
        <f aca="false">IF(MMULT($B33:$K33,I$33:I$42)&gt;0,1,0)</f>
        <v>1</v>
      </c>
      <c r="J46" s="61" t="n">
        <f aca="false">IF(MMULT($B33:$K33,J$33:J$42)&gt;0,1,0)</f>
        <v>1</v>
      </c>
      <c r="K46" s="61" t="n">
        <f aca="false">IF(MMULT($B33:$K33,K$33:K$42)&gt;0,1,0)</f>
        <v>1</v>
      </c>
    </row>
    <row r="47" customFormat="false" ht="15" hidden="false" customHeight="false" outlineLevel="0" collapsed="false">
      <c r="A47" s="59" t="s">
        <v>617</v>
      </c>
      <c r="B47" s="61" t="n">
        <f aca="false">IF(MMULT($B34:$K34,B$33:B$42)&gt;0,1,0)</f>
        <v>0</v>
      </c>
      <c r="C47" s="61" t="n">
        <f aca="false">IF(MMULT($B34:$K34,C$33:C$42)&gt;0,1,0)</f>
        <v>1</v>
      </c>
      <c r="D47" s="61" t="n">
        <f aca="false">IF(MMULT($B34:$K34,D$33:D$42)&gt;0,1,0)</f>
        <v>0</v>
      </c>
      <c r="E47" s="61" t="n">
        <f aca="false">IF(MMULT($B34:$K34,E$33:E$42)&gt;0,1,0)</f>
        <v>0</v>
      </c>
      <c r="F47" s="61" t="n">
        <f aca="false">IF(MMULT($B34:$K34,F$33:F$42)&gt;0,1,0)</f>
        <v>0</v>
      </c>
      <c r="G47" s="61" t="n">
        <f aca="false">IF(MMULT($B34:$K34,G$33:G$42)&gt;0,1,0)</f>
        <v>0</v>
      </c>
      <c r="H47" s="61" t="n">
        <f aca="false">IF(MMULT($B34:$K34,H$33:H$42)&gt;0,1,0)</f>
        <v>0</v>
      </c>
      <c r="I47" s="61" t="n">
        <f aca="false">IF(MMULT($B34:$K34,I$33:I$42)&gt;0,1,0)</f>
        <v>0</v>
      </c>
      <c r="J47" s="61" t="n">
        <f aca="false">IF(MMULT($B34:$K34,J$33:J$42)&gt;0,1,0)</f>
        <v>1</v>
      </c>
      <c r="K47" s="61" t="n">
        <f aca="false">IF(MMULT($B34:$K34,K$33:K$42)&gt;0,1,0)</f>
        <v>1</v>
      </c>
    </row>
    <row r="48" customFormat="false" ht="15" hidden="false" customHeight="false" outlineLevel="0" collapsed="false">
      <c r="A48" s="59" t="s">
        <v>618</v>
      </c>
      <c r="B48" s="61" t="n">
        <f aca="false">IF(MMULT($B35:$K35,B$33:B$42)&gt;0,1,0)</f>
        <v>0</v>
      </c>
      <c r="C48" s="61" t="n">
        <f aca="false">IF(MMULT($B35:$K35,C$33:C$42)&gt;0,1,0)</f>
        <v>0</v>
      </c>
      <c r="D48" s="61" t="n">
        <f aca="false">IF(MMULT($B35:$K35,D$33:D$42)&gt;0,1,0)</f>
        <v>1</v>
      </c>
      <c r="E48" s="61" t="n">
        <f aca="false">IF(MMULT($B35:$K35,E$33:E$42)&gt;0,1,0)</f>
        <v>0</v>
      </c>
      <c r="F48" s="61" t="n">
        <f aca="false">IF(MMULT($B35:$K35,F$33:F$42)&gt;0,1,0)</f>
        <v>0</v>
      </c>
      <c r="G48" s="61" t="n">
        <f aca="false">IF(MMULT($B35:$K35,G$33:G$42)&gt;0,1,0)</f>
        <v>0</v>
      </c>
      <c r="H48" s="61" t="n">
        <f aca="false">IF(MMULT($B35:$K35,H$33:H$42)&gt;0,1,0)</f>
        <v>0</v>
      </c>
      <c r="I48" s="61" t="n">
        <f aca="false">IF(MMULT($B35:$K35,I$33:I$42)&gt;0,1,0)</f>
        <v>0</v>
      </c>
      <c r="J48" s="61" t="n">
        <f aca="false">IF(MMULT($B35:$K35,J$33:J$42)&gt;0,1,0)</f>
        <v>1</v>
      </c>
      <c r="K48" s="61" t="n">
        <f aca="false">IF(MMULT($B35:$K35,K$33:K$42)&gt;0,1,0)</f>
        <v>1</v>
      </c>
    </row>
    <row r="49" customFormat="false" ht="15" hidden="false" customHeight="false" outlineLevel="0" collapsed="false">
      <c r="A49" s="59" t="s">
        <v>619</v>
      </c>
      <c r="B49" s="61" t="n">
        <f aca="false">IF(MMULT($B36:$K36,B$33:B$42)&gt;0,1,0)</f>
        <v>0</v>
      </c>
      <c r="C49" s="61" t="n">
        <f aca="false">IF(MMULT($B36:$K36,C$33:C$42)&gt;0,1,0)</f>
        <v>0</v>
      </c>
      <c r="D49" s="61" t="n">
        <f aca="false">IF(MMULT($B36:$K36,D$33:D$42)&gt;0,1,0)</f>
        <v>0</v>
      </c>
      <c r="E49" s="61" t="n">
        <f aca="false">IF(MMULT($B36:$K36,E$33:E$42)&gt;0,1,0)</f>
        <v>1</v>
      </c>
      <c r="F49" s="61" t="n">
        <f aca="false">IF(MMULT($B36:$K36,F$33:F$42)&gt;0,1,0)</f>
        <v>0</v>
      </c>
      <c r="G49" s="61" t="n">
        <f aca="false">IF(MMULT($B36:$K36,G$33:G$42)&gt;0,1,0)</f>
        <v>0</v>
      </c>
      <c r="H49" s="61" t="n">
        <f aca="false">IF(MMULT($B36:$K36,H$33:H$42)&gt;0,1,0)</f>
        <v>0</v>
      </c>
      <c r="I49" s="61" t="n">
        <f aca="false">IF(MMULT($B36:$K36,I$33:I$42)&gt;0,1,0)</f>
        <v>0</v>
      </c>
      <c r="J49" s="61" t="n">
        <f aca="false">IF(MMULT($B36:$K36,J$33:J$42)&gt;0,1,0)</f>
        <v>1</v>
      </c>
      <c r="K49" s="61" t="n">
        <f aca="false">IF(MMULT($B36:$K36,K$33:K$42)&gt;0,1,0)</f>
        <v>1</v>
      </c>
    </row>
    <row r="50" customFormat="false" ht="15" hidden="false" customHeight="false" outlineLevel="0" collapsed="false">
      <c r="A50" s="59" t="s">
        <v>620</v>
      </c>
      <c r="B50" s="61" t="n">
        <f aca="false">IF(MMULT($B37:$K37,B$33:B$42)&gt;0,1,0)</f>
        <v>0</v>
      </c>
      <c r="C50" s="61" t="n">
        <f aca="false">IF(MMULT($B37:$K37,C$33:C$42)&gt;0,1,0)</f>
        <v>0</v>
      </c>
      <c r="D50" s="61" t="n">
        <f aca="false">IF(MMULT($B37:$K37,D$33:D$42)&gt;0,1,0)</f>
        <v>0</v>
      </c>
      <c r="E50" s="61" t="n">
        <f aca="false">IF(MMULT($B37:$K37,E$33:E$42)&gt;0,1,0)</f>
        <v>0</v>
      </c>
      <c r="F50" s="61" t="n">
        <f aca="false">IF(MMULT($B37:$K37,F$33:F$42)&gt;0,1,0)</f>
        <v>1</v>
      </c>
      <c r="G50" s="61" t="n">
        <f aca="false">IF(MMULT($B37:$K37,G$33:G$42)&gt;0,1,0)</f>
        <v>0</v>
      </c>
      <c r="H50" s="61" t="n">
        <f aca="false">IF(MMULT($B37:$K37,H$33:H$42)&gt;0,1,0)</f>
        <v>0</v>
      </c>
      <c r="I50" s="61" t="n">
        <f aca="false">IF(MMULT($B37:$K37,I$33:I$42)&gt;0,1,0)</f>
        <v>0</v>
      </c>
      <c r="J50" s="61" t="n">
        <f aca="false">IF(MMULT($B37:$K37,J$33:J$42)&gt;0,1,0)</f>
        <v>1</v>
      </c>
      <c r="K50" s="61" t="n">
        <f aca="false">IF(MMULT($B37:$K37,K$33:K$42)&gt;0,1,0)</f>
        <v>1</v>
      </c>
    </row>
    <row r="51" customFormat="false" ht="15" hidden="false" customHeight="false" outlineLevel="0" collapsed="false">
      <c r="A51" s="59" t="s">
        <v>621</v>
      </c>
      <c r="B51" s="61" t="n">
        <f aca="false">IF(MMULT($B38:$K38,B$33:B$42)&gt;0,1,0)</f>
        <v>0</v>
      </c>
      <c r="C51" s="61" t="n">
        <f aca="false">IF(MMULT($B38:$K38,C$33:C$42)&gt;0,1,0)</f>
        <v>0</v>
      </c>
      <c r="D51" s="61" t="n">
        <f aca="false">IF(MMULT($B38:$K38,D$33:D$42)&gt;0,1,0)</f>
        <v>0</v>
      </c>
      <c r="E51" s="61" t="n">
        <f aca="false">IF(MMULT($B38:$K38,E$33:E$42)&gt;0,1,0)</f>
        <v>1</v>
      </c>
      <c r="F51" s="61" t="n">
        <f aca="false">IF(MMULT($B38:$K38,F$33:F$42)&gt;0,1,0)</f>
        <v>0</v>
      </c>
      <c r="G51" s="61" t="n">
        <f aca="false">IF(MMULT($B38:$K38,G$33:G$42)&gt;0,1,0)</f>
        <v>1</v>
      </c>
      <c r="H51" s="61" t="n">
        <f aca="false">IF(MMULT($B38:$K38,H$33:H$42)&gt;0,1,0)</f>
        <v>0</v>
      </c>
      <c r="I51" s="61" t="n">
        <f aca="false">IF(MMULT($B38:$K38,I$33:I$42)&gt;0,1,0)</f>
        <v>1</v>
      </c>
      <c r="J51" s="61" t="n">
        <f aca="false">IF(MMULT($B38:$K38,J$33:J$42)&gt;0,1,0)</f>
        <v>1</v>
      </c>
      <c r="K51" s="61" t="n">
        <f aca="false">IF(MMULT($B38:$K38,K$33:K$42)&gt;0,1,0)</f>
        <v>1</v>
      </c>
    </row>
    <row r="52" customFormat="false" ht="15" hidden="false" customHeight="false" outlineLevel="0" collapsed="false">
      <c r="A52" s="59" t="s">
        <v>622</v>
      </c>
      <c r="B52" s="61" t="n">
        <f aca="false">IF(MMULT($B39:$K39,B$33:B$42)&gt;0,1,0)</f>
        <v>0</v>
      </c>
      <c r="C52" s="61" t="n">
        <f aca="false">IF(MMULT($B39:$K39,C$33:C$42)&gt;0,1,0)</f>
        <v>0</v>
      </c>
      <c r="D52" s="61" t="n">
        <f aca="false">IF(MMULT($B39:$K39,D$33:D$42)&gt;0,1,0)</f>
        <v>0</v>
      </c>
      <c r="E52" s="61" t="n">
        <f aca="false">IF(MMULT($B39:$K39,E$33:E$42)&gt;0,1,0)</f>
        <v>1</v>
      </c>
      <c r="F52" s="61" t="n">
        <f aca="false">IF(MMULT($B39:$K39,F$33:F$42)&gt;0,1,0)</f>
        <v>0</v>
      </c>
      <c r="G52" s="61" t="n">
        <f aca="false">IF(MMULT($B39:$K39,G$33:G$42)&gt;0,1,0)</f>
        <v>0</v>
      </c>
      <c r="H52" s="61" t="n">
        <f aca="false">IF(MMULT($B39:$K39,H$33:H$42)&gt;0,1,0)</f>
        <v>1</v>
      </c>
      <c r="I52" s="61" t="n">
        <f aca="false">IF(MMULT($B39:$K39,I$33:I$42)&gt;0,1,0)</f>
        <v>1</v>
      </c>
      <c r="J52" s="61" t="n">
        <f aca="false">IF(MMULT($B39:$K39,J$33:J$42)&gt;0,1,0)</f>
        <v>1</v>
      </c>
      <c r="K52" s="61" t="n">
        <f aca="false">IF(MMULT($B39:$K39,K$33:K$42)&gt;0,1,0)</f>
        <v>1</v>
      </c>
    </row>
    <row r="53" customFormat="false" ht="15" hidden="false" customHeight="false" outlineLevel="0" collapsed="false">
      <c r="A53" s="59" t="s">
        <v>623</v>
      </c>
      <c r="B53" s="61" t="n">
        <f aca="false">IF(MMULT($B40:$K40,B$33:B$42)&gt;0,1,0)</f>
        <v>0</v>
      </c>
      <c r="C53" s="61" t="n">
        <f aca="false">IF(MMULT($B40:$K40,C$33:C$42)&gt;0,1,0)</f>
        <v>0</v>
      </c>
      <c r="D53" s="61" t="n">
        <f aca="false">IF(MMULT($B40:$K40,D$33:D$42)&gt;0,1,0)</f>
        <v>0</v>
      </c>
      <c r="E53" s="61" t="n">
        <f aca="false">IF(MMULT($B40:$K40,E$33:E$42)&gt;0,1,0)</f>
        <v>1</v>
      </c>
      <c r="F53" s="61" t="n">
        <f aca="false">IF(MMULT($B40:$K40,F$33:F$42)&gt;0,1,0)</f>
        <v>0</v>
      </c>
      <c r="G53" s="61" t="n">
        <f aca="false">IF(MMULT($B40:$K40,G$33:G$42)&gt;0,1,0)</f>
        <v>0</v>
      </c>
      <c r="H53" s="61" t="n">
        <f aca="false">IF(MMULT($B40:$K40,H$33:H$42)&gt;0,1,0)</f>
        <v>0</v>
      </c>
      <c r="I53" s="61" t="n">
        <f aca="false">IF(MMULT($B40:$K40,I$33:I$42)&gt;0,1,0)</f>
        <v>1</v>
      </c>
      <c r="J53" s="61" t="n">
        <f aca="false">IF(MMULT($B40:$K40,J$33:J$42)&gt;0,1,0)</f>
        <v>1</v>
      </c>
      <c r="K53" s="61" t="n">
        <f aca="false">IF(MMULT($B40:$K40,K$33:K$42)&gt;0,1,0)</f>
        <v>1</v>
      </c>
    </row>
    <row r="54" customFormat="false" ht="15" hidden="false" customHeight="false" outlineLevel="0" collapsed="false">
      <c r="A54" s="59" t="s">
        <v>624</v>
      </c>
      <c r="B54" s="61" t="n">
        <f aca="false">IF(MMULT($B41:$K41,B$33:B$42)&gt;0,1,0)</f>
        <v>0</v>
      </c>
      <c r="C54" s="61" t="n">
        <f aca="false">IF(MMULT($B41:$K41,C$33:C$42)&gt;0,1,0)</f>
        <v>0</v>
      </c>
      <c r="D54" s="61" t="n">
        <f aca="false">IF(MMULT($B41:$K41,D$33:D$42)&gt;0,1,0)</f>
        <v>0</v>
      </c>
      <c r="E54" s="61" t="n">
        <f aca="false">IF(MMULT($B41:$K41,E$33:E$42)&gt;0,1,0)</f>
        <v>0</v>
      </c>
      <c r="F54" s="61" t="n">
        <f aca="false">IF(MMULT($B41:$K41,F$33:F$42)&gt;0,1,0)</f>
        <v>0</v>
      </c>
      <c r="G54" s="61" t="n">
        <f aca="false">IF(MMULT($B41:$K41,G$33:G$42)&gt;0,1,0)</f>
        <v>0</v>
      </c>
      <c r="H54" s="61" t="n">
        <f aca="false">IF(MMULT($B41:$K41,H$33:H$42)&gt;0,1,0)</f>
        <v>0</v>
      </c>
      <c r="I54" s="61" t="n">
        <f aca="false">IF(MMULT($B41:$K41,I$33:I$42)&gt;0,1,0)</f>
        <v>0</v>
      </c>
      <c r="J54" s="61" t="n">
        <f aca="false">IF(MMULT($B41:$K41,J$33:J$42)&gt;0,1,0)</f>
        <v>1</v>
      </c>
      <c r="K54" s="61" t="n">
        <f aca="false">IF(MMULT($B41:$K41,K$33:K$42)&gt;0,1,0)</f>
        <v>1</v>
      </c>
    </row>
    <row r="55" customFormat="false" ht="15" hidden="false" customHeight="false" outlineLevel="0" collapsed="false">
      <c r="A55" s="59" t="s">
        <v>625</v>
      </c>
      <c r="B55" s="61" t="n">
        <f aca="false">IF(MMULT($B42:$K42,B$33:B$42)&gt;0,1,0)</f>
        <v>0</v>
      </c>
      <c r="C55" s="61" t="n">
        <f aca="false">IF(MMULT($B42:$K42,C$33:C$42)&gt;0,1,0)</f>
        <v>0</v>
      </c>
      <c r="D55" s="61" t="n">
        <f aca="false">IF(MMULT($B42:$K42,D$33:D$42)&gt;0,1,0)</f>
        <v>0</v>
      </c>
      <c r="E55" s="61" t="n">
        <f aca="false">IF(MMULT($B42:$K42,E$33:E$42)&gt;0,1,0)</f>
        <v>0</v>
      </c>
      <c r="F55" s="61" t="n">
        <f aca="false">IF(MMULT($B42:$K42,F$33:F$42)&gt;0,1,0)</f>
        <v>0</v>
      </c>
      <c r="G55" s="61" t="n">
        <f aca="false">IF(MMULT($B42:$K42,G$33:G$42)&gt;0,1,0)</f>
        <v>0</v>
      </c>
      <c r="H55" s="61" t="n">
        <f aca="false">IF(MMULT($B42:$K42,H$33:H$42)&gt;0,1,0)</f>
        <v>0</v>
      </c>
      <c r="I55" s="61" t="n">
        <f aca="false">IF(MMULT($B42:$K42,I$33:I$42)&gt;0,1,0)</f>
        <v>0</v>
      </c>
      <c r="J55" s="61" t="n">
        <f aca="false">IF(MMULT($B42:$K42,J$33:J$42)&gt;0,1,0)</f>
        <v>0</v>
      </c>
      <c r="K55" s="61" t="n">
        <f aca="false">IF(MMULT($B42:$K42,K$33:K$42)&gt;0,1,0)</f>
        <v>1</v>
      </c>
    </row>
    <row r="57" customFormat="false" ht="15" hidden="false" customHeight="false" outlineLevel="0" collapsed="false">
      <c r="A57" s="4" t="s">
        <v>629</v>
      </c>
    </row>
    <row r="58" customFormat="false" ht="15" hidden="false" customHeight="false" outlineLevel="0" collapsed="false">
      <c r="B58" s="6" t="s">
        <v>606</v>
      </c>
      <c r="C58" s="6" t="s">
        <v>607</v>
      </c>
      <c r="D58" s="6" t="s">
        <v>608</v>
      </c>
      <c r="E58" s="6" t="s">
        <v>609</v>
      </c>
      <c r="F58" s="6" t="s">
        <v>610</v>
      </c>
      <c r="G58" s="6" t="s">
        <v>611</v>
      </c>
      <c r="H58" s="6" t="s">
        <v>612</v>
      </c>
      <c r="I58" s="6" t="s">
        <v>613</v>
      </c>
      <c r="J58" s="6" t="s">
        <v>614</v>
      </c>
      <c r="K58" s="6" t="s">
        <v>615</v>
      </c>
    </row>
    <row r="59" customFormat="false" ht="15" hidden="false" customHeight="false" outlineLevel="0" collapsed="false">
      <c r="A59" s="59" t="s">
        <v>616</v>
      </c>
      <c r="B59" s="61" t="n">
        <f aca="false">IF(MMULT($B46:$K46,B$46:B$55)&gt;0,1,0)</f>
        <v>1</v>
      </c>
      <c r="C59" s="61" t="n">
        <f aca="false">IF(MMULT($B46:$K46,C$46:C$55)&gt;0,1,0)</f>
        <v>0</v>
      </c>
      <c r="D59" s="61" t="n">
        <f aca="false">IF(MMULT($B46:$K46,D$46:D$55)&gt;0,1,0)</f>
        <v>1</v>
      </c>
      <c r="E59" s="61" t="n">
        <f aca="false">IF(MMULT($B46:$K46,E$46:E$55)&gt;0,1,0)</f>
        <v>1</v>
      </c>
      <c r="F59" s="61" t="n">
        <f aca="false">IF(MMULT($B46:$K46,F$46:F$55)&gt;0,1,0)</f>
        <v>1</v>
      </c>
      <c r="G59" s="61" t="n">
        <f aca="false">IF(MMULT($B46:$K46,G$46:G$55)&gt;0,1,0)</f>
        <v>1</v>
      </c>
      <c r="H59" s="61" t="n">
        <f aca="false">IF(MMULT($B46:$K46,H$46:H$55)&gt;0,1,0)</f>
        <v>1</v>
      </c>
      <c r="I59" s="61" t="n">
        <f aca="false">IF(MMULT($B46:$K46,I$46:I$55)&gt;0,1,0)</f>
        <v>1</v>
      </c>
      <c r="J59" s="61" t="n">
        <f aca="false">IF(MMULT($B46:$K46,J$46:J$55)&gt;0,1,0)</f>
        <v>1</v>
      </c>
      <c r="K59" s="61" t="n">
        <f aca="false">IF(MMULT($B46:$K46,K$46:K$55)&gt;0,1,0)</f>
        <v>1</v>
      </c>
    </row>
    <row r="60" customFormat="false" ht="15" hidden="false" customHeight="false" outlineLevel="0" collapsed="false">
      <c r="A60" s="59" t="s">
        <v>617</v>
      </c>
      <c r="B60" s="61" t="n">
        <f aca="false">IF(MMULT($B47:$K47,B$46:B$55)&gt;0,1,0)</f>
        <v>0</v>
      </c>
      <c r="C60" s="61" t="n">
        <f aca="false">IF(MMULT($B47:$K47,C$46:C$55)&gt;0,1,0)</f>
        <v>1</v>
      </c>
      <c r="D60" s="61" t="n">
        <f aca="false">IF(MMULT($B47:$K47,D$46:D$55)&gt;0,1,0)</f>
        <v>0</v>
      </c>
      <c r="E60" s="61" t="n">
        <f aca="false">IF(MMULT($B47:$K47,E$46:E$55)&gt;0,1,0)</f>
        <v>0</v>
      </c>
      <c r="F60" s="61" t="n">
        <f aca="false">IF(MMULT($B47:$K47,F$46:F$55)&gt;0,1,0)</f>
        <v>0</v>
      </c>
      <c r="G60" s="61" t="n">
        <f aca="false">IF(MMULT($B47:$K47,G$46:G$55)&gt;0,1,0)</f>
        <v>0</v>
      </c>
      <c r="H60" s="61" t="n">
        <f aca="false">IF(MMULT($B47:$K47,H$46:H$55)&gt;0,1,0)</f>
        <v>0</v>
      </c>
      <c r="I60" s="61" t="n">
        <f aca="false">IF(MMULT($B47:$K47,I$46:I$55)&gt;0,1,0)</f>
        <v>0</v>
      </c>
      <c r="J60" s="61" t="n">
        <f aca="false">IF(MMULT($B47:$K47,J$46:J$55)&gt;0,1,0)</f>
        <v>1</v>
      </c>
      <c r="K60" s="61" t="n">
        <f aca="false">IF(MMULT($B47:$K47,K$46:K$55)&gt;0,1,0)</f>
        <v>1</v>
      </c>
    </row>
    <row r="61" customFormat="false" ht="15" hidden="false" customHeight="false" outlineLevel="0" collapsed="false">
      <c r="A61" s="59" t="s">
        <v>618</v>
      </c>
      <c r="B61" s="61" t="n">
        <f aca="false">IF(MMULT($B48:$K48,B$46:B$55)&gt;0,1,0)</f>
        <v>0</v>
      </c>
      <c r="C61" s="61" t="n">
        <f aca="false">IF(MMULT($B48:$K48,C$46:C$55)&gt;0,1,0)</f>
        <v>0</v>
      </c>
      <c r="D61" s="61" t="n">
        <f aca="false">IF(MMULT($B48:$K48,D$46:D$55)&gt;0,1,0)</f>
        <v>1</v>
      </c>
      <c r="E61" s="61" t="n">
        <f aca="false">IF(MMULT($B48:$K48,E$46:E$55)&gt;0,1,0)</f>
        <v>0</v>
      </c>
      <c r="F61" s="61" t="n">
        <f aca="false">IF(MMULT($B48:$K48,F$46:F$55)&gt;0,1,0)</f>
        <v>0</v>
      </c>
      <c r="G61" s="61" t="n">
        <f aca="false">IF(MMULT($B48:$K48,G$46:G$55)&gt;0,1,0)</f>
        <v>0</v>
      </c>
      <c r="H61" s="61" t="n">
        <f aca="false">IF(MMULT($B48:$K48,H$46:H$55)&gt;0,1,0)</f>
        <v>0</v>
      </c>
      <c r="I61" s="61" t="n">
        <f aca="false">IF(MMULT($B48:$K48,I$46:I$55)&gt;0,1,0)</f>
        <v>0</v>
      </c>
      <c r="J61" s="61" t="n">
        <f aca="false">IF(MMULT($B48:$K48,J$46:J$55)&gt;0,1,0)</f>
        <v>1</v>
      </c>
      <c r="K61" s="61" t="n">
        <f aca="false">IF(MMULT($B48:$K48,K$46:K$55)&gt;0,1,0)</f>
        <v>1</v>
      </c>
    </row>
    <row r="62" customFormat="false" ht="15" hidden="false" customHeight="false" outlineLevel="0" collapsed="false">
      <c r="A62" s="59" t="s">
        <v>619</v>
      </c>
      <c r="B62" s="61" t="n">
        <f aca="false">IF(MMULT($B49:$K49,B$46:B$55)&gt;0,1,0)</f>
        <v>0</v>
      </c>
      <c r="C62" s="61" t="n">
        <f aca="false">IF(MMULT($B49:$K49,C$46:C$55)&gt;0,1,0)</f>
        <v>0</v>
      </c>
      <c r="D62" s="61" t="n">
        <f aca="false">IF(MMULT($B49:$K49,D$46:D$55)&gt;0,1,0)</f>
        <v>0</v>
      </c>
      <c r="E62" s="61" t="n">
        <f aca="false">IF(MMULT($B49:$K49,E$46:E$55)&gt;0,1,0)</f>
        <v>1</v>
      </c>
      <c r="F62" s="61" t="n">
        <f aca="false">IF(MMULT($B49:$K49,F$46:F$55)&gt;0,1,0)</f>
        <v>0</v>
      </c>
      <c r="G62" s="61" t="n">
        <f aca="false">IF(MMULT($B49:$K49,G$46:G$55)&gt;0,1,0)</f>
        <v>0</v>
      </c>
      <c r="H62" s="61" t="n">
        <f aca="false">IF(MMULT($B49:$K49,H$46:H$55)&gt;0,1,0)</f>
        <v>0</v>
      </c>
      <c r="I62" s="61" t="n">
        <f aca="false">IF(MMULT($B49:$K49,I$46:I$55)&gt;0,1,0)</f>
        <v>0</v>
      </c>
      <c r="J62" s="61" t="n">
        <f aca="false">IF(MMULT($B49:$K49,J$46:J$55)&gt;0,1,0)</f>
        <v>1</v>
      </c>
      <c r="K62" s="61" t="n">
        <f aca="false">IF(MMULT($B49:$K49,K$46:K$55)&gt;0,1,0)</f>
        <v>1</v>
      </c>
    </row>
    <row r="63" customFormat="false" ht="15" hidden="false" customHeight="false" outlineLevel="0" collapsed="false">
      <c r="A63" s="59" t="s">
        <v>620</v>
      </c>
      <c r="B63" s="61" t="n">
        <f aca="false">IF(MMULT($B50:$K50,B$46:B$55)&gt;0,1,0)</f>
        <v>0</v>
      </c>
      <c r="C63" s="61" t="n">
        <f aca="false">IF(MMULT($B50:$K50,C$46:C$55)&gt;0,1,0)</f>
        <v>0</v>
      </c>
      <c r="D63" s="61" t="n">
        <f aca="false">IF(MMULT($B50:$K50,D$46:D$55)&gt;0,1,0)</f>
        <v>0</v>
      </c>
      <c r="E63" s="61" t="n">
        <f aca="false">IF(MMULT($B50:$K50,E$46:E$55)&gt;0,1,0)</f>
        <v>0</v>
      </c>
      <c r="F63" s="61" t="n">
        <f aca="false">IF(MMULT($B50:$K50,F$46:F$55)&gt;0,1,0)</f>
        <v>1</v>
      </c>
      <c r="G63" s="61" t="n">
        <f aca="false">IF(MMULT($B50:$K50,G$46:G$55)&gt;0,1,0)</f>
        <v>0</v>
      </c>
      <c r="H63" s="61" t="n">
        <f aca="false">IF(MMULT($B50:$K50,H$46:H$55)&gt;0,1,0)</f>
        <v>0</v>
      </c>
      <c r="I63" s="61" t="n">
        <f aca="false">IF(MMULT($B50:$K50,I$46:I$55)&gt;0,1,0)</f>
        <v>0</v>
      </c>
      <c r="J63" s="61" t="n">
        <f aca="false">IF(MMULT($B50:$K50,J$46:J$55)&gt;0,1,0)</f>
        <v>1</v>
      </c>
      <c r="K63" s="61" t="n">
        <f aca="false">IF(MMULT($B50:$K50,K$46:K$55)&gt;0,1,0)</f>
        <v>1</v>
      </c>
    </row>
    <row r="64" customFormat="false" ht="15" hidden="false" customHeight="false" outlineLevel="0" collapsed="false">
      <c r="A64" s="59" t="s">
        <v>621</v>
      </c>
      <c r="B64" s="61" t="n">
        <f aca="false">IF(MMULT($B51:$K51,B$46:B$55)&gt;0,1,0)</f>
        <v>0</v>
      </c>
      <c r="C64" s="61" t="n">
        <f aca="false">IF(MMULT($B51:$K51,C$46:C$55)&gt;0,1,0)</f>
        <v>0</v>
      </c>
      <c r="D64" s="61" t="n">
        <f aca="false">IF(MMULT($B51:$K51,D$46:D$55)&gt;0,1,0)</f>
        <v>0</v>
      </c>
      <c r="E64" s="61" t="n">
        <f aca="false">IF(MMULT($B51:$K51,E$46:E$55)&gt;0,1,0)</f>
        <v>1</v>
      </c>
      <c r="F64" s="61" t="n">
        <f aca="false">IF(MMULT($B51:$K51,F$46:F$55)&gt;0,1,0)</f>
        <v>0</v>
      </c>
      <c r="G64" s="61" t="n">
        <f aca="false">IF(MMULT($B51:$K51,G$46:G$55)&gt;0,1,0)</f>
        <v>1</v>
      </c>
      <c r="H64" s="61" t="n">
        <f aca="false">IF(MMULT($B51:$K51,H$46:H$55)&gt;0,1,0)</f>
        <v>0</v>
      </c>
      <c r="I64" s="61" t="n">
        <f aca="false">IF(MMULT($B51:$K51,I$46:I$55)&gt;0,1,0)</f>
        <v>1</v>
      </c>
      <c r="J64" s="61" t="n">
        <f aca="false">IF(MMULT($B51:$K51,J$46:J$55)&gt;0,1,0)</f>
        <v>1</v>
      </c>
      <c r="K64" s="61" t="n">
        <f aca="false">IF(MMULT($B51:$K51,K$46:K$55)&gt;0,1,0)</f>
        <v>1</v>
      </c>
    </row>
    <row r="65" customFormat="false" ht="15" hidden="false" customHeight="false" outlineLevel="0" collapsed="false">
      <c r="A65" s="59" t="s">
        <v>622</v>
      </c>
      <c r="B65" s="61" t="n">
        <f aca="false">IF(MMULT($B52:$K52,B$46:B$55)&gt;0,1,0)</f>
        <v>0</v>
      </c>
      <c r="C65" s="61" t="n">
        <f aca="false">IF(MMULT($B52:$K52,C$46:C$55)&gt;0,1,0)</f>
        <v>0</v>
      </c>
      <c r="D65" s="61" t="n">
        <f aca="false">IF(MMULT($B52:$K52,D$46:D$55)&gt;0,1,0)</f>
        <v>0</v>
      </c>
      <c r="E65" s="61" t="n">
        <f aca="false">IF(MMULT($B52:$K52,E$46:E$55)&gt;0,1,0)</f>
        <v>1</v>
      </c>
      <c r="F65" s="61" t="n">
        <f aca="false">IF(MMULT($B52:$K52,F$46:F$55)&gt;0,1,0)</f>
        <v>0</v>
      </c>
      <c r="G65" s="61" t="n">
        <f aca="false">IF(MMULT($B52:$K52,G$46:G$55)&gt;0,1,0)</f>
        <v>0</v>
      </c>
      <c r="H65" s="61" t="n">
        <f aca="false">IF(MMULT($B52:$K52,H$46:H$55)&gt;0,1,0)</f>
        <v>1</v>
      </c>
      <c r="I65" s="61" t="n">
        <f aca="false">IF(MMULT($B52:$K52,I$46:I$55)&gt;0,1,0)</f>
        <v>1</v>
      </c>
      <c r="J65" s="61" t="n">
        <f aca="false">IF(MMULT($B52:$K52,J$46:J$55)&gt;0,1,0)</f>
        <v>1</v>
      </c>
      <c r="K65" s="61" t="n">
        <f aca="false">IF(MMULT($B52:$K52,K$46:K$55)&gt;0,1,0)</f>
        <v>1</v>
      </c>
    </row>
    <row r="66" customFormat="false" ht="15" hidden="false" customHeight="false" outlineLevel="0" collapsed="false">
      <c r="A66" s="59" t="s">
        <v>623</v>
      </c>
      <c r="B66" s="61" t="n">
        <f aca="false">IF(MMULT($B53:$K53,B$46:B$55)&gt;0,1,0)</f>
        <v>0</v>
      </c>
      <c r="C66" s="61" t="n">
        <f aca="false">IF(MMULT($B53:$K53,C$46:C$55)&gt;0,1,0)</f>
        <v>0</v>
      </c>
      <c r="D66" s="61" t="n">
        <f aca="false">IF(MMULT($B53:$K53,D$46:D$55)&gt;0,1,0)</f>
        <v>0</v>
      </c>
      <c r="E66" s="61" t="n">
        <f aca="false">IF(MMULT($B53:$K53,E$46:E$55)&gt;0,1,0)</f>
        <v>1</v>
      </c>
      <c r="F66" s="61" t="n">
        <f aca="false">IF(MMULT($B53:$K53,F$46:F$55)&gt;0,1,0)</f>
        <v>0</v>
      </c>
      <c r="G66" s="61" t="n">
        <f aca="false">IF(MMULT($B53:$K53,G$46:G$55)&gt;0,1,0)</f>
        <v>0</v>
      </c>
      <c r="H66" s="61" t="n">
        <f aca="false">IF(MMULT($B53:$K53,H$46:H$55)&gt;0,1,0)</f>
        <v>0</v>
      </c>
      <c r="I66" s="61" t="n">
        <f aca="false">IF(MMULT($B53:$K53,I$46:I$55)&gt;0,1,0)</f>
        <v>1</v>
      </c>
      <c r="J66" s="61" t="n">
        <f aca="false">IF(MMULT($B53:$K53,J$46:J$55)&gt;0,1,0)</f>
        <v>1</v>
      </c>
      <c r="K66" s="61" t="n">
        <f aca="false">IF(MMULT($B53:$K53,K$46:K$55)&gt;0,1,0)</f>
        <v>1</v>
      </c>
    </row>
    <row r="67" customFormat="false" ht="15" hidden="false" customHeight="false" outlineLevel="0" collapsed="false">
      <c r="A67" s="59" t="s">
        <v>624</v>
      </c>
      <c r="B67" s="61" t="n">
        <f aca="false">IF(MMULT($B54:$K54,B$46:B$55)&gt;0,1,0)</f>
        <v>0</v>
      </c>
      <c r="C67" s="61" t="n">
        <f aca="false">IF(MMULT($B54:$K54,C$46:C$55)&gt;0,1,0)</f>
        <v>0</v>
      </c>
      <c r="D67" s="61" t="n">
        <f aca="false">IF(MMULT($B54:$K54,D$46:D$55)&gt;0,1,0)</f>
        <v>0</v>
      </c>
      <c r="E67" s="61" t="n">
        <f aca="false">IF(MMULT($B54:$K54,E$46:E$55)&gt;0,1,0)</f>
        <v>0</v>
      </c>
      <c r="F67" s="61" t="n">
        <f aca="false">IF(MMULT($B54:$K54,F$46:F$55)&gt;0,1,0)</f>
        <v>0</v>
      </c>
      <c r="G67" s="61" t="n">
        <f aca="false">IF(MMULT($B54:$K54,G$46:G$55)&gt;0,1,0)</f>
        <v>0</v>
      </c>
      <c r="H67" s="61" t="n">
        <f aca="false">IF(MMULT($B54:$K54,H$46:H$55)&gt;0,1,0)</f>
        <v>0</v>
      </c>
      <c r="I67" s="61" t="n">
        <f aca="false">IF(MMULT($B54:$K54,I$46:I$55)&gt;0,1,0)</f>
        <v>0</v>
      </c>
      <c r="J67" s="61" t="n">
        <f aca="false">IF(MMULT($B54:$K54,J$46:J$55)&gt;0,1,0)</f>
        <v>1</v>
      </c>
      <c r="K67" s="61" t="n">
        <f aca="false">IF(MMULT($B54:$K54,K$46:K$55)&gt;0,1,0)</f>
        <v>1</v>
      </c>
    </row>
    <row r="68" customFormat="false" ht="15" hidden="false" customHeight="false" outlineLevel="0" collapsed="false">
      <c r="A68" s="59" t="s">
        <v>625</v>
      </c>
      <c r="B68" s="61" t="n">
        <f aca="false">IF(MMULT($B55:$K55,B$46:B$55)&gt;0,1,0)</f>
        <v>0</v>
      </c>
      <c r="C68" s="61" t="n">
        <f aca="false">IF(MMULT($B55:$K55,C$46:C$55)&gt;0,1,0)</f>
        <v>0</v>
      </c>
      <c r="D68" s="61" t="n">
        <f aca="false">IF(MMULT($B55:$K55,D$46:D$55)&gt;0,1,0)</f>
        <v>0</v>
      </c>
      <c r="E68" s="61" t="n">
        <f aca="false">IF(MMULT($B55:$K55,E$46:E$55)&gt;0,1,0)</f>
        <v>0</v>
      </c>
      <c r="F68" s="61" t="n">
        <f aca="false">IF(MMULT($B55:$K55,F$46:F$55)&gt;0,1,0)</f>
        <v>0</v>
      </c>
      <c r="G68" s="61" t="n">
        <f aca="false">IF(MMULT($B55:$K55,G$46:G$55)&gt;0,1,0)</f>
        <v>0</v>
      </c>
      <c r="H68" s="61" t="n">
        <f aca="false">IF(MMULT($B55:$K55,H$46:H$55)&gt;0,1,0)</f>
        <v>0</v>
      </c>
      <c r="I68" s="61" t="n">
        <f aca="false">IF(MMULT($B55:$K55,I$46:I$55)&gt;0,1,0)</f>
        <v>0</v>
      </c>
      <c r="J68" s="61" t="n">
        <f aca="false">IF(MMULT($B55:$K55,J$46:J$55)&gt;0,1,0)</f>
        <v>0</v>
      </c>
      <c r="K68" s="61" t="n">
        <f aca="false">IF(MMULT($B55:$K55,K$46:K$55)&gt;0,1,0)</f>
        <v>1</v>
      </c>
    </row>
    <row r="70" customFormat="false" ht="23.85" hidden="false" customHeight="false" outlineLevel="0" collapsed="false">
      <c r="A70" s="4" t="s">
        <v>630</v>
      </c>
      <c r="L70" s="6" t="s">
        <v>631</v>
      </c>
      <c r="M70" s="6" t="s">
        <v>632</v>
      </c>
      <c r="N70" s="6" t="s">
        <v>633</v>
      </c>
    </row>
    <row r="71" customFormat="false" ht="15" hidden="false" customHeight="false" outlineLevel="0" collapsed="false">
      <c r="A71" s="12" t="s">
        <v>616</v>
      </c>
      <c r="L71" s="26" t="n">
        <f aca="false">SUM(B59:K59)</f>
        <v>9</v>
      </c>
      <c r="M71" s="26" t="n">
        <f aca="false">SUM(B59:B68)</f>
        <v>1</v>
      </c>
      <c r="N71" s="45" t="str">
        <f aca="false">IF(L71&gt;5,IF(M71&gt;5,"Linkage","Driver"),IF(M71&gt;5,"Dependent","Autonomous"))</f>
        <v>Driver</v>
      </c>
    </row>
    <row r="72" customFormat="false" ht="15" hidden="false" customHeight="false" outlineLevel="0" collapsed="false">
      <c r="A72" s="12" t="s">
        <v>617</v>
      </c>
      <c r="L72" s="26" t="n">
        <f aca="false">SUM(B60:K60)</f>
        <v>3</v>
      </c>
      <c r="M72" s="26" t="n">
        <f aca="false">SUM(C59:C68)</f>
        <v>1</v>
      </c>
      <c r="N72" s="45" t="str">
        <f aca="false">IF(L72&gt;5,IF(M72&gt;5,"Linkage","Driver"),IF(M72&gt;5,"Dependent","Autonomous"))</f>
        <v>Autonomous</v>
      </c>
    </row>
    <row r="73" customFormat="false" ht="15" hidden="false" customHeight="false" outlineLevel="0" collapsed="false">
      <c r="A73" s="12" t="s">
        <v>618</v>
      </c>
      <c r="L73" s="26" t="n">
        <f aca="false">SUM(B61:K61)</f>
        <v>3</v>
      </c>
      <c r="M73" s="26" t="n">
        <f aca="false">SUM(D59:D68)</f>
        <v>2</v>
      </c>
      <c r="N73" s="45" t="str">
        <f aca="false">IF(L73&gt;5,IF(M73&gt;5,"Linkage","Driver"),IF(M73&gt;5,"Dependent","Autonomous"))</f>
        <v>Autonomous</v>
      </c>
    </row>
    <row r="74" customFormat="false" ht="15" hidden="false" customHeight="false" outlineLevel="0" collapsed="false">
      <c r="A74" s="12" t="s">
        <v>619</v>
      </c>
      <c r="L74" s="26" t="n">
        <f aca="false">SUM(B62:K62)</f>
        <v>3</v>
      </c>
      <c r="M74" s="26" t="n">
        <f aca="false">SUM(E59:E68)</f>
        <v>5</v>
      </c>
      <c r="N74" s="45" t="str">
        <f aca="false">IF(L74&gt;5,IF(M74&gt;5,"Linkage","Driver"),IF(M74&gt;5,"Dependent","Autonomous"))</f>
        <v>Autonomous</v>
      </c>
    </row>
    <row r="75" customFormat="false" ht="15" hidden="false" customHeight="false" outlineLevel="0" collapsed="false">
      <c r="A75" s="12" t="s">
        <v>620</v>
      </c>
      <c r="L75" s="26" t="n">
        <f aca="false">SUM(B63:K63)</f>
        <v>3</v>
      </c>
      <c r="M75" s="26" t="n">
        <f aca="false">SUM(F59:F68)</f>
        <v>2</v>
      </c>
      <c r="N75" s="45" t="str">
        <f aca="false">IF(L75&gt;5,IF(M75&gt;5,"Linkage","Driver"),IF(M75&gt;5,"Dependent","Autonomous"))</f>
        <v>Autonomous</v>
      </c>
    </row>
    <row r="76" customFormat="false" ht="15" hidden="false" customHeight="false" outlineLevel="0" collapsed="false">
      <c r="A76" s="12" t="s">
        <v>621</v>
      </c>
      <c r="L76" s="26" t="n">
        <f aca="false">SUM(B64:K64)</f>
        <v>5</v>
      </c>
      <c r="M76" s="26" t="n">
        <f aca="false">SUM(G59:G68)</f>
        <v>2</v>
      </c>
      <c r="N76" s="45" t="str">
        <f aca="false">IF(L76&gt;5,IF(M76&gt;5,"Linkage","Driver"),IF(M76&gt;5,"Dependent","Autonomous"))</f>
        <v>Autonomous</v>
      </c>
    </row>
    <row r="77" customFormat="false" ht="15" hidden="false" customHeight="false" outlineLevel="0" collapsed="false">
      <c r="A77" s="12" t="s">
        <v>622</v>
      </c>
      <c r="L77" s="26" t="n">
        <f aca="false">SUM(B65:K65)</f>
        <v>5</v>
      </c>
      <c r="M77" s="26" t="n">
        <f aca="false">SUM(H59:H68)</f>
        <v>2</v>
      </c>
      <c r="N77" s="45" t="str">
        <f aca="false">IF(L77&gt;5,IF(M77&gt;5,"Linkage","Driver"),IF(M77&gt;5,"Dependent","Autonomous"))</f>
        <v>Autonomous</v>
      </c>
    </row>
    <row r="78" customFormat="false" ht="15" hidden="false" customHeight="false" outlineLevel="0" collapsed="false">
      <c r="A78" s="12" t="s">
        <v>623</v>
      </c>
      <c r="L78" s="26" t="n">
        <f aca="false">SUM(B66:K66)</f>
        <v>4</v>
      </c>
      <c r="M78" s="26" t="n">
        <f aca="false">SUM(I59:I68)</f>
        <v>4</v>
      </c>
      <c r="N78" s="45" t="str">
        <f aca="false">IF(L78&gt;5,IF(M78&gt;5,"Linkage","Driver"),IF(M78&gt;5,"Dependent","Autonomous"))</f>
        <v>Autonomous</v>
      </c>
    </row>
    <row r="79" customFormat="false" ht="15" hidden="false" customHeight="false" outlineLevel="0" collapsed="false">
      <c r="A79" s="12" t="s">
        <v>624</v>
      </c>
      <c r="L79" s="26" t="n">
        <f aca="false">SUM(B67:K67)</f>
        <v>2</v>
      </c>
      <c r="M79" s="26" t="n">
        <f aca="false">SUM(J59:J68)</f>
        <v>9</v>
      </c>
      <c r="N79" s="45" t="str">
        <f aca="false">IF(L79&gt;5,IF(M79&gt;5,"Linkage","Driver"),IF(M79&gt;5,"Dependent","Autonomous"))</f>
        <v>Dependent</v>
      </c>
    </row>
    <row r="80" customFormat="false" ht="15" hidden="false" customHeight="false" outlineLevel="0" collapsed="false">
      <c r="A80" s="12" t="s">
        <v>625</v>
      </c>
      <c r="L80" s="26" t="n">
        <f aca="false">SUM(B68:K68)</f>
        <v>1</v>
      </c>
      <c r="M80" s="26" t="n">
        <f aca="false">SUM(K59:K68)</f>
        <v>10</v>
      </c>
      <c r="N80" s="45" t="str">
        <f aca="false">IF(L80&gt;5,IF(M80&gt;5,"Linkage","Driver"),IF(M80&gt;5,"Dependent","Autonomous"))</f>
        <v>Dependent</v>
      </c>
    </row>
    <row r="82" customFormat="false" ht="39.75" hidden="false" customHeight="true" outlineLevel="0" collapsed="false">
      <c r="A82" s="3" t="s">
        <v>634</v>
      </c>
      <c r="B82" s="3"/>
      <c r="C82" s="3"/>
      <c r="D82" s="3"/>
      <c r="E82" s="3"/>
      <c r="F82" s="3"/>
      <c r="G82" s="3"/>
      <c r="H82" s="3"/>
      <c r="I82" s="3"/>
      <c r="J82" s="3"/>
      <c r="K82" s="3"/>
      <c r="L82" s="3"/>
      <c r="M82" s="3"/>
      <c r="N82" s="3"/>
    </row>
  </sheetData>
  <mergeCells count="1">
    <mergeCell ref="A82:N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40"/>
  </cols>
  <sheetData>
    <row r="1" customFormat="false" ht="17.35" hidden="false" customHeight="false" outlineLevel="0" collapsed="false">
      <c r="A1" s="1" t="s">
        <v>635</v>
      </c>
      <c r="B1" s="2"/>
      <c r="C1" s="2"/>
      <c r="D1" s="2"/>
    </row>
    <row r="2" customFormat="false" ht="15" hidden="false" customHeight="false" outlineLevel="0" collapsed="false">
      <c r="A2" s="10" t="s">
        <v>636</v>
      </c>
    </row>
    <row r="4" customFormat="false" ht="15" hidden="false" customHeight="false" outlineLevel="0" collapsed="false">
      <c r="A4" s="4" t="s">
        <v>637</v>
      </c>
    </row>
    <row r="5" customFormat="false" ht="15" hidden="false" customHeight="false" outlineLevel="0" collapsed="false">
      <c r="A5" s="12" t="s">
        <v>638</v>
      </c>
      <c r="B5" s="37" t="n">
        <v>6</v>
      </c>
    </row>
    <row r="6" customFormat="false" ht="15" hidden="false" customHeight="false" outlineLevel="0" collapsed="false">
      <c r="A6" s="12" t="s">
        <v>639</v>
      </c>
      <c r="B6" s="37" t="n">
        <v>2</v>
      </c>
    </row>
    <row r="7" customFormat="false" ht="15" hidden="false" customHeight="false" outlineLevel="0" collapsed="false">
      <c r="A7" s="12" t="s">
        <v>640</v>
      </c>
      <c r="B7" s="32" t="n">
        <f aca="false">Inputs!$B$26</f>
        <v>0.5</v>
      </c>
    </row>
    <row r="8" customFormat="false" ht="15" hidden="false" customHeight="false" outlineLevel="0" collapsed="false">
      <c r="A8" s="12" t="s">
        <v>641</v>
      </c>
      <c r="B8" s="32" t="n">
        <f aca="false">Inputs!$B$30</f>
        <v>2</v>
      </c>
    </row>
    <row r="9" customFormat="false" ht="15" hidden="false" customHeight="false" outlineLevel="0" collapsed="false">
      <c r="A9" s="12" t="s">
        <v>642</v>
      </c>
      <c r="B9" s="22" t="n">
        <f aca="false">B5-(B6+B7)</f>
        <v>3.5</v>
      </c>
    </row>
    <row r="10" customFormat="false" ht="15" hidden="false" customHeight="false" outlineLevel="0" collapsed="false">
      <c r="A10" s="12" t="s">
        <v>643</v>
      </c>
      <c r="B10" s="45" t="str">
        <f aca="false">IF(B9&gt;=B8,"Other mess is faster → walk over",IF(B9&gt;0,"Small saving: stay","Come on in"))</f>
        <v>Other mess is faster → walk over</v>
      </c>
      <c r="C10" s="45"/>
      <c r="D10" s="45"/>
    </row>
    <row r="12" customFormat="false" ht="15" hidden="false" customHeight="false" outlineLevel="0" collapsed="false">
      <c r="A12" s="4" t="s">
        <v>644</v>
      </c>
    </row>
    <row r="13" customFormat="false" ht="74.6" hidden="false" customHeight="false" outlineLevel="0" collapsed="false">
      <c r="A13" s="12" t="s">
        <v>645</v>
      </c>
      <c r="B13" s="32" t="n">
        <f aca="false">Inputs!$B$37</f>
        <v>20</v>
      </c>
      <c r="C13" s="38" t="s">
        <v>646</v>
      </c>
    </row>
    <row r="14" customFormat="false" ht="15" hidden="false" customHeight="false" outlineLevel="0" collapsed="false">
      <c r="A14" s="12" t="s">
        <v>647</v>
      </c>
      <c r="B14" s="27" t="n">
        <f aca="false">Inputs!$B$16</f>
        <v>30</v>
      </c>
    </row>
    <row r="15" customFormat="false" ht="15" hidden="false" customHeight="false" outlineLevel="0" collapsed="false">
      <c r="A15" s="12" t="s">
        <v>648</v>
      </c>
      <c r="B15" s="20" t="n">
        <v>0.2</v>
      </c>
    </row>
    <row r="16" customFormat="false" ht="30" hidden="false" customHeight="true" outlineLevel="0" collapsed="false">
      <c r="A16" s="12" t="s">
        <v>649</v>
      </c>
      <c r="B16" s="51" t="n">
        <f aca="false">B13*B14*(1+B15)</f>
        <v>720</v>
      </c>
      <c r="C16" s="3" t="s">
        <v>650</v>
      </c>
      <c r="D16" s="3"/>
    </row>
    <row r="17" customFormat="false" ht="15" hidden="false" customHeight="false" outlineLevel="0" collapsed="false">
      <c r="C17" s="3"/>
      <c r="D17" s="3"/>
    </row>
    <row r="19" customFormat="false" ht="15" hidden="false" customHeight="false" outlineLevel="0" collapsed="false">
      <c r="A19" s="4" t="s">
        <v>651</v>
      </c>
    </row>
    <row r="20" customFormat="false" ht="23.85" hidden="false" customHeight="false" outlineLevel="0" collapsed="false">
      <c r="A20" s="6" t="s">
        <v>126</v>
      </c>
      <c r="B20" s="6" t="s">
        <v>652</v>
      </c>
      <c r="C20" s="6" t="s">
        <v>653</v>
      </c>
      <c r="D20" s="6" t="s">
        <v>654</v>
      </c>
    </row>
    <row r="21" customFormat="false" ht="15" hidden="false" customHeight="false" outlineLevel="0" collapsed="false">
      <c r="A21" s="7" t="s">
        <v>655</v>
      </c>
      <c r="B21" s="37" t="n">
        <v>7.1</v>
      </c>
      <c r="C21" s="37" t="n">
        <v>17.4</v>
      </c>
      <c r="D21" s="8" t="s">
        <v>656</v>
      </c>
    </row>
    <row r="22" customFormat="false" ht="23.85" hidden="false" customHeight="false" outlineLevel="0" collapsed="false">
      <c r="A22" s="7" t="s">
        <v>657</v>
      </c>
      <c r="B22" s="37" t="n">
        <v>0.8</v>
      </c>
      <c r="C22" s="37" t="n">
        <v>2.3</v>
      </c>
      <c r="D22" s="8" t="s">
        <v>658</v>
      </c>
    </row>
    <row r="23" customFormat="false" ht="23.85" hidden="false" customHeight="false" outlineLevel="0" collapsed="false">
      <c r="A23" s="7" t="s">
        <v>659</v>
      </c>
      <c r="B23" s="37" t="n">
        <v>0.8</v>
      </c>
      <c r="C23" s="37" t="n">
        <v>2.4</v>
      </c>
      <c r="D23" s="8" t="s">
        <v>660</v>
      </c>
    </row>
    <row r="25" customFormat="false" ht="15" hidden="false" customHeight="false" outlineLevel="0" collapsed="false">
      <c r="A25" s="4" t="s">
        <v>661</v>
      </c>
    </row>
    <row r="26" customFormat="false" ht="43.5" hidden="false" customHeight="true" outlineLevel="0" collapsed="false">
      <c r="A26" s="3" t="s">
        <v>662</v>
      </c>
      <c r="B26" s="3"/>
      <c r="C26" s="3"/>
      <c r="D26" s="3"/>
    </row>
  </sheetData>
  <mergeCells count="3">
    <mergeCell ref="B10:D10"/>
    <mergeCell ref="C16:D17"/>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6"/>
  </cols>
  <sheetData>
    <row r="1" customFormat="false" ht="17.35" hidden="false" customHeight="false" outlineLevel="0" collapsed="false">
      <c r="A1" s="1" t="s">
        <v>663</v>
      </c>
      <c r="B1" s="2"/>
      <c r="C1" s="2"/>
      <c r="D1" s="2"/>
      <c r="E1" s="2"/>
      <c r="F1" s="2"/>
      <c r="G1" s="2"/>
    </row>
    <row r="2" customFormat="false" ht="15" hidden="false" customHeight="false" outlineLevel="0" collapsed="false">
      <c r="A2" s="10" t="s">
        <v>664</v>
      </c>
    </row>
    <row r="4" customFormat="false" ht="23.85" hidden="false" customHeight="false" outlineLevel="0" collapsed="false">
      <c r="A4" s="6" t="s">
        <v>665</v>
      </c>
      <c r="B4" s="6" t="s">
        <v>666</v>
      </c>
      <c r="C4" s="6" t="s">
        <v>652</v>
      </c>
      <c r="D4" s="6" t="s">
        <v>653</v>
      </c>
      <c r="E4" s="6" t="s">
        <v>667</v>
      </c>
      <c r="F4" s="6" t="s">
        <v>668</v>
      </c>
      <c r="G4" s="6" t="s">
        <v>669</v>
      </c>
    </row>
    <row r="5" customFormat="false" ht="15" hidden="false" customHeight="false" outlineLevel="0" collapsed="false">
      <c r="A5" s="7" t="s">
        <v>670</v>
      </c>
      <c r="B5" s="20" t="s">
        <v>671</v>
      </c>
      <c r="C5" s="37" t="n">
        <v>7.1</v>
      </c>
      <c r="D5" s="37" t="n">
        <v>17.4</v>
      </c>
      <c r="E5" s="20" t="n">
        <v>0</v>
      </c>
      <c r="F5" s="16" t="n">
        <v>406</v>
      </c>
      <c r="G5" s="37" t="n">
        <v>1.3</v>
      </c>
    </row>
    <row r="6" customFormat="false" ht="15" hidden="false" customHeight="false" outlineLevel="0" collapsed="false">
      <c r="A6" s="7" t="s">
        <v>672</v>
      </c>
      <c r="B6" s="20" t="n">
        <v>0.3</v>
      </c>
      <c r="C6" s="37" t="n">
        <v>1.3</v>
      </c>
      <c r="D6" s="37" t="n">
        <v>4</v>
      </c>
      <c r="E6" s="20" t="n">
        <v>0.13</v>
      </c>
      <c r="F6" s="16" t="n">
        <v>133</v>
      </c>
      <c r="G6" s="37" t="n">
        <v>1.9</v>
      </c>
    </row>
    <row r="7" customFormat="false" ht="15" hidden="false" customHeight="false" outlineLevel="0" collapsed="false">
      <c r="A7" s="7" t="s">
        <v>672</v>
      </c>
      <c r="B7" s="20" t="n">
        <v>0.6</v>
      </c>
      <c r="C7" s="37" t="n">
        <v>0.8</v>
      </c>
      <c r="D7" s="37" t="n">
        <v>2.4</v>
      </c>
      <c r="E7" s="20" t="n">
        <v>0.14</v>
      </c>
      <c r="F7" s="16" t="n">
        <v>97</v>
      </c>
      <c r="G7" s="37" t="n">
        <v>1.6</v>
      </c>
    </row>
    <row r="8" customFormat="false" ht="15" hidden="false" customHeight="false" outlineLevel="0" collapsed="false">
      <c r="A8" s="7" t="s">
        <v>672</v>
      </c>
      <c r="B8" s="20" t="n">
        <v>1</v>
      </c>
      <c r="C8" s="37" t="n">
        <v>1.1</v>
      </c>
      <c r="D8" s="37" t="n">
        <v>3.2</v>
      </c>
      <c r="E8" s="20" t="n">
        <v>0.18</v>
      </c>
      <c r="F8" s="16" t="n">
        <v>98</v>
      </c>
      <c r="G8" s="37" t="n">
        <v>1.9</v>
      </c>
    </row>
    <row r="10" customFormat="false" ht="15" hidden="false" customHeight="false" outlineLevel="0" collapsed="false">
      <c r="A10" s="12" t="s">
        <v>673</v>
      </c>
      <c r="C10" s="62" t="n">
        <f aca="false">1-C7/C5</f>
        <v>0.887323943661972</v>
      </c>
    </row>
    <row r="12" customFormat="false" ht="15" hidden="false" customHeight="false" outlineLevel="0" collapsed="false">
      <c r="A12" s="6" t="s">
        <v>674</v>
      </c>
      <c r="B12" s="6" t="s">
        <v>675</v>
      </c>
      <c r="C12" s="6" t="s">
        <v>676</v>
      </c>
    </row>
    <row r="13" customFormat="false" ht="15" hidden="false" customHeight="false" outlineLevel="0" collapsed="false">
      <c r="A13" s="7" t="s">
        <v>677</v>
      </c>
      <c r="B13" s="37" t="n">
        <v>18.3</v>
      </c>
      <c r="C13" s="37" t="n">
        <v>17.1</v>
      </c>
    </row>
    <row r="14" customFormat="false" ht="15" hidden="false" customHeight="false" outlineLevel="0" collapsed="false">
      <c r="A14" s="7" t="s">
        <v>678</v>
      </c>
      <c r="B14" s="37" t="n">
        <v>25.3</v>
      </c>
      <c r="C14" s="37" t="n">
        <v>18.1</v>
      </c>
    </row>
    <row r="16" customFormat="false" ht="15" hidden="false" customHeight="false" outlineLevel="0" collapsed="false">
      <c r="A16" s="4" t="s">
        <v>679</v>
      </c>
    </row>
    <row r="17" customFormat="false" ht="15" hidden="false" customHeight="false" outlineLevel="0" collapsed="false">
      <c r="A17" s="12" t="s">
        <v>680</v>
      </c>
      <c r="C17" s="32" t="n">
        <f aca="false">'S15 Queuing'!$H$51</f>
        <v>6.84913947873324</v>
      </c>
    </row>
    <row r="18" customFormat="false" ht="15" hidden="false" customHeight="false" outlineLevel="0" collapsed="false">
      <c r="A18" s="12" t="s">
        <v>681</v>
      </c>
      <c r="C18" s="32" t="n">
        <f aca="false">'S15 Queuing'!$I$51</f>
        <v>0.415515310605463</v>
      </c>
    </row>
    <row r="19" customFormat="false" ht="30" hidden="false" customHeight="true" outlineLevel="0" collapsed="false">
      <c r="A19" s="3" t="s">
        <v>682</v>
      </c>
      <c r="B19" s="3"/>
      <c r="C19" s="3"/>
      <c r="D19" s="3"/>
      <c r="E19" s="3"/>
    </row>
    <row r="21" customFormat="false" ht="57.75" hidden="false" customHeight="true" outlineLevel="0" collapsed="false">
      <c r="A21" s="3" t="s">
        <v>683</v>
      </c>
      <c r="B21" s="3"/>
      <c r="C21" s="3"/>
      <c r="D21" s="3"/>
      <c r="E21" s="3"/>
    </row>
    <row r="24" customFormat="false" ht="23.85" hidden="false" customHeight="false" outlineLevel="0" collapsed="false">
      <c r="A24" s="6" t="s">
        <v>684</v>
      </c>
      <c r="B24" s="6" t="s">
        <v>685</v>
      </c>
      <c r="C24" s="6" t="s">
        <v>686</v>
      </c>
      <c r="D24" s="6" t="s">
        <v>687</v>
      </c>
      <c r="E24" s="6" t="s">
        <v>688</v>
      </c>
      <c r="F24" s="6" t="s">
        <v>689</v>
      </c>
    </row>
    <row r="25" customFormat="false" ht="15" hidden="false" customHeight="false" outlineLevel="0" collapsed="false">
      <c r="A25" s="8" t="s">
        <v>690</v>
      </c>
      <c r="B25" s="7" t="s">
        <v>691</v>
      </c>
      <c r="C25" s="37" t="n">
        <v>2</v>
      </c>
      <c r="D25" s="37" t="n">
        <v>3</v>
      </c>
      <c r="E25" s="37" t="n">
        <v>7</v>
      </c>
      <c r="F25" s="37" t="n">
        <v>0.9</v>
      </c>
    </row>
    <row r="26" customFormat="false" ht="15" hidden="false" customHeight="false" outlineLevel="0" collapsed="false">
      <c r="A26" s="8" t="s">
        <v>692</v>
      </c>
      <c r="B26" s="7" t="s">
        <v>693</v>
      </c>
      <c r="C26" s="37" t="n">
        <v>1.3</v>
      </c>
      <c r="D26" s="37" t="n">
        <v>1.6</v>
      </c>
      <c r="E26" s="37" t="n">
        <v>7.1</v>
      </c>
      <c r="F26" s="37" t="n">
        <v>0.8</v>
      </c>
    </row>
    <row r="27" customFormat="false" ht="15" hidden="false" customHeight="false" outlineLevel="0" collapsed="false">
      <c r="A27" s="8" t="s">
        <v>694</v>
      </c>
      <c r="B27" s="7" t="s">
        <v>695</v>
      </c>
      <c r="C27" s="37" t="n">
        <v>0</v>
      </c>
      <c r="D27" s="37" t="n">
        <v>0</v>
      </c>
      <c r="E27" s="37" t="n">
        <v>7.2</v>
      </c>
      <c r="F27" s="37" t="n">
        <v>0.9</v>
      </c>
    </row>
    <row r="29" customFormat="false" ht="30" hidden="false" customHeight="true" outlineLevel="0" collapsed="false">
      <c r="A29" s="3" t="s">
        <v>696</v>
      </c>
      <c r="B29" s="3"/>
      <c r="C29" s="3"/>
      <c r="D29" s="3"/>
      <c r="E29" s="3"/>
      <c r="F29" s="3"/>
    </row>
  </sheetData>
  <mergeCells count="3">
    <mergeCell ref="A19:E19"/>
    <mergeCell ref="A21:E21"/>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2026-10-21T19:14:30Z</dcterms:created>
  <dc:creator>openpyxl</dc:creator>
  <dc:description/>
  <dc:language>en-US</dc:language>
  <cp:lastModifiedBy/>
  <dcterms:modified xsi:type="dcterms:W3CDTF">2026-10-21T19:14:33Z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