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Assumptions" sheetId="2" state="visible" r:id="rId2"/>
    <sheet xmlns:r="http://schemas.openxmlformats.org/officeDocument/2006/relationships" name="Variables" sheetId="3" state="visible" r:id="rId3"/>
    <sheet xmlns:r="http://schemas.openxmlformats.org/officeDocument/2006/relationships" name="Q1 Scanner" sheetId="4" state="visible" r:id="rId4"/>
    <sheet xmlns:r="http://schemas.openxmlformats.org/officeDocument/2006/relationships" name="Q2 Serving stations" sheetId="5" state="visible" r:id="rId5"/>
    <sheet xmlns:r="http://schemas.openxmlformats.org/officeDocument/2006/relationships" name="Q3 Seats &amp; disposal" sheetId="6" state="visible" r:id="rId6"/>
    <sheet xmlns:r="http://schemas.openxmlformats.org/officeDocument/2006/relationships" name="Littles Law" sheetId="7" state="visible" r:id="rId7"/>
    <sheet xmlns:r="http://schemas.openxmlformats.org/officeDocument/2006/relationships" name="Capacity" sheetId="8" state="visible" r:id="rId8"/>
    <sheet xmlns:r="http://schemas.openxmlformats.org/officeDocument/2006/relationships" name="Load Balancing" sheetId="9" state="visible" r:id="rId9"/>
    <sheet xmlns:r="http://schemas.openxmlformats.org/officeDocument/2006/relationships" name="Sim Data" sheetId="10" state="visible" r:id="rId10"/>
    <sheet xmlns:r="http://schemas.openxmlformats.org/officeDocument/2006/relationships" name="Checks" sheetId="11" state="visible" r:id="rId11"/>
  </sheets>
  <definedNames>
    <definedName name="_xlnm._FilterDatabase" localSheetId="3" hidden="1">'Q1 Scanner'!$A$27:$U$99</definedName>
    <definedName name="_xlnm._FilterDatabase" localSheetId="4" hidden="1">'Q2 Serving stations'!$A$27:$U$99</definedName>
    <definedName name="_xlnm._FilterDatabase" localSheetId="5" hidden="1">'Q3 Seats &amp; disposal'!$A$20:$L$92</definedName>
    <definedName name="_xlnm._FilterDatabase" localSheetId="6" hidden="1">'Littles Law'!$A$10:$I$82</definedName>
    <definedName name="_xlnm._FilterDatabase" localSheetId="9" hidden="1">'Sim Data'!$A$4:$L$364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00"/>
  </numFmts>
  <fonts count="17">
    <font>
      <name val="Calibri"/>
      <family val="2"/>
      <color theme="1"/>
      <sz val="11"/>
      <scheme val="minor"/>
    </font>
    <font>
      <name val="Aptos Narrow"/>
      <b val="1"/>
      <color rgb="00FFFFFF"/>
      <sz val="18"/>
    </font>
    <font>
      <name val="Aptos Narrow"/>
      <i val="1"/>
      <color rgb="006B6B6B"/>
      <sz val="11"/>
    </font>
    <font>
      <name val="Aptos Narrow"/>
      <b val="1"/>
      <color rgb="001F3864"/>
      <sz val="11"/>
    </font>
    <font>
      <name val="Aptos Narrow"/>
      <b val="1"/>
      <color rgb="001F3864"/>
      <sz val="13"/>
    </font>
    <font>
      <name val="Aptos Narrow"/>
      <color rgb="00262626"/>
      <sz val="11"/>
    </font>
    <font>
      <name val="Aptos Narrow"/>
      <color rgb="001F4E9C"/>
      <sz val="11"/>
    </font>
    <font>
      <name val="Aptos Narrow"/>
      <b val="1"/>
      <color rgb="00262626"/>
      <sz val="11"/>
    </font>
    <font>
      <name val="Aptos Narrow"/>
      <i val="1"/>
      <color rgb="00262626"/>
      <sz val="11"/>
    </font>
    <font>
      <name val="Aptos Narrow"/>
      <b val="1"/>
      <color rgb="002E6B30"/>
      <sz val="11"/>
    </font>
    <font>
      <name val="Aptos Narrow"/>
      <color rgb="002F5597"/>
      <sz val="11"/>
      <u val="single"/>
    </font>
    <font>
      <name val="Aptos Narrow"/>
      <i val="1"/>
      <color rgb="006B6B6B"/>
      <sz val="10"/>
    </font>
    <font>
      <name val="Aptos Narrow"/>
      <color rgb="002E6B30"/>
      <sz val="11"/>
    </font>
    <font>
      <name val="Aptos Narrow"/>
      <i val="1"/>
      <color rgb="00404040"/>
      <sz val="11"/>
    </font>
    <font>
      <name val="Aptos Narrow"/>
      <color rgb="006B6B6B"/>
      <sz val="10"/>
    </font>
    <font>
      <name val="Aptos Narrow"/>
      <b val="1"/>
      <color rgb="002F5597"/>
      <sz val="11"/>
      <u val="single"/>
    </font>
    <font>
      <name val="Aptos Narrow"/>
      <b val="1"/>
      <color rgb="001F4E9C"/>
      <sz val="11"/>
    </font>
  </fonts>
  <fills count="9">
    <fill>
      <patternFill/>
    </fill>
    <fill>
      <patternFill patternType="gray125"/>
    </fill>
    <fill>
      <patternFill patternType="solid">
        <fgColor rgb="001F3864"/>
      </patternFill>
    </fill>
    <fill>
      <patternFill patternType="solid">
        <fgColor rgb="00DCE3EE"/>
      </patternFill>
    </fill>
    <fill>
      <patternFill patternType="solid">
        <fgColor rgb="00FFF2CC"/>
      </patternFill>
    </fill>
    <fill>
      <patternFill patternType="solid">
        <fgColor rgb="00F2F2F2"/>
      </patternFill>
    </fill>
    <fill>
      <patternFill patternType="solid">
        <fgColor rgb="00E2EFDA"/>
      </patternFill>
    </fill>
    <fill>
      <patternFill patternType="solid">
        <fgColor rgb="00F4F6FA"/>
      </patternFill>
    </fill>
    <fill>
      <patternFill patternType="solid">
        <fgColor rgb="00F8D7DA"/>
      </patternFill>
    </fill>
  </fills>
  <borders count="7">
    <border>
      <left/>
      <right/>
      <top/>
      <bottom/>
      <diagonal/>
    </border>
    <border>
      <bottom style="medium">
        <color rgb="001F3864"/>
      </bottom>
    </border>
    <border>
      <bottom style="thin">
        <color rgb="00D9D9D9"/>
      </bottom>
    </border>
    <border>
      <left/>
      <right/>
      <top/>
      <bottom style="thin">
        <color rgb="00D9D9D9"/>
      </bottom>
      <diagonal/>
    </border>
    <border>
      <left style="thick">
        <color rgb="002F5597"/>
      </left>
    </border>
    <border>
      <left style="thick">
        <color rgb="002F5597"/>
      </left>
      <right/>
      <top/>
      <bottom/>
      <diagonal/>
    </border>
    <border>
      <left/>
      <right/>
      <top/>
      <bottom style="medium">
        <color rgb="001F3864"/>
      </bottom>
      <diagonal/>
    </border>
  </borders>
  <cellStyleXfs count="1">
    <xf numFmtId="0" fontId="0" fillId="0" borderId="0"/>
  </cellStyleXfs>
  <cellXfs count="99">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0" borderId="0" applyAlignment="1" pivotButton="0" quotePrefix="0" xfId="0">
      <alignment vertical="center" indent="1"/>
    </xf>
    <xf numFmtId="0" fontId="4" fillId="0" borderId="0" applyAlignment="1" pivotButton="0" quotePrefix="0" xfId="0">
      <alignment vertical="center"/>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1" applyAlignment="1" pivotButton="0" quotePrefix="0" xfId="0">
      <alignment horizontal="center" vertical="center" wrapText="1"/>
    </xf>
    <xf numFmtId="0" fontId="15" fillId="0" borderId="2" applyAlignment="1" pivotButton="0" quotePrefix="0" xfId="0">
      <alignment vertical="center"/>
    </xf>
    <xf numFmtId="0" fontId="5" fillId="0" borderId="2" applyAlignment="1" pivotButton="0" quotePrefix="0" xfId="0">
      <alignment vertical="top" wrapText="1"/>
    </xf>
    <xf numFmtId="0" fontId="2" fillId="0" borderId="2" applyAlignment="1" pivotButton="0" quotePrefix="0" xfId="0">
      <alignment vertical="center"/>
    </xf>
    <xf numFmtId="0" fontId="9" fillId="6" borderId="2" applyAlignment="1" pivotButton="0" quotePrefix="0" xfId="0">
      <alignment vertical="center"/>
    </xf>
    <xf numFmtId="0" fontId="0" fillId="0" borderId="3" pivotButton="0" quotePrefix="0" xfId="0"/>
    <xf numFmtId="0" fontId="16" fillId="0" borderId="2" applyAlignment="1" pivotButton="0" quotePrefix="0" xfId="0">
      <alignment vertical="center"/>
    </xf>
    <xf numFmtId="0" fontId="5" fillId="0" borderId="2" applyAlignment="1" pivotButton="0" quotePrefix="0" xfId="0">
      <alignment vertical="center"/>
    </xf>
    <xf numFmtId="0" fontId="7" fillId="4" borderId="2" applyAlignment="1" pivotButton="0" quotePrefix="0" xfId="0">
      <alignment vertical="center"/>
    </xf>
    <xf numFmtId="0" fontId="16" fillId="5" borderId="2" applyAlignment="1" pivotButton="0" quotePrefix="0" xfId="0">
      <alignment vertical="center"/>
    </xf>
    <xf numFmtId="0" fontId="9" fillId="0" borderId="2" applyAlignment="1" pivotButton="0" quotePrefix="0" xfId="0">
      <alignment vertical="center"/>
    </xf>
    <xf numFmtId="0" fontId="7" fillId="6" borderId="2" applyAlignment="1" pivotButton="0" quotePrefix="0" xfId="0">
      <alignment vertical="center"/>
    </xf>
    <xf numFmtId="0" fontId="7" fillId="8" borderId="2" applyAlignment="1" pivotButton="0" quotePrefix="0" xfId="0">
      <alignment vertical="center"/>
    </xf>
    <xf numFmtId="0" fontId="2" fillId="0" borderId="0" applyAlignment="1" pivotButton="0" quotePrefix="0" xfId="0">
      <alignment vertical="center"/>
    </xf>
    <xf numFmtId="3" fontId="6" fillId="0" borderId="2" applyAlignment="1" pivotButton="0" quotePrefix="0" xfId="0">
      <alignment vertical="center"/>
    </xf>
    <xf numFmtId="0" fontId="7" fillId="0" borderId="2" applyAlignment="1" pivotButton="0" quotePrefix="0" xfId="0">
      <alignment horizontal="center" vertical="center"/>
    </xf>
    <xf numFmtId="0" fontId="2" fillId="0" borderId="2" applyAlignment="1" pivotButton="0" quotePrefix="0" xfId="0">
      <alignment vertical="top" wrapText="1"/>
    </xf>
    <xf numFmtId="164" fontId="6" fillId="0" borderId="2" applyAlignment="1" pivotButton="0" quotePrefix="0" xfId="0">
      <alignment vertical="center"/>
    </xf>
    <xf numFmtId="1" fontId="6" fillId="0" borderId="2" applyAlignment="1" pivotButton="0" quotePrefix="0" xfId="0">
      <alignment vertical="center"/>
    </xf>
    <xf numFmtId="1" fontId="6" fillId="4" borderId="2" applyAlignment="1" pivotButton="0" quotePrefix="0" xfId="0">
      <alignment vertical="center"/>
    </xf>
    <xf numFmtId="0" fontId="5" fillId="0" borderId="2" applyAlignment="1" pivotButton="0" quotePrefix="0" xfId="0">
      <alignment horizontal="center" vertical="center"/>
    </xf>
    <xf numFmtId="165" fontId="6" fillId="4" borderId="2" applyAlignment="1" pivotButton="0" quotePrefix="0" xfId="0">
      <alignment vertical="center"/>
    </xf>
    <xf numFmtId="9" fontId="6" fillId="4" borderId="2" applyAlignment="1" pivotButton="0" quotePrefix="0" xfId="0">
      <alignment vertical="center"/>
    </xf>
    <xf numFmtId="165" fontId="6" fillId="0" borderId="2" applyAlignment="1" pivotButton="0" quotePrefix="0" xfId="0">
      <alignment vertical="center"/>
    </xf>
    <xf numFmtId="9" fontId="6" fillId="0" borderId="2" applyAlignment="1" pivotButton="0" quotePrefix="0" xfId="0">
      <alignment vertical="center"/>
    </xf>
    <xf numFmtId="0" fontId="6" fillId="0" borderId="2" applyAlignment="1" pivotButton="0" quotePrefix="0" xfId="0">
      <alignment vertical="center"/>
    </xf>
    <xf numFmtId="0" fontId="3" fillId="0" borderId="2" applyAlignment="1" pivotButton="0" quotePrefix="0" xfId="0">
      <alignment vertical="center"/>
    </xf>
    <xf numFmtId="0" fontId="8" fillId="0" borderId="2" applyAlignment="1" pivotButton="0" quotePrefix="0" xfId="0">
      <alignment vertical="center"/>
    </xf>
    <xf numFmtId="165" fontId="9" fillId="6" borderId="2" applyAlignment="1" pivotButton="0" quotePrefix="0" xfId="0">
      <alignment vertical="center"/>
    </xf>
    <xf numFmtId="2" fontId="9" fillId="6" borderId="2" applyAlignment="1" pivotButton="0" quotePrefix="0" xfId="0">
      <alignment vertical="center"/>
    </xf>
    <xf numFmtId="165" fontId="7" fillId="6" borderId="2" applyAlignment="1" pivotButton="0" quotePrefix="0" xfId="0">
      <alignment vertical="center"/>
    </xf>
    <xf numFmtId="1" fontId="9" fillId="6" borderId="2" applyAlignment="1" pivotButton="0" quotePrefix="0" xfId="0">
      <alignment vertical="center"/>
    </xf>
    <xf numFmtId="2" fontId="7" fillId="6" borderId="2" applyAlignment="1" pivotButton="0" quotePrefix="0" xfId="0">
      <alignment vertical="center"/>
    </xf>
    <xf numFmtId="9" fontId="7" fillId="6" borderId="2" applyAlignment="1" pivotButton="0" quotePrefix="0" xfId="0">
      <alignment vertical="center"/>
    </xf>
    <xf numFmtId="49" fontId="7" fillId="6" borderId="2" applyAlignment="1" pivotButton="0" quotePrefix="0" xfId="0">
      <alignment vertical="center"/>
    </xf>
    <xf numFmtId="166" fontId="7" fillId="6" borderId="2" applyAlignment="1" pivotButton="0" quotePrefix="0" xfId="0">
      <alignment vertical="center"/>
    </xf>
    <xf numFmtId="1" fontId="7" fillId="6" borderId="2" applyAlignment="1" pivotButton="0" quotePrefix="0" xfId="0">
      <alignment vertical="center"/>
    </xf>
    <xf numFmtId="0" fontId="7" fillId="0" borderId="2" applyAlignment="1" pivotButton="0" quotePrefix="0" xfId="0">
      <alignment vertical="center"/>
    </xf>
    <xf numFmtId="0" fontId="10" fillId="0" borderId="0" applyAlignment="1" pivotButton="0" quotePrefix="0" xfId="0">
      <alignment vertical="center"/>
    </xf>
    <xf numFmtId="9" fontId="7" fillId="6" borderId="2" applyAlignment="1" pivotButton="0" quotePrefix="0" xfId="0">
      <alignment horizontal="center" vertical="center"/>
    </xf>
    <xf numFmtId="1" fontId="7" fillId="6" borderId="2" applyAlignment="1" pivotButton="0" quotePrefix="0" xfId="0">
      <alignment horizontal="center" vertical="center"/>
    </xf>
    <xf numFmtId="1" fontId="5" fillId="0" borderId="2" applyAlignment="1" pivotButton="0" quotePrefix="0" xfId="0">
      <alignment horizontal="center" vertical="center"/>
    </xf>
    <xf numFmtId="2" fontId="5" fillId="0" borderId="2" applyAlignment="1" pivotButton="0" quotePrefix="0" xfId="0">
      <alignment horizontal="center" vertical="center"/>
    </xf>
    <xf numFmtId="2" fontId="7" fillId="6" borderId="2" applyAlignment="1" pivotButton="0" quotePrefix="0" xfId="0">
      <alignment horizontal="center" vertical="center"/>
    </xf>
    <xf numFmtId="0" fontId="11" fillId="0" borderId="0" applyAlignment="1" pivotButton="0" quotePrefix="0" xfId="0">
      <alignment vertical="center"/>
    </xf>
    <xf numFmtId="0" fontId="13" fillId="7" borderId="4" applyAlignment="1" pivotButton="0" quotePrefix="0" xfId="0">
      <alignment vertical="top" wrapText="1" indent="1"/>
    </xf>
    <xf numFmtId="0" fontId="0" fillId="0" borderId="4" pivotButton="0" quotePrefix="0" xfId="0"/>
    <xf numFmtId="165" fontId="12" fillId="0" borderId="2" applyAlignment="1" pivotButton="0" quotePrefix="0" xfId="0">
      <alignment horizontal="center" vertical="center"/>
    </xf>
    <xf numFmtId="166" fontId="12" fillId="0" borderId="2" applyAlignment="1" pivotButton="0" quotePrefix="0" xfId="0">
      <alignment horizontal="center" vertical="center"/>
    </xf>
    <xf numFmtId="165" fontId="5" fillId="0" borderId="2" applyAlignment="1" pivotButton="0" quotePrefix="0" xfId="0">
      <alignment horizontal="center" vertical="center"/>
    </xf>
    <xf numFmtId="1" fontId="12" fillId="0" borderId="2" applyAlignment="1" pivotButton="0" quotePrefix="0" xfId="0">
      <alignment horizontal="center" vertical="center"/>
    </xf>
    <xf numFmtId="9" fontId="5" fillId="0" borderId="2" applyAlignment="1" pivotButton="0" quotePrefix="0" xfId="0">
      <alignment horizontal="center" vertical="center"/>
    </xf>
    <xf numFmtId="2" fontId="12" fillId="0" borderId="2" applyAlignment="1" pivotButton="0" quotePrefix="0" xfId="0">
      <alignment horizontal="center" vertical="center"/>
    </xf>
    <xf numFmtId="9" fontId="5" fillId="0" borderId="2" applyAlignment="1" pivotButton="0" quotePrefix="0" xfId="0">
      <alignment vertical="center"/>
    </xf>
    <xf numFmtId="3" fontId="12" fillId="0" borderId="2" applyAlignment="1" pivotButton="0" quotePrefix="0" xfId="0">
      <alignment horizontal="center" vertical="center"/>
    </xf>
    <xf numFmtId="1" fontId="5" fillId="0" borderId="2" applyAlignment="1" pivotButton="0" quotePrefix="0" xfId="0">
      <alignment vertical="center"/>
    </xf>
    <xf numFmtId="2" fontId="9" fillId="6" borderId="2" applyAlignment="1" pivotButton="0" quotePrefix="0" xfId="0">
      <alignment horizontal="center" vertical="center"/>
    </xf>
    <xf numFmtId="165" fontId="9" fillId="6" borderId="2" applyAlignment="1" pivotButton="0" quotePrefix="0" xfId="0">
      <alignment horizontal="center" vertical="center"/>
    </xf>
    <xf numFmtId="165" fontId="7" fillId="6" borderId="2" applyAlignment="1" pivotButton="0" quotePrefix="0" xfId="0">
      <alignment horizontal="center" vertical="center"/>
    </xf>
    <xf numFmtId="0" fontId="7" fillId="6" borderId="2" applyAlignment="1" pivotButton="0" quotePrefix="0" xfId="0">
      <alignment horizontal="center" vertical="center"/>
    </xf>
    <xf numFmtId="1" fontId="9" fillId="6" borderId="2" applyAlignment="1" pivotButton="0" quotePrefix="0" xfId="0">
      <alignment horizontal="center" vertical="center"/>
    </xf>
    <xf numFmtId="0" fontId="5" fillId="0" borderId="0" applyAlignment="1" pivotButton="0" quotePrefix="0" xfId="0">
      <alignment vertical="center"/>
    </xf>
    <xf numFmtId="165" fontId="12" fillId="0" borderId="2" applyAlignment="1" pivotButton="0" quotePrefix="0" xfId="0">
      <alignment vertical="center"/>
    </xf>
    <xf numFmtId="9" fontId="12" fillId="0" borderId="2" applyAlignment="1" pivotButton="0" quotePrefix="0" xfId="0">
      <alignment vertical="center"/>
    </xf>
    <xf numFmtId="165" fontId="5" fillId="6" borderId="2" applyAlignment="1" pivotButton="0" quotePrefix="0" xfId="0">
      <alignment vertical="center"/>
    </xf>
    <xf numFmtId="9" fontId="5" fillId="6" borderId="2" applyAlignment="1" pivotButton="0" quotePrefix="0" xfId="0">
      <alignment vertical="center"/>
    </xf>
    <xf numFmtId="0" fontId="5" fillId="6" borderId="2" applyAlignment="1" pivotButton="0" quotePrefix="0" xfId="0">
      <alignment vertical="center"/>
    </xf>
    <xf numFmtId="165" fontId="5" fillId="0" borderId="0" applyAlignment="1" pivotButton="0" quotePrefix="0" xfId="0">
      <alignment vertical="center"/>
    </xf>
    <xf numFmtId="165" fontId="6" fillId="5" borderId="2" applyAlignment="1" pivotButton="0" quotePrefix="0" xfId="0">
      <alignment vertical="center"/>
    </xf>
    <xf numFmtId="9" fontId="6" fillId="5" borderId="2" applyAlignment="1" pivotButton="0" quotePrefix="0" xfId="0">
      <alignment vertical="center"/>
    </xf>
    <xf numFmtId="0" fontId="0" fillId="0" borderId="6" pivotButton="0" quotePrefix="0" xfId="0"/>
    <xf numFmtId="1" fontId="6" fillId="5" borderId="2" applyAlignment="1" pivotButton="0" quotePrefix="0" xfId="0">
      <alignment horizontal="center" vertical="center"/>
    </xf>
    <xf numFmtId="0" fontId="14" fillId="0" borderId="0" applyAlignment="1" pivotButton="0" quotePrefix="0" xfId="0">
      <alignment vertical="center"/>
    </xf>
    <xf numFmtId="3" fontId="7" fillId="0" borderId="2" applyAlignment="1" pivotButton="0" quotePrefix="0" xfId="0">
      <alignment vertical="center"/>
    </xf>
    <xf numFmtId="2" fontId="6" fillId="5" borderId="2" applyAlignment="1" pivotButton="0" quotePrefix="0" xfId="0">
      <alignment horizontal="center" vertical="center"/>
    </xf>
    <xf numFmtId="165" fontId="6" fillId="5" borderId="2" applyAlignment="1" pivotButton="0" quotePrefix="0" xfId="0">
      <alignment horizontal="center" vertical="center"/>
    </xf>
    <xf numFmtId="3" fontId="6" fillId="5" borderId="2" applyAlignment="1" pivotButton="0" quotePrefix="0" xfId="0">
      <alignment horizontal="center" vertical="center"/>
    </xf>
    <xf numFmtId="9" fontId="6" fillId="5" borderId="2" applyAlignment="1" pivotButton="0" quotePrefix="0" xfId="0">
      <alignment horizontal="center" vertical="center"/>
    </xf>
    <xf numFmtId="3" fontId="5" fillId="0" borderId="2" applyAlignment="1" pivotButton="0" quotePrefix="0" xfId="0">
      <alignment horizontal="center" vertical="center"/>
    </xf>
    <xf numFmtId="0" fontId="0" fillId="0" borderId="0" applyAlignment="1" pivotButton="0" quotePrefix="0" xfId="0">
      <alignment horizontal="center" vertical="center"/>
    </xf>
    <xf numFmtId="0" fontId="7" fillId="0" borderId="0" applyAlignment="1" pivotButton="0" quotePrefix="0" xfId="0">
      <alignment vertical="center"/>
    </xf>
    <xf numFmtId="0" fontId="7" fillId="6" borderId="2" applyAlignment="1" pivotButton="0" quotePrefix="0" xfId="0">
      <alignment horizontal="center" vertical="center" wrapText="1"/>
    </xf>
    <xf numFmtId="0" fontId="7" fillId="0" borderId="0" applyAlignment="1" pivotButton="0" quotePrefix="0" xfId="0">
      <alignment vertical="top" wrapText="1"/>
    </xf>
    <xf numFmtId="167" fontId="7" fillId="6" borderId="2" applyAlignment="1" pivotButton="0" quotePrefix="0" xfId="0">
      <alignment horizontal="center" vertical="center" wrapText="1"/>
    </xf>
    <xf numFmtId="9" fontId="12" fillId="0" borderId="2" applyAlignment="1" pivotButton="0" quotePrefix="0" xfId="0">
      <alignment horizontal="center" vertical="center"/>
    </xf>
    <xf numFmtId="9" fontId="7" fillId="0" borderId="2" applyAlignment="1" pivotButton="0" quotePrefix="0" xfId="0">
      <alignment vertical="center"/>
    </xf>
    <xf numFmtId="1" fontId="7" fillId="0" borderId="2" applyAlignment="1" pivotButton="0" quotePrefix="0" xfId="0">
      <alignment vertical="center"/>
    </xf>
    <xf numFmtId="2" fontId="6" fillId="5" borderId="2" applyAlignment="1" pivotButton="0" quotePrefix="0" xfId="0">
      <alignment vertical="center"/>
    </xf>
    <xf numFmtId="3" fontId="6" fillId="5" borderId="2" applyAlignment="1" pivotButton="0" quotePrefix="0" xfId="0">
      <alignment vertical="center"/>
    </xf>
    <xf numFmtId="164" fontId="12" fillId="0" borderId="2" applyAlignment="1" pivotButton="0" quotePrefix="0" xfId="0">
      <alignment vertical="center"/>
    </xf>
    <xf numFmtId="1" fontId="12" fillId="0" borderId="2" applyAlignment="1" pivotButton="0" quotePrefix="0" xfId="0">
      <alignment vertical="center"/>
    </xf>
    <xf numFmtId="2" fontId="12" fillId="0" borderId="2" applyAlignment="1" pivotButton="0" quotePrefix="0" xfId="0">
      <alignment vertical="center"/>
    </xf>
  </cellXfs>
  <cellStyles count="1">
    <cellStyle name="Normal" xfId="0" builtinId="0" hidden="0"/>
  </cellStyles>
  <dxfs count="4">
    <dxf>
      <font>
        <name val="Aptos Narrow"/>
        <b val="1"/>
        <color rgb="009C0006"/>
      </font>
      <fill>
        <patternFill patternType="solid">
          <fgColor rgb="00F8D7DA"/>
        </patternFill>
      </fill>
    </dxf>
    <dxf>
      <fill>
        <patternFill patternType="solid">
          <fgColor rgb="00FCE8C3"/>
        </patternFill>
      </fill>
    </dxf>
    <dxf>
      <font>
        <name val="Aptos Narrow"/>
        <b val="1"/>
        <color rgb="002E6B30"/>
      </font>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latin typeface="Aptos Narrow"/>
              </a:defRPr>
            </a:pPr>
            <a:r>
              <a:rPr sz="1200" b="1">
                <a:solidFill>
                  <a:srgbClr val="1F3864"/>
                </a:solidFill>
                <a:latin typeface="Aptos Narrow"/>
              </a:rPr>
              <a:t>Biometric scan: utilisation per 10-minute slot</a:t>
            </a:r>
          </a:p>
        </rich>
      </tx>
      <overlay val="0"/>
    </title>
    <plotArea>
      <lineChart>
        <grouping val="standard"/>
        <ser>
          <idx val="0"/>
          <order val="0"/>
          <tx>
            <strRef>
              <f>'Q1 Scanner'!B103</f>
            </strRef>
          </tx>
          <spPr>
            <a:ln xmlns:a="http://schemas.openxmlformats.org/drawingml/2006/main" w="22000">
              <a:solidFill>
                <a:srgbClr val="C55A11"/>
              </a:solidFill>
              <a:prstDash val="solid"/>
            </a:ln>
          </spPr>
          <marker>
            <symbol val="none"/>
            <spPr>
              <a:ln xmlns:a="http://schemas.openxmlformats.org/drawingml/2006/main">
                <a:prstDash val="solid"/>
              </a:ln>
            </spPr>
          </marker>
          <cat>
            <numRef>
              <f>'Q1 Scanner'!$A$104:$A$121</f>
            </numRef>
          </cat>
          <val>
            <numRef>
              <f>'Q1 Scanner'!$B$104:$B$121</f>
            </numRef>
          </val>
          <smooth val="0"/>
        </ser>
        <ser>
          <idx val="1"/>
          <order val="1"/>
          <tx>
            <strRef>
              <f>'Q1 Scanner'!C103</f>
            </strRef>
          </tx>
          <spPr>
            <a:ln xmlns:a="http://schemas.openxmlformats.org/drawingml/2006/main" w="22000">
              <a:solidFill>
                <a:srgbClr val="F4B183"/>
              </a:solidFill>
              <a:prstDash val="solid"/>
            </a:ln>
          </spPr>
          <marker>
            <symbol val="none"/>
            <spPr>
              <a:ln xmlns:a="http://schemas.openxmlformats.org/drawingml/2006/main">
                <a:prstDash val="solid"/>
              </a:ln>
            </spPr>
          </marker>
          <cat>
            <numRef>
              <f>'Q1 Scanner'!$A$104:$A$121</f>
            </numRef>
          </cat>
          <val>
            <numRef>
              <f>'Q1 Scanner'!$C$104:$C$121</f>
            </numRef>
          </val>
          <smooth val="0"/>
        </ser>
        <ser>
          <idx val="2"/>
          <order val="2"/>
          <tx>
            <strRef>
              <f>'Q1 Scanner'!D103</f>
            </strRef>
          </tx>
          <spPr>
            <a:ln xmlns:a="http://schemas.openxmlformats.org/drawingml/2006/main" w="22000">
              <a:solidFill>
                <a:srgbClr val="2F5597"/>
              </a:solidFill>
              <a:prstDash val="solid"/>
            </a:ln>
          </spPr>
          <marker>
            <symbol val="none"/>
            <spPr>
              <a:ln xmlns:a="http://schemas.openxmlformats.org/drawingml/2006/main">
                <a:prstDash val="solid"/>
              </a:ln>
            </spPr>
          </marker>
          <cat>
            <numRef>
              <f>'Q1 Scanner'!$A$104:$A$121</f>
            </numRef>
          </cat>
          <val>
            <numRef>
              <f>'Q1 Scanner'!$D$104:$D$121</f>
            </numRef>
          </val>
          <smooth val="0"/>
        </ser>
        <ser>
          <idx val="3"/>
          <order val="3"/>
          <tx>
            <strRef>
              <f>'Q1 Scanner'!E103</f>
            </strRef>
          </tx>
          <spPr>
            <a:ln xmlns:a="http://schemas.openxmlformats.org/drawingml/2006/main" w="22000">
              <a:solidFill>
                <a:srgbClr val="9DC3E6"/>
              </a:solidFill>
              <a:prstDash val="solid"/>
            </a:ln>
          </spPr>
          <marker>
            <symbol val="none"/>
            <spPr>
              <a:ln xmlns:a="http://schemas.openxmlformats.org/drawingml/2006/main">
                <a:prstDash val="solid"/>
              </a:ln>
            </spPr>
          </marker>
          <cat>
            <numRef>
              <f>'Q1 Scanner'!$A$104:$A$121</f>
            </numRef>
          </cat>
          <val>
            <numRef>
              <f>'Q1 Scanner'!$E$104:$E$121</f>
            </numRef>
          </val>
          <smooth val="0"/>
        </ser>
        <ser>
          <idx val="4"/>
          <order val="4"/>
          <tx>
            <strRef>
              <f>'Q1 Scanner'!F103</f>
            </strRef>
          </tx>
          <spPr>
            <a:ln xmlns:a="http://schemas.openxmlformats.org/drawingml/2006/main" w="22000">
              <a:solidFill>
                <a:srgbClr val="7F7F7F"/>
              </a:solidFill>
              <a:prstDash val="dash"/>
            </a:ln>
          </spPr>
          <marker>
            <symbol val="none"/>
            <spPr>
              <a:ln xmlns:a="http://schemas.openxmlformats.org/drawingml/2006/main">
                <a:prstDash val="solid"/>
              </a:ln>
            </spPr>
          </marker>
          <cat>
            <numRef>
              <f>'Q1 Scanner'!$A$104:$A$121</f>
            </numRef>
          </cat>
          <val>
            <numRef>
              <f>'Q1 Scanner'!$F$104:$F$121</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latin typeface="Aptos Narrow"/>
              </a:defRPr>
            </a:pPr>
            <a:r>
              <a:t/>
            </a:r>
            <a:endParaRPr/>
          </a:p>
        </txPr>
        <crossAx val="100"/>
        <lblOffset val="100"/>
      </catAx>
      <valAx>
        <axId val="100"/>
        <scaling>
          <orientation val="minMax"/>
        </scaling>
        <delete val="0"/>
        <axPos val="l"/>
        <majorGridlines/>
        <title>
          <tx>
            <rich>
              <a:bodyPr xmlns:a="http://schemas.openxmlformats.org/drawingml/2006/main"/>
              <a:p xmlns:a="http://schemas.openxmlformats.org/drawingml/2006/main">
                <a:pPr>
                  <a:defRPr sz="1000" b="1">
                    <a:solidFill>
                      <a:srgbClr val="1F3864"/>
                    </a:solidFill>
                    <a:latin typeface="Aptos Narrow"/>
                  </a:defRPr>
                </a:pPr>
                <a:r>
                  <a:rPr sz="1000" b="1">
                    <a:solidFill>
                      <a:srgbClr val="1F3864"/>
                    </a:solidFill>
                    <a:latin typeface="Aptos Narrow"/>
                  </a:rPr>
                  <a:t>Utilisation ρ</a:t>
                </a:r>
              </a:p>
            </rich>
          </tx>
          <overlay val="0"/>
        </title>
        <numFmt formatCode="0%" sourceLinked="0"/>
        <majorTickMark val="none"/>
        <minorTickMark val="none"/>
        <txPr>
          <a:bodyPr xmlns:a="http://schemas.openxmlformats.org/drawingml/2006/main"/>
          <a:p xmlns:a="http://schemas.openxmlformats.org/drawingml/2006/main">
            <a:pPr>
              <a:defRPr sz="900" b="0">
                <a:latin typeface="Aptos Narrow"/>
              </a:defRPr>
            </a:pPr>
            <a:r>
              <a:t/>
            </a:r>
            <a:endParaRPr/>
          </a:p>
        </txPr>
        <crossAx val="10"/>
      </valAx>
    </plotArea>
    <legend>
      <legendPos val="b"/>
      <txPr>
        <a:bodyPr xmlns:a="http://schemas.openxmlformats.org/drawingml/2006/main"/>
        <a:p xmlns:a="http://schemas.openxmlformats.org/drawingml/2006/main">
          <a:pPr>
            <a:defRPr sz="900" b="0">
              <a:latin typeface="Aptos Narrow"/>
            </a:defRPr>
          </a:pPr>
          <a:r>
            <a:t/>
          </a:r>
          <a:endParaRPr/>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latin typeface="Aptos Narrow"/>
              </a:defRPr>
            </a:pPr>
            <a:r>
              <a:rPr sz="1200" b="1">
                <a:solidFill>
                  <a:srgbClr val="1F3864"/>
                </a:solidFill>
                <a:latin typeface="Aptos Narrow"/>
              </a:rPr>
              <a:t>Serving stations: utilisation per 10-minute slot</a:t>
            </a:r>
          </a:p>
        </rich>
      </tx>
      <overlay val="0"/>
    </title>
    <plotArea>
      <lineChart>
        <grouping val="standard"/>
        <ser>
          <idx val="0"/>
          <order val="0"/>
          <tx>
            <strRef>
              <f>'Q2 Serving stations'!B103</f>
            </strRef>
          </tx>
          <spPr>
            <a:ln xmlns:a="http://schemas.openxmlformats.org/drawingml/2006/main" w="22000">
              <a:solidFill>
                <a:srgbClr val="C55A11"/>
              </a:solidFill>
              <a:prstDash val="solid"/>
            </a:ln>
          </spPr>
          <marker>
            <symbol val="none"/>
            <spPr>
              <a:ln xmlns:a="http://schemas.openxmlformats.org/drawingml/2006/main">
                <a:prstDash val="solid"/>
              </a:ln>
            </spPr>
          </marker>
          <cat>
            <numRef>
              <f>'Q2 Serving stations'!$A$104:$A$121</f>
            </numRef>
          </cat>
          <val>
            <numRef>
              <f>'Q2 Serving stations'!$B$104:$B$121</f>
            </numRef>
          </val>
          <smooth val="0"/>
        </ser>
        <ser>
          <idx val="1"/>
          <order val="1"/>
          <tx>
            <strRef>
              <f>'Q2 Serving stations'!C103</f>
            </strRef>
          </tx>
          <spPr>
            <a:ln xmlns:a="http://schemas.openxmlformats.org/drawingml/2006/main" w="22000">
              <a:solidFill>
                <a:srgbClr val="F4B183"/>
              </a:solidFill>
              <a:prstDash val="solid"/>
            </a:ln>
          </spPr>
          <marker>
            <symbol val="none"/>
            <spPr>
              <a:ln xmlns:a="http://schemas.openxmlformats.org/drawingml/2006/main">
                <a:prstDash val="solid"/>
              </a:ln>
            </spPr>
          </marker>
          <cat>
            <numRef>
              <f>'Q2 Serving stations'!$A$104:$A$121</f>
            </numRef>
          </cat>
          <val>
            <numRef>
              <f>'Q2 Serving stations'!$C$104:$C$121</f>
            </numRef>
          </val>
          <smooth val="0"/>
        </ser>
        <ser>
          <idx val="2"/>
          <order val="2"/>
          <tx>
            <strRef>
              <f>'Q2 Serving stations'!D103</f>
            </strRef>
          </tx>
          <spPr>
            <a:ln xmlns:a="http://schemas.openxmlformats.org/drawingml/2006/main" w="22000">
              <a:solidFill>
                <a:srgbClr val="2F5597"/>
              </a:solidFill>
              <a:prstDash val="solid"/>
            </a:ln>
          </spPr>
          <marker>
            <symbol val="none"/>
            <spPr>
              <a:ln xmlns:a="http://schemas.openxmlformats.org/drawingml/2006/main">
                <a:prstDash val="solid"/>
              </a:ln>
            </spPr>
          </marker>
          <cat>
            <numRef>
              <f>'Q2 Serving stations'!$A$104:$A$121</f>
            </numRef>
          </cat>
          <val>
            <numRef>
              <f>'Q2 Serving stations'!$D$104:$D$121</f>
            </numRef>
          </val>
          <smooth val="0"/>
        </ser>
        <ser>
          <idx val="3"/>
          <order val="3"/>
          <tx>
            <strRef>
              <f>'Q2 Serving stations'!E103</f>
            </strRef>
          </tx>
          <spPr>
            <a:ln xmlns:a="http://schemas.openxmlformats.org/drawingml/2006/main" w="22000">
              <a:solidFill>
                <a:srgbClr val="9DC3E6"/>
              </a:solidFill>
              <a:prstDash val="solid"/>
            </a:ln>
          </spPr>
          <marker>
            <symbol val="none"/>
            <spPr>
              <a:ln xmlns:a="http://schemas.openxmlformats.org/drawingml/2006/main">
                <a:prstDash val="solid"/>
              </a:ln>
            </spPr>
          </marker>
          <cat>
            <numRef>
              <f>'Q2 Serving stations'!$A$104:$A$121</f>
            </numRef>
          </cat>
          <val>
            <numRef>
              <f>'Q2 Serving stations'!$E$104:$E$121</f>
            </numRef>
          </val>
          <smooth val="0"/>
        </ser>
        <ser>
          <idx val="4"/>
          <order val="4"/>
          <tx>
            <strRef>
              <f>'Q2 Serving stations'!F103</f>
            </strRef>
          </tx>
          <spPr>
            <a:ln xmlns:a="http://schemas.openxmlformats.org/drawingml/2006/main" w="22000">
              <a:solidFill>
                <a:srgbClr val="7F7F7F"/>
              </a:solidFill>
              <a:prstDash val="dash"/>
            </a:ln>
          </spPr>
          <marker>
            <symbol val="none"/>
            <spPr>
              <a:ln xmlns:a="http://schemas.openxmlformats.org/drawingml/2006/main">
                <a:prstDash val="solid"/>
              </a:ln>
            </spPr>
          </marker>
          <cat>
            <numRef>
              <f>'Q2 Serving stations'!$A$104:$A$121</f>
            </numRef>
          </cat>
          <val>
            <numRef>
              <f>'Q2 Serving stations'!$F$104:$F$121</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latin typeface="Aptos Narrow"/>
              </a:defRPr>
            </a:pPr>
            <a:r>
              <a:t/>
            </a:r>
            <a:endParaRPr/>
          </a:p>
        </txPr>
        <crossAx val="100"/>
        <lblOffset val="100"/>
      </catAx>
      <valAx>
        <axId val="100"/>
        <scaling>
          <orientation val="minMax"/>
        </scaling>
        <delete val="0"/>
        <axPos val="l"/>
        <majorGridlines/>
        <title>
          <tx>
            <rich>
              <a:bodyPr xmlns:a="http://schemas.openxmlformats.org/drawingml/2006/main"/>
              <a:p xmlns:a="http://schemas.openxmlformats.org/drawingml/2006/main">
                <a:pPr>
                  <a:defRPr sz="1000" b="1">
                    <a:solidFill>
                      <a:srgbClr val="1F3864"/>
                    </a:solidFill>
                    <a:latin typeface="Aptos Narrow"/>
                  </a:defRPr>
                </a:pPr>
                <a:r>
                  <a:rPr sz="1000" b="1">
                    <a:solidFill>
                      <a:srgbClr val="1F3864"/>
                    </a:solidFill>
                    <a:latin typeface="Aptos Narrow"/>
                  </a:rPr>
                  <a:t>Utilisation ρ</a:t>
                </a:r>
              </a:p>
            </rich>
          </tx>
          <overlay val="0"/>
        </title>
        <numFmt formatCode="0%" sourceLinked="0"/>
        <majorTickMark val="none"/>
        <minorTickMark val="none"/>
        <txPr>
          <a:bodyPr xmlns:a="http://schemas.openxmlformats.org/drawingml/2006/main"/>
          <a:p xmlns:a="http://schemas.openxmlformats.org/drawingml/2006/main">
            <a:pPr>
              <a:defRPr sz="900" b="0">
                <a:latin typeface="Aptos Narrow"/>
              </a:defRPr>
            </a:pPr>
            <a:r>
              <a:t/>
            </a:r>
            <a:endParaRPr/>
          </a:p>
        </txPr>
        <crossAx val="10"/>
      </valAx>
    </plotArea>
    <legend>
      <legendPos val="b"/>
      <txPr>
        <a:bodyPr xmlns:a="http://schemas.openxmlformats.org/drawingml/2006/main"/>
        <a:p xmlns:a="http://schemas.openxmlformats.org/drawingml/2006/main">
          <a:pPr>
            <a:defRPr sz="900" b="0">
              <a:latin typeface="Aptos Narrow"/>
            </a:defRPr>
          </a:pPr>
          <a:r>
            <a:t/>
          </a:r>
          <a:endParaRPr/>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latin typeface="Aptos Narrow"/>
              </a:defRPr>
            </a:pPr>
            <a:r>
              <a:rPr sz="1200" b="1">
                <a:solidFill>
                  <a:srgbClr val="1F3864"/>
                </a:solidFill>
                <a:latin typeface="Aptos Narrow"/>
              </a:rPr>
              <a:t>Central CT today: L (simulated) vs λW</a:t>
            </a:r>
          </a:p>
        </rich>
      </tx>
      <overlay val="0"/>
    </title>
    <plotArea>
      <lineChart>
        <grouping val="standard"/>
        <ser>
          <idx val="0"/>
          <order val="0"/>
          <tx>
            <strRef>
              <f>'Littles Law'!B86</f>
            </strRef>
          </tx>
          <spPr>
            <a:ln xmlns:a="http://schemas.openxmlformats.org/drawingml/2006/main" w="22000">
              <a:solidFill>
                <a:srgbClr val="2F5597"/>
              </a:solidFill>
              <a:prstDash val="solid"/>
            </a:ln>
          </spPr>
          <marker>
            <symbol val="none"/>
            <spPr>
              <a:ln xmlns:a="http://schemas.openxmlformats.org/drawingml/2006/main">
                <a:prstDash val="solid"/>
              </a:ln>
            </spPr>
          </marker>
          <cat>
            <numRef>
              <f>'Littles Law'!$A$87:$A$104</f>
            </numRef>
          </cat>
          <val>
            <numRef>
              <f>'Littles Law'!$B$87:$B$104</f>
            </numRef>
          </val>
          <smooth val="0"/>
        </ser>
        <ser>
          <idx val="1"/>
          <order val="1"/>
          <tx>
            <strRef>
              <f>'Littles Law'!C86</f>
            </strRef>
          </tx>
          <spPr>
            <a:ln xmlns:a="http://schemas.openxmlformats.org/drawingml/2006/main" w="22000">
              <a:solidFill>
                <a:srgbClr val="C55A11"/>
              </a:solidFill>
              <a:prstDash val="solid"/>
            </a:ln>
          </spPr>
          <marker>
            <symbol val="none"/>
            <spPr>
              <a:ln xmlns:a="http://schemas.openxmlformats.org/drawingml/2006/main">
                <a:prstDash val="solid"/>
              </a:ln>
            </spPr>
          </marker>
          <cat>
            <numRef>
              <f>'Littles Law'!$A$87:$A$104</f>
            </numRef>
          </cat>
          <val>
            <numRef>
              <f>'Littles Law'!$C$87:$C$104</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latin typeface="Aptos Narrow"/>
              </a:defRPr>
            </a:pPr>
            <a:r>
              <a:t/>
            </a:r>
            <a:endParaRPr/>
          </a:p>
        </txPr>
        <crossAx val="100"/>
        <lblOffset val="100"/>
      </catAx>
      <valAx>
        <axId val="100"/>
        <scaling>
          <orientation val="minMax"/>
        </scaling>
        <delete val="0"/>
        <axPos val="l"/>
        <majorGridlines/>
        <title>
          <tx>
            <rich>
              <a:bodyPr xmlns:a="http://schemas.openxmlformats.org/drawingml/2006/main"/>
              <a:p xmlns:a="http://schemas.openxmlformats.org/drawingml/2006/main">
                <a:pPr>
                  <a:defRPr sz="1000" b="1">
                    <a:solidFill>
                      <a:srgbClr val="1F3864"/>
                    </a:solidFill>
                    <a:latin typeface="Aptos Narrow"/>
                  </a:defRPr>
                </a:pPr>
                <a:r>
                  <a:rPr sz="1000" b="1">
                    <a:solidFill>
                      <a:srgbClr val="1F3864"/>
                    </a:solidFill>
                    <a:latin typeface="Aptos Narrow"/>
                  </a:rPr>
                  <a:t>Students</a:t>
                </a:r>
              </a:p>
            </rich>
          </tx>
          <overlay val="0"/>
        </title>
        <majorTickMark val="none"/>
        <minorTickMark val="none"/>
        <txPr>
          <a:bodyPr xmlns:a="http://schemas.openxmlformats.org/drawingml/2006/main"/>
          <a:p xmlns:a="http://schemas.openxmlformats.org/drawingml/2006/main">
            <a:pPr>
              <a:defRPr sz="900" b="0">
                <a:latin typeface="Aptos Narrow"/>
              </a:defRPr>
            </a:pPr>
            <a:r>
              <a:t/>
            </a:r>
            <a:endParaRPr/>
          </a:p>
        </txPr>
        <crossAx val="10"/>
      </valAx>
    </plotArea>
    <legend>
      <legendPos val="b"/>
      <txPr>
        <a:bodyPr xmlns:a="http://schemas.openxmlformats.org/drawingml/2006/main"/>
        <a:p xmlns:a="http://schemas.openxmlformats.org/drawingml/2006/main">
          <a:pPr>
            <a:defRPr sz="900" b="0">
              <a:latin typeface="Aptos Narrow"/>
            </a:defRPr>
          </a:pPr>
          <a:r>
            <a:t/>
          </a:r>
          <a:endParaRPr/>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latin typeface="Aptos Narrow"/>
              </a:defRPr>
            </a:pPr>
            <a:r>
              <a:rPr sz="1200" b="1">
                <a:solidFill>
                  <a:srgbClr val="1F3864"/>
                </a:solidFill>
                <a:latin typeface="Aptos Narrow"/>
              </a:rPr>
              <a:t>Capacity of each stage (students per minute)</a:t>
            </a:r>
          </a:p>
        </rich>
      </tx>
      <overlay val="0"/>
    </title>
    <plotArea>
      <barChart>
        <barDir val="col"/>
        <grouping val="clustered"/>
        <ser>
          <idx val="0"/>
          <order val="0"/>
          <tx>
            <v>Central CT</v>
          </tx>
          <spPr>
            <a:solidFill xmlns:a="http://schemas.openxmlformats.org/drawingml/2006/main">
              <a:srgbClr val="2F5597"/>
            </a:solidFill>
            <a:ln xmlns:a="http://schemas.openxmlformats.org/drawingml/2006/main">
              <a:solidFill>
                <a:srgbClr val="2F5597"/>
              </a:solidFill>
              <a:prstDash val="solid"/>
            </a:ln>
          </spPr>
          <cat>
            <numRef>
              <f>'Capacity'!$A$32:$A$34</f>
            </numRef>
          </cat>
          <val>
            <numRef>
              <f>'Capacity'!$B$32:$B$34</f>
            </numRef>
          </val>
        </ser>
        <ser>
          <idx val="1"/>
          <order val="1"/>
          <tx>
            <v>Munch Mess</v>
          </tx>
          <spPr>
            <a:solidFill xmlns:a="http://schemas.openxmlformats.org/drawingml/2006/main">
              <a:srgbClr val="C55A11"/>
            </a:solidFill>
            <a:ln xmlns:a="http://schemas.openxmlformats.org/drawingml/2006/main">
              <a:solidFill>
                <a:srgbClr val="C55A11"/>
              </a:solidFill>
              <a:prstDash val="solid"/>
            </a:ln>
          </spPr>
          <cat>
            <numRef>
              <f>'Capacity'!$A$32:$A$34</f>
            </numRef>
          </cat>
          <val>
            <numRef>
              <f>'Capacity'!$C$32:$C$34</f>
            </numRef>
          </val>
        </ser>
        <gapWidth val="1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latin typeface="Aptos Narrow"/>
              </a:defRPr>
            </a:pPr>
            <a:r>
              <a:t/>
            </a:r>
            <a:endParaRPr/>
          </a:p>
        </txPr>
        <crossAx val="100"/>
        <lblOffset val="100"/>
      </catAx>
      <valAx>
        <axId val="100"/>
        <scaling>
          <orientation val="minMax"/>
        </scaling>
        <delete val="0"/>
        <axPos val="l"/>
        <majorGridlines/>
        <title>
          <tx>
            <rich>
              <a:bodyPr xmlns:a="http://schemas.openxmlformats.org/drawingml/2006/main"/>
              <a:p xmlns:a="http://schemas.openxmlformats.org/drawingml/2006/main">
                <a:pPr>
                  <a:defRPr sz="1000" b="1">
                    <a:solidFill>
                      <a:srgbClr val="1F3864"/>
                    </a:solidFill>
                    <a:latin typeface="Aptos Narrow"/>
                  </a:defRPr>
                </a:pPr>
                <a:r>
                  <a:rPr sz="1000" b="1">
                    <a:solidFill>
                      <a:srgbClr val="1F3864"/>
                    </a:solidFill>
                    <a:latin typeface="Aptos Narrow"/>
                  </a:rPr>
                  <a:t>Students / min</a:t>
                </a:r>
              </a:p>
            </rich>
          </tx>
          <overlay val="0"/>
        </title>
        <majorTickMark val="none"/>
        <minorTickMark val="none"/>
        <txPr>
          <a:bodyPr xmlns:a="http://schemas.openxmlformats.org/drawingml/2006/main"/>
          <a:p xmlns:a="http://schemas.openxmlformats.org/drawingml/2006/main">
            <a:pPr>
              <a:defRPr sz="900" b="0">
                <a:latin typeface="Aptos Narrow"/>
              </a:defRPr>
            </a:pPr>
            <a:r>
              <a:t/>
            </a:r>
            <a:endParaRPr/>
          </a:p>
        </txPr>
        <crossAx val="10"/>
      </valAx>
    </plotArea>
    <legend>
      <legendPos val="b"/>
      <txPr>
        <a:bodyPr xmlns:a="http://schemas.openxmlformats.org/drawingml/2006/main"/>
        <a:p xmlns:a="http://schemas.openxmlformats.org/drawingml/2006/main">
          <a:pPr>
            <a:defRPr sz="900" b="0">
              <a:latin typeface="Aptos Narrow"/>
            </a:defRPr>
          </a:pPr>
          <a:r>
            <a:t/>
          </a:r>
          <a:endParaRPr/>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latin typeface="Aptos Narrow"/>
              </a:defRPr>
            </a:pPr>
            <a:r>
              <a:rPr sz="1200" b="1">
                <a:solidFill>
                  <a:srgbClr val="1F3864"/>
                </a:solidFill>
                <a:latin typeface="Aptos Narrow"/>
              </a:rPr>
              <a:t>Average wait by rule (minutes)</a:t>
            </a:r>
          </a:p>
        </rich>
      </tx>
      <overlay val="0"/>
    </title>
    <plotArea>
      <barChart>
        <barDir val="bar"/>
        <grouping val="clustered"/>
        <ser>
          <idx val="0"/>
          <order val="0"/>
          <tx>
            <strRef>
              <f>'Load Balancing'!B63</f>
            </strRef>
          </tx>
          <spPr>
            <a:solidFill xmlns:a="http://schemas.openxmlformats.org/drawingml/2006/main">
              <a:srgbClr val="2F5597"/>
            </a:solidFill>
            <a:ln xmlns:a="http://schemas.openxmlformats.org/drawingml/2006/main">
              <a:solidFill>
                <a:srgbClr val="2F5597"/>
              </a:solidFill>
              <a:prstDash val="solid"/>
            </a:ln>
          </spPr>
          <cat>
            <numRef>
              <f>'Load Balancing'!$J$64:$J$72</f>
            </numRef>
          </cat>
          <val>
            <numRef>
              <f>'Load Balancing'!$B$64:$B$72</f>
            </numRef>
          </val>
        </ser>
        <gapWidth val="1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latin typeface="Aptos Narrow"/>
              </a:defRPr>
            </a:pPr>
            <a:r>
              <a:t/>
            </a:r>
            <a:endParaRPr/>
          </a:p>
        </txPr>
        <crossAx val="100"/>
        <lblOffset val="100"/>
      </catAx>
      <valAx>
        <axId val="100"/>
        <scaling>
          <orientation val="minMax"/>
        </scaling>
        <delete val="0"/>
        <axPos val="l"/>
        <majorGridlines/>
        <majorTickMark val="none"/>
        <minorTickMark val="none"/>
        <txPr>
          <a:bodyPr xmlns:a="http://schemas.openxmlformats.org/drawingml/2006/main"/>
          <a:p xmlns:a="http://schemas.openxmlformats.org/drawingml/2006/main">
            <a:pPr>
              <a:defRPr sz="900" b="0">
                <a:latin typeface="Aptos Narrow"/>
              </a:defRPr>
            </a:pPr>
            <a:r>
              <a:t/>
            </a:r>
            <a:endParaRPr/>
          </a:p>
        </txPr>
        <crossAx val="10"/>
      </valAx>
    </plotArea>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latin typeface="Aptos Narrow"/>
              </a:defRPr>
            </a:pPr>
            <a:r>
              <a:rPr sz="1200" b="1">
                <a:solidFill>
                  <a:srgbClr val="1F3864"/>
                </a:solidFill>
                <a:latin typeface="Aptos Narrow"/>
              </a:rPr>
              <a:t>Average wait by 10-minute slot (minutes)</a:t>
            </a:r>
          </a:p>
        </rich>
      </tx>
      <overlay val="0"/>
    </title>
    <plotArea>
      <lineChart>
        <grouping val="standard"/>
        <ser>
          <idx val="0"/>
          <order val="0"/>
          <tx>
            <strRef>
              <f>'Load Balancing'!B98</f>
            </strRef>
          </tx>
          <spPr>
            <a:ln xmlns:a="http://schemas.openxmlformats.org/drawingml/2006/main" w="22000">
              <a:solidFill>
                <a:srgbClr val="7F7F7F"/>
              </a:solidFill>
              <a:prstDash val="solid"/>
            </a:ln>
          </spPr>
          <marker>
            <symbol val="none"/>
            <spPr>
              <a:ln xmlns:a="http://schemas.openxmlformats.org/drawingml/2006/main">
                <a:prstDash val="solid"/>
              </a:ln>
            </spPr>
          </marker>
          <cat>
            <numRef>
              <f>'Load Balancing'!$A$99:$A$116</f>
            </numRef>
          </cat>
          <val>
            <numRef>
              <f>'Load Balancing'!$B$99:$B$116</f>
            </numRef>
          </val>
          <smooth val="0"/>
        </ser>
        <ser>
          <idx val="1"/>
          <order val="1"/>
          <tx>
            <strRef>
              <f>'Load Balancing'!C98</f>
            </strRef>
          </tx>
          <spPr>
            <a:ln xmlns:a="http://schemas.openxmlformats.org/drawingml/2006/main" w="22000">
              <a:solidFill>
                <a:srgbClr val="F4B183"/>
              </a:solidFill>
              <a:prstDash val="solid"/>
            </a:ln>
          </spPr>
          <marker>
            <symbol val="none"/>
            <spPr>
              <a:ln xmlns:a="http://schemas.openxmlformats.org/drawingml/2006/main">
                <a:prstDash val="solid"/>
              </a:ln>
            </spPr>
          </marker>
          <cat>
            <numRef>
              <f>'Load Balancing'!$A$99:$A$116</f>
            </numRef>
          </cat>
          <val>
            <numRef>
              <f>'Load Balancing'!$C$99:$C$116</f>
            </numRef>
          </val>
          <smooth val="0"/>
        </ser>
        <ser>
          <idx val="2"/>
          <order val="2"/>
          <tx>
            <strRef>
              <f>'Load Balancing'!D98</f>
            </strRef>
          </tx>
          <spPr>
            <a:ln xmlns:a="http://schemas.openxmlformats.org/drawingml/2006/main" w="22000">
              <a:solidFill>
                <a:srgbClr val="C55A11"/>
              </a:solidFill>
              <a:prstDash val="solid"/>
            </a:ln>
          </spPr>
          <marker>
            <symbol val="none"/>
            <spPr>
              <a:ln xmlns:a="http://schemas.openxmlformats.org/drawingml/2006/main">
                <a:prstDash val="solid"/>
              </a:ln>
            </spPr>
          </marker>
          <cat>
            <numRef>
              <f>'Load Balancing'!$A$99:$A$116</f>
            </numRef>
          </cat>
          <val>
            <numRef>
              <f>'Load Balancing'!$D$99:$D$116</f>
            </numRef>
          </val>
          <smooth val="0"/>
        </ser>
        <ser>
          <idx val="3"/>
          <order val="3"/>
          <tx>
            <strRef>
              <f>'Load Balancing'!E98</f>
            </strRef>
          </tx>
          <spPr>
            <a:ln xmlns:a="http://schemas.openxmlformats.org/drawingml/2006/main" w="22000">
              <a:solidFill>
                <a:srgbClr val="9DC3E6"/>
              </a:solidFill>
              <a:prstDash val="solid"/>
            </a:ln>
          </spPr>
          <marker>
            <symbol val="none"/>
            <spPr>
              <a:ln xmlns:a="http://schemas.openxmlformats.org/drawingml/2006/main">
                <a:prstDash val="solid"/>
              </a:ln>
            </spPr>
          </marker>
          <cat>
            <numRef>
              <f>'Load Balancing'!$A$99:$A$116</f>
            </numRef>
          </cat>
          <val>
            <numRef>
              <f>'Load Balancing'!$E$99:$E$116</f>
            </numRef>
          </val>
          <smooth val="0"/>
        </ser>
        <ser>
          <idx val="4"/>
          <order val="4"/>
          <tx>
            <strRef>
              <f>'Load Balancing'!F98</f>
            </strRef>
          </tx>
          <spPr>
            <a:ln xmlns:a="http://schemas.openxmlformats.org/drawingml/2006/main" w="22000">
              <a:solidFill>
                <a:srgbClr val="2F5597"/>
              </a:solidFill>
              <a:prstDash val="solid"/>
            </a:ln>
          </spPr>
          <marker>
            <symbol val="none"/>
            <spPr>
              <a:ln xmlns:a="http://schemas.openxmlformats.org/drawingml/2006/main">
                <a:prstDash val="solid"/>
              </a:ln>
            </spPr>
          </marker>
          <cat>
            <numRef>
              <f>'Load Balancing'!$A$99:$A$116</f>
            </numRef>
          </cat>
          <val>
            <numRef>
              <f>'Load Balancing'!$F$99:$F$116</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latin typeface="Aptos Narrow"/>
              </a:defRPr>
            </a:pPr>
            <a:r>
              <a:t/>
            </a:r>
            <a:endParaRPr/>
          </a:p>
        </txPr>
        <crossAx val="100"/>
        <lblOffset val="100"/>
      </catAx>
      <valAx>
        <axId val="100"/>
        <scaling>
          <orientation val="minMax"/>
        </scaling>
        <delete val="0"/>
        <axPos val="l"/>
        <majorGridlines/>
        <title>
          <tx>
            <rich>
              <a:bodyPr xmlns:a="http://schemas.openxmlformats.org/drawingml/2006/main"/>
              <a:p xmlns:a="http://schemas.openxmlformats.org/drawingml/2006/main">
                <a:pPr>
                  <a:defRPr sz="1000" b="1">
                    <a:solidFill>
                      <a:srgbClr val="1F3864"/>
                    </a:solidFill>
                    <a:latin typeface="Aptos Narrow"/>
                  </a:defRPr>
                </a:pPr>
                <a:r>
                  <a:rPr sz="1000" b="1">
                    <a:solidFill>
                      <a:srgbClr val="1F3864"/>
                    </a:solidFill>
                    <a:latin typeface="Aptos Narrow"/>
                  </a:rPr>
                  <a:t>Minutes</a:t>
                </a:r>
              </a:p>
            </rich>
          </tx>
          <overlay val="0"/>
        </title>
        <majorTickMark val="none"/>
        <minorTickMark val="none"/>
        <txPr>
          <a:bodyPr xmlns:a="http://schemas.openxmlformats.org/drawingml/2006/main"/>
          <a:p xmlns:a="http://schemas.openxmlformats.org/drawingml/2006/main">
            <a:pPr>
              <a:defRPr sz="900" b="0">
                <a:latin typeface="Aptos Narrow"/>
              </a:defRPr>
            </a:pPr>
            <a:r>
              <a:t/>
            </a:r>
            <a:endParaRPr/>
          </a:p>
        </txPr>
        <crossAx val="10"/>
      </valAx>
    </plotArea>
    <legend>
      <legendPos val="b"/>
      <txPr>
        <a:bodyPr xmlns:a="http://schemas.openxmlformats.org/drawingml/2006/main"/>
        <a:p xmlns:a="http://schemas.openxmlformats.org/drawingml/2006/main">
          <a:pPr>
            <a:defRPr sz="900" b="0">
              <a:latin typeface="Aptos Narrow"/>
            </a:defRPr>
          </a:pPr>
          <a:r>
            <a:t/>
          </a:r>
          <a:endParaRPr/>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latin typeface="Aptos Narrow"/>
              </a:defRPr>
            </a:pPr>
            <a:r>
              <a:rPr sz="1200" b="1">
                <a:solidFill>
                  <a:srgbClr val="1F3864"/>
                </a:solidFill>
                <a:latin typeface="Aptos Narrow"/>
              </a:rPr>
              <a:t>Busiest 10 minutes: utilisation ρ by mess</a:t>
            </a:r>
          </a:p>
        </rich>
      </tx>
      <overlay val="0"/>
    </title>
    <plotArea>
      <barChart>
        <barDir val="col"/>
        <grouping val="clustered"/>
        <ser>
          <idx val="0"/>
          <order val="0"/>
          <tx>
            <strRef>
              <f>'Load Balancing'!B168</f>
            </strRef>
          </tx>
          <spPr>
            <a:solidFill xmlns:a="http://schemas.openxmlformats.org/drawingml/2006/main">
              <a:srgbClr val="C55A11"/>
            </a:solidFill>
            <a:ln xmlns:a="http://schemas.openxmlformats.org/drawingml/2006/main">
              <a:solidFill>
                <a:srgbClr val="C55A11"/>
              </a:solidFill>
              <a:prstDash val="solid"/>
            </a:ln>
          </spPr>
          <cat>
            <numRef>
              <f>'Load Balancing'!$A$169:$A$170</f>
            </numRef>
          </cat>
          <val>
            <numRef>
              <f>'Load Balancing'!$B$169:$B$170</f>
            </numRef>
          </val>
        </ser>
        <ser>
          <idx val="1"/>
          <order val="1"/>
          <tx>
            <strRef>
              <f>'Load Balancing'!C168</f>
            </strRef>
          </tx>
          <spPr>
            <a:solidFill xmlns:a="http://schemas.openxmlformats.org/drawingml/2006/main">
              <a:srgbClr val="2F5597"/>
            </a:solidFill>
            <a:ln xmlns:a="http://schemas.openxmlformats.org/drawingml/2006/main">
              <a:solidFill>
                <a:srgbClr val="2F5597"/>
              </a:solidFill>
              <a:prstDash val="solid"/>
            </a:ln>
          </spPr>
          <cat>
            <numRef>
              <f>'Load Balancing'!$A$169:$A$170</f>
            </numRef>
          </cat>
          <val>
            <numRef>
              <f>'Load Balancing'!$C$169:$C$170</f>
            </numRef>
          </val>
        </ser>
        <gapWidth val="15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900" b="0">
                <a:latin typeface="Aptos Narrow"/>
              </a:defRPr>
            </a:pPr>
            <a:r>
              <a:t/>
            </a:r>
            <a:endParaRPr/>
          </a:p>
        </txPr>
        <crossAx val="100"/>
        <lblOffset val="100"/>
      </catAx>
      <valAx>
        <axId val="100"/>
        <scaling>
          <orientation val="minMax"/>
        </scaling>
        <delete val="0"/>
        <axPos val="l"/>
        <majorGridlines/>
        <title>
          <tx>
            <rich>
              <a:bodyPr xmlns:a="http://schemas.openxmlformats.org/drawingml/2006/main"/>
              <a:p xmlns:a="http://schemas.openxmlformats.org/drawingml/2006/main">
                <a:pPr>
                  <a:defRPr sz="1000" b="1">
                    <a:solidFill>
                      <a:srgbClr val="1F3864"/>
                    </a:solidFill>
                    <a:latin typeface="Aptos Narrow"/>
                  </a:defRPr>
                </a:pPr>
                <a:r>
                  <a:rPr sz="1000" b="1">
                    <a:solidFill>
                      <a:srgbClr val="1F3864"/>
                    </a:solidFill>
                    <a:latin typeface="Aptos Narrow"/>
                  </a:rPr>
                  <a:t>Utilisation ρ</a:t>
                </a:r>
              </a:p>
            </rich>
          </tx>
          <overlay val="0"/>
        </title>
        <numFmt formatCode="0%" sourceLinked="0"/>
        <majorTickMark val="none"/>
        <minorTickMark val="none"/>
        <txPr>
          <a:bodyPr xmlns:a="http://schemas.openxmlformats.org/drawingml/2006/main"/>
          <a:p xmlns:a="http://schemas.openxmlformats.org/drawingml/2006/main">
            <a:pPr>
              <a:defRPr sz="900" b="0">
                <a:latin typeface="Aptos Narrow"/>
              </a:defRPr>
            </a:pPr>
            <a:r>
              <a:t/>
            </a:r>
            <a:endParaRPr/>
          </a:p>
        </txPr>
        <crossAx val="10"/>
      </valAx>
    </plotArea>
    <legend>
      <legendPos val="b"/>
      <txPr>
        <a:bodyPr xmlns:a="http://schemas.openxmlformats.org/drawingml/2006/main"/>
        <a:p xmlns:a="http://schemas.openxmlformats.org/drawingml/2006/main">
          <a:pPr>
            <a:defRPr sz="900" b="0">
              <a:latin typeface="Aptos Narrow"/>
            </a:defRPr>
          </a:pPr>
          <a:r>
            <a:t/>
          </a:r>
          <a:endParaRPr/>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1F3864"/>
                </a:solidFill>
                <a:latin typeface="Aptos Narrow"/>
              </a:defRPr>
            </a:pPr>
            <a:r>
              <a:rPr sz="1200" b="1">
                <a:solidFill>
                  <a:srgbClr val="1F3864"/>
                </a:solidFill>
                <a:latin typeface="Aptos Narrow"/>
              </a:rPr>
              <a:t>Utilisation ρ by slot: today vs with the screens</a:t>
            </a:r>
          </a:p>
        </rich>
      </tx>
      <overlay val="0"/>
    </title>
    <plotArea>
      <lineChart>
        <grouping val="standard"/>
        <ser>
          <idx val="0"/>
          <order val="0"/>
          <tx>
            <strRef>
              <f>'Load Balancing'!B147</f>
            </strRef>
          </tx>
          <spPr>
            <a:ln xmlns:a="http://schemas.openxmlformats.org/drawingml/2006/main" w="22000">
              <a:solidFill>
                <a:srgbClr val="C55A11"/>
              </a:solidFill>
              <a:prstDash val="solid"/>
            </a:ln>
          </spPr>
          <marker>
            <symbol val="none"/>
            <spPr>
              <a:ln xmlns:a="http://schemas.openxmlformats.org/drawingml/2006/main">
                <a:prstDash val="solid"/>
              </a:ln>
            </spPr>
          </marker>
          <cat>
            <numRef>
              <f>'Load Balancing'!$A$148:$A$165</f>
            </numRef>
          </cat>
          <val>
            <numRef>
              <f>'Load Balancing'!$B$148:$B$165</f>
            </numRef>
          </val>
          <smooth val="0"/>
        </ser>
        <ser>
          <idx val="1"/>
          <order val="1"/>
          <tx>
            <strRef>
              <f>'Load Balancing'!C147</f>
            </strRef>
          </tx>
          <spPr>
            <a:ln xmlns:a="http://schemas.openxmlformats.org/drawingml/2006/main" w="22000">
              <a:solidFill>
                <a:srgbClr val="F4B183"/>
              </a:solidFill>
              <a:prstDash val="solid"/>
            </a:ln>
          </spPr>
          <marker>
            <symbol val="none"/>
            <spPr>
              <a:ln xmlns:a="http://schemas.openxmlformats.org/drawingml/2006/main">
                <a:prstDash val="solid"/>
              </a:ln>
            </spPr>
          </marker>
          <cat>
            <numRef>
              <f>'Load Balancing'!$A$148:$A$165</f>
            </numRef>
          </cat>
          <val>
            <numRef>
              <f>'Load Balancing'!$C$148:$C$165</f>
            </numRef>
          </val>
          <smooth val="0"/>
        </ser>
        <ser>
          <idx val="2"/>
          <order val="2"/>
          <tx>
            <strRef>
              <f>'Load Balancing'!E147</f>
            </strRef>
          </tx>
          <spPr>
            <a:ln xmlns:a="http://schemas.openxmlformats.org/drawingml/2006/main" w="22000">
              <a:solidFill>
                <a:srgbClr val="2F5597"/>
              </a:solidFill>
              <a:prstDash val="solid"/>
            </a:ln>
          </spPr>
          <marker>
            <symbol val="none"/>
            <spPr>
              <a:ln xmlns:a="http://schemas.openxmlformats.org/drawingml/2006/main">
                <a:prstDash val="solid"/>
              </a:ln>
            </spPr>
          </marker>
          <cat>
            <numRef>
              <f>'Load Balancing'!$A$148:$A$165</f>
            </numRef>
          </cat>
          <val>
            <numRef>
              <f>'Load Balancing'!$E$148:$E$165</f>
            </numRef>
          </val>
          <smooth val="0"/>
        </ser>
        <ser>
          <idx val="3"/>
          <order val="3"/>
          <tx>
            <strRef>
              <f>'Load Balancing'!F147</f>
            </strRef>
          </tx>
          <spPr>
            <a:ln xmlns:a="http://schemas.openxmlformats.org/drawingml/2006/main" w="22000">
              <a:solidFill>
                <a:srgbClr val="9DC3E6"/>
              </a:solidFill>
              <a:prstDash val="solid"/>
            </a:ln>
          </spPr>
          <marker>
            <symbol val="none"/>
            <spPr>
              <a:ln xmlns:a="http://schemas.openxmlformats.org/drawingml/2006/main">
                <a:prstDash val="solid"/>
              </a:ln>
            </spPr>
          </marker>
          <cat>
            <numRef>
              <f>'Load Balancing'!$A$148:$A$165</f>
            </numRef>
          </cat>
          <val>
            <numRef>
              <f>'Load Balancing'!$F$148:$F$165</f>
            </numRef>
          </val>
          <smooth val="0"/>
        </ser>
        <ser>
          <idx val="4"/>
          <order val="4"/>
          <tx>
            <strRef>
              <f>'Load Balancing'!H147</f>
            </strRef>
          </tx>
          <spPr>
            <a:ln xmlns:a="http://schemas.openxmlformats.org/drawingml/2006/main" w="22000">
              <a:solidFill>
                <a:srgbClr val="7F7F7F"/>
              </a:solidFill>
              <a:prstDash val="dash"/>
            </a:ln>
          </spPr>
          <marker>
            <symbol val="none"/>
            <spPr>
              <a:ln xmlns:a="http://schemas.openxmlformats.org/drawingml/2006/main">
                <a:prstDash val="solid"/>
              </a:ln>
            </spPr>
          </marker>
          <cat>
            <numRef>
              <f>'Load Balancing'!$A$148:$A$165</f>
            </numRef>
          </cat>
          <val>
            <numRef>
              <f>'Load Balancing'!$H$148:$H$165</f>
            </numRef>
          </val>
          <smooth val="0"/>
        </ser>
        <axId val="10"/>
        <axId val="100"/>
      </lineChart>
      <catAx>
        <axId val="10"/>
        <scaling>
          <orientation val="minMax"/>
        </scaling>
        <delete val="0"/>
        <axPos val="l"/>
        <majorTickMark val="none"/>
        <minorTickMark val="none"/>
        <txPr>
          <a:bodyPr xmlns:a="http://schemas.openxmlformats.org/drawingml/2006/main"/>
          <a:p xmlns:a="http://schemas.openxmlformats.org/drawingml/2006/main">
            <a:pPr>
              <a:defRPr sz="900" b="0">
                <a:latin typeface="Aptos Narrow"/>
              </a:defRPr>
            </a:pPr>
            <a:r>
              <a:t/>
            </a:r>
            <a:endParaRPr/>
          </a:p>
        </txPr>
        <crossAx val="100"/>
        <lblOffset val="100"/>
      </catAx>
      <valAx>
        <axId val="100"/>
        <scaling>
          <orientation val="minMax"/>
        </scaling>
        <delete val="0"/>
        <axPos val="l"/>
        <majorGridlines/>
        <title>
          <tx>
            <rich>
              <a:bodyPr xmlns:a="http://schemas.openxmlformats.org/drawingml/2006/main"/>
              <a:p xmlns:a="http://schemas.openxmlformats.org/drawingml/2006/main">
                <a:pPr>
                  <a:defRPr sz="1000" b="1">
                    <a:solidFill>
                      <a:srgbClr val="1F3864"/>
                    </a:solidFill>
                    <a:latin typeface="Aptos Narrow"/>
                  </a:defRPr>
                </a:pPr>
                <a:r>
                  <a:rPr sz="1000" b="1">
                    <a:solidFill>
                      <a:srgbClr val="1F3864"/>
                    </a:solidFill>
                    <a:latin typeface="Aptos Narrow"/>
                  </a:rPr>
                  <a:t>Utilisation ρ</a:t>
                </a:r>
              </a:p>
            </rich>
          </tx>
          <overlay val="0"/>
        </title>
        <numFmt formatCode="0%" sourceLinked="0"/>
        <majorTickMark val="none"/>
        <minorTickMark val="none"/>
        <txPr>
          <a:bodyPr xmlns:a="http://schemas.openxmlformats.org/drawingml/2006/main"/>
          <a:p xmlns:a="http://schemas.openxmlformats.org/drawingml/2006/main">
            <a:pPr>
              <a:defRPr sz="900" b="0">
                <a:latin typeface="Aptos Narrow"/>
              </a:defRPr>
            </a:pPr>
            <a:r>
              <a:t/>
            </a:r>
            <a:endParaRPr/>
          </a:p>
        </txPr>
        <crossAx val="10"/>
      </valAx>
    </plotArea>
    <legend>
      <legendPos val="b"/>
      <txPr>
        <a:bodyPr xmlns:a="http://schemas.openxmlformats.org/drawingml/2006/main"/>
        <a:p xmlns:a="http://schemas.openxmlformats.org/drawingml/2006/main">
          <a:pPr>
            <a:defRPr sz="900" b="0">
              <a:latin typeface="Aptos Narrow"/>
            </a:defRPr>
          </a:pPr>
          <a:r>
            <a:t/>
          </a:r>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 Type="http://schemas.openxmlformats.org/officeDocument/2006/relationships/chart" Target="/xl/charts/chart6.xml" Id="rId2"/><Relationship Type="http://schemas.openxmlformats.org/officeDocument/2006/relationships/chart" Target="/xl/charts/chart7.xml" Id="rId3"/><Relationship Type="http://schemas.openxmlformats.org/officeDocument/2006/relationships/chart" Target="/xl/charts/chart8.xml" Id="rId4"/></Relationships>
</file>

<file path=xl/drawings/drawing1.xml><?xml version="1.0" encoding="utf-8"?>
<wsDr xmlns="http://schemas.openxmlformats.org/drawingml/2006/spreadsheetDrawing">
  <oneCellAnchor>
    <from>
      <col>8</col>
      <colOff>0</colOff>
      <row>3</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8</col>
      <colOff>0</colOff>
      <row>3</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10</col>
      <colOff>0</colOff>
      <row>9</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57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11</col>
      <colOff>0</colOff>
      <row>62</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117</row>
      <rowOff>0</rowOff>
    </from>
    <ext cx="864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166</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10</col>
      <colOff>0</colOff>
      <row>147</row>
      <rowOff>0</rowOff>
    </from>
    <ext cx="7920000" cy="36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Relationship Type="http://schemas.openxmlformats.org/officeDocument/2006/relationships/hyperlink" Target="#'Variables'!A1" TargetMode="External" Id="rId2"/><Relationship Type="http://schemas.openxmlformats.org/officeDocument/2006/relationships/hyperlink" Target="#'Q1 Scanner'!A1" TargetMode="External" Id="rId3"/><Relationship Type="http://schemas.openxmlformats.org/officeDocument/2006/relationships/hyperlink" Target="#'Q2 Serving stations'!A1" TargetMode="External" Id="rId4"/><Relationship Type="http://schemas.openxmlformats.org/officeDocument/2006/relationships/hyperlink" Target="#'Q3 Seats &amp; disposal'!A1" TargetMode="External" Id="rId5"/><Relationship Type="http://schemas.openxmlformats.org/officeDocument/2006/relationships/hyperlink" Target="#'Littles Law'!A1" TargetMode="External" Id="rId6"/><Relationship Type="http://schemas.openxmlformats.org/officeDocument/2006/relationships/hyperlink" Target="#'Capacity'!A1" TargetMode="External" Id="rId7"/><Relationship Type="http://schemas.openxmlformats.org/officeDocument/2006/relationships/hyperlink" Target="#'Load Balancing'!A1" TargetMode="External" Id="rId8"/><Relationship Type="http://schemas.openxmlformats.org/officeDocument/2006/relationships/hyperlink" Target="#'Sim Data'!A1" TargetMode="External" Id="rId9"/><Relationship Type="http://schemas.openxmlformats.org/officeDocument/2006/relationships/hyperlink" Target="#'Checks'!A1" TargetMode="External" Id="rId10"/></Relationships>
</file>

<file path=xl/worksheets/_rels/sheet3.xml.rels><Relationships xmlns="http://schemas.openxmlformats.org/package/2006/relationships"><Relationship Type="http://schemas.openxmlformats.org/officeDocument/2006/relationships/hyperlink" Target="#'Q1 Scanner'!A1" TargetMode="External" Id="rId1"/><Relationship Type="http://schemas.openxmlformats.org/officeDocument/2006/relationships/hyperlink" Target="#'Q2 Serving stations'!A1" TargetMode="External" Id="rId2"/><Relationship Type="http://schemas.openxmlformats.org/officeDocument/2006/relationships/hyperlink" Target="#'Q3 Seats &amp; disposal'!A1" TargetMode="External" Id="rId3"/><Relationship Type="http://schemas.openxmlformats.org/officeDocument/2006/relationships/hyperlink" Target="#'Q3 Seats &amp; disposal'!A1" TargetMode="External" Id="rId4"/><Relationship Type="http://schemas.openxmlformats.org/officeDocument/2006/relationships/hyperlink" Target="#'Littles Law'!A1" TargetMode="External" Id="rId5"/></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tabColor rgb="001F3864"/>
    <outlinePr summaryBelow="1" summaryRight="1"/>
    <pageSetUpPr fitToPage="1"/>
  </sheetPr>
  <dimension ref="A1:D40"/>
  <sheetViews>
    <sheetView showGridLines="0" tabSelected="1" zoomScale="100" workbookViewId="0">
      <selection activeCell="A1" sqref="A1"/>
    </sheetView>
  </sheetViews>
  <sheetFormatPr baseColWidth="8" defaultRowHeight="15"/>
  <cols>
    <col width="3" customWidth="1" min="1" max="1"/>
    <col width="44" customWidth="1" min="2" max="2"/>
    <col width="72" customWidth="1" min="3" max="3"/>
    <col width="26" customWidth="1" min="4" max="4"/>
  </cols>
  <sheetData>
    <row r="1" ht="36" customHeight="1">
      <c r="A1" s="1" t="inlineStr">
        <is>
          <t>Smart Mess: queues, capacity and load balancing</t>
        </is>
      </c>
      <c r="B1" s="2" t="n"/>
      <c r="C1" s="2" t="n"/>
      <c r="D1" s="2" t="n"/>
    </row>
    <row r="2" ht="22" customHeight="1">
      <c r="A2" s="3" t="inlineStr">
        <is>
          <t>Central CT and Munch Mess · lunch 11:30–14:30 · MDS project, Group WGB3</t>
        </is>
      </c>
    </row>
    <row r="3" ht="8" customHeight="1"/>
    <row r="4" ht="24.85" customHeight="1">
      <c r="B4" s="4" t="inlineStr">
        <is>
          <t>What this workbook shows</t>
        </is>
      </c>
    </row>
    <row r="5" ht="37.9" customHeight="1">
      <c r="B5" s="5" t="inlineStr">
        <is>
          <t>Where the lunch queue forms, how much each part of the mess can handle, and how Smart Scan spreads students between the two messes. Three questions, one tab each, all built on the same simulated lunches.</t>
        </is>
      </c>
    </row>
    <row r="6" ht="37.9" customHeight="1">
      <c r="B6" s="6" t="inlineStr">
        <is>
          <t>All figures are simulated: 20 simulated lunches per scenario from the Smart Mess model, using the inputs on the Assumptions tab. They show how the system behaves under those assumptions; they are not measurements.</t>
        </is>
      </c>
    </row>
    <row r="7"/>
    <row r="8" ht="24.85" customHeight="1">
      <c r="B8" s="4" t="inlineStr">
        <is>
          <t>How to walk through it</t>
        </is>
      </c>
    </row>
    <row r="9" ht="21.95" customHeight="1">
      <c r="B9" s="7" t="inlineStr">
        <is>
          <t>Tab</t>
        </is>
      </c>
      <c r="C9" s="7" t="inlineStr">
        <is>
          <t>What it answers</t>
        </is>
      </c>
      <c r="D9" s="7" t="inlineStr">
        <is>
          <t>Concept</t>
        </is>
      </c>
    </row>
    <row r="10" ht="21.95" customHeight="1">
      <c r="B10" s="8" t="inlineStr">
        <is>
          <t>Assumptions</t>
        </is>
      </c>
      <c r="C10" s="9" t="inlineStr">
        <is>
          <t>What we assumed: students, timings, seats, stations, compliance</t>
        </is>
      </c>
      <c r="D10" s="10" t="inlineStr">
        <is>
          <t>Inputs</t>
        </is>
      </c>
    </row>
    <row r="11" ht="21.95" customHeight="1">
      <c r="B11" s="8" t="inlineStr">
        <is>
          <t>Variables</t>
        </is>
      </c>
      <c r="C11" s="9" t="inlineStr">
        <is>
          <t>What each symbol means, with its value in a real slot (λ = …, ρ = …)</t>
        </is>
      </c>
      <c r="D11" s="10" t="inlineStr">
        <is>
          <t>Notation</t>
        </is>
      </c>
    </row>
    <row r="12" ht="21.95" customHeight="1">
      <c r="B12" s="8" t="inlineStr">
        <is>
          <t>Q1 Scanner</t>
        </is>
      </c>
      <c r="C12" s="9" t="inlineStr">
        <is>
          <t>Can one face scanner keep up?</t>
        </is>
      </c>
      <c r="D12" s="10" t="inlineStr">
        <is>
          <t>1 · Queue management (M/M/1)</t>
        </is>
      </c>
    </row>
    <row r="13" ht="21.95" customHeight="1">
      <c r="B13" s="8" t="inlineStr">
        <is>
          <t>Q2 Serving stations</t>
        </is>
      </c>
      <c r="C13" s="9" t="inlineStr">
        <is>
          <t>Where does the line form, and when is it unstable?</t>
        </is>
      </c>
      <c r="D13" s="10" t="inlineStr">
        <is>
          <t>1 · Queue management (M/M/c)</t>
        </is>
      </c>
    </row>
    <row r="14" ht="21.95" customHeight="1">
      <c r="B14" s="8" t="inlineStr">
        <is>
          <t>Q3 Seats &amp; disposal</t>
        </is>
      </c>
      <c r="C14" s="9" t="inlineStr">
        <is>
          <t>Do the seats or the bins ever hold students up?</t>
        </is>
      </c>
      <c r="D14" s="10" t="inlineStr">
        <is>
          <t>1 · Queue management (M/G/c)</t>
        </is>
      </c>
    </row>
    <row r="15" ht="21.95" customHeight="1">
      <c r="B15" s="8" t="inlineStr">
        <is>
          <t>Littles Law</t>
        </is>
      </c>
      <c r="C15" s="9" t="inlineStr">
        <is>
          <t>When is the mess steady, filling or emptying?</t>
        </is>
      </c>
      <c r="D15" s="10" t="inlineStr">
        <is>
          <t>1 · Little's Law</t>
        </is>
      </c>
    </row>
    <row r="16" ht="21.95" customHeight="1">
      <c r="B16" s="8" t="inlineStr">
        <is>
          <t>Capacity</t>
        </is>
      </c>
      <c r="C16" s="9" t="inlineStr">
        <is>
          <t>Seat turnover, capacity of each stage, the bottleneck</t>
        </is>
      </c>
      <c r="D16" s="10" t="inlineStr">
        <is>
          <t>2 · Capacity management</t>
        </is>
      </c>
    </row>
    <row r="17" ht="21.95" customHeight="1">
      <c r="B17" s="8" t="inlineStr">
        <is>
          <t>Load Balancing</t>
        </is>
      </c>
      <c r="C17" s="9" t="inlineStr">
        <is>
          <t>When we send students to the other mess, and why a fixed rule fails</t>
        </is>
      </c>
      <c r="D17" s="10" t="inlineStr">
        <is>
          <t>3 · Load balancing</t>
        </is>
      </c>
    </row>
    <row r="18" ht="21.95" customHeight="1">
      <c r="B18" s="8" t="inlineStr">
        <is>
          <t>Sim Data</t>
        </is>
      </c>
      <c r="C18" s="9" t="inlineStr">
        <is>
          <t>The simulated numbers every tab reads from</t>
        </is>
      </c>
      <c r="D18" s="10" t="inlineStr">
        <is>
          <t>Data</t>
        </is>
      </c>
    </row>
    <row r="19" ht="21.95" customHeight="1">
      <c r="B19" s="8" t="inlineStr">
        <is>
          <t>Checks</t>
        </is>
      </c>
      <c r="C19" s="9" t="inlineStr">
        <is>
          <t>Do the numbers add up?</t>
        </is>
      </c>
      <c r="D19" s="10" t="inlineStr">
        <is>
          <t>Validation</t>
        </is>
      </c>
    </row>
    <row r="20"/>
    <row r="21" ht="24.85" customHeight="1">
      <c r="B21" s="4" t="inlineStr">
        <is>
          <t>Headline results</t>
        </is>
      </c>
    </row>
    <row r="22" ht="21.95" customHeight="1">
      <c r="B22" s="9" t="inlineStr">
        <is>
          <t>Bottleneck at both messes</t>
        </is>
      </c>
      <c r="C22" s="11">
        <f>'Capacity'!B36</f>
        <v/>
      </c>
      <c r="D22" s="12" t="n"/>
    </row>
    <row r="23" ht="37.9" customHeight="1">
      <c r="B23" s="9" t="inlineStr">
        <is>
          <t>Central's serving stations at the 13:10 surge (today)</t>
        </is>
      </c>
      <c r="C23" s="11">
        <f>TEXT('Q2 Serving stations'!C6,"0%")&amp;" busy: over capacity"</f>
        <v/>
      </c>
      <c r="D23" s="12" t="n"/>
    </row>
    <row r="24" ht="37.9" customHeight="1">
      <c r="B24" s="9" t="inlineStr">
        <is>
          <t>Slots over capacity at Central: today → with screens</t>
        </is>
      </c>
      <c r="C24" s="11">
        <f>'Q2 Serving stations'!D6&amp;" → "&amp;'Q2 Serving stations'!D8</f>
        <v/>
      </c>
      <c r="D24" s="12" t="n"/>
    </row>
    <row r="25" ht="21.95" customHeight="1">
      <c r="B25" s="9" t="inlineStr">
        <is>
          <t>Seat turnover at Central</t>
        </is>
      </c>
      <c r="C25" s="11">
        <f>TEXT('Capacity'!B22,"0.0")&amp;" min per diner · "&amp;TEXT('Capacity'!B23,"0.0")&amp;" diners per seat per hour"</f>
        <v/>
      </c>
      <c r="D25" s="12" t="n"/>
    </row>
    <row r="26" ht="21.95" customHeight="1">
      <c r="B26" s="9" t="inlineStr">
        <is>
          <t>Peak seats in use: Central / Munch</t>
        </is>
      </c>
      <c r="C26" s="11">
        <f>TEXT('Capacity'!B29,"0%")&amp;" of 900 / "&amp;TEXT('Capacity'!C29,"0%")&amp;" of 492"</f>
        <v/>
      </c>
      <c r="D26" s="12" t="n"/>
    </row>
    <row r="27" ht="37.9" customHeight="1">
      <c r="B27" s="9" t="inlineStr">
        <is>
          <t>Average wait: today → freshers-at-Munch rule → Smart Scan</t>
        </is>
      </c>
      <c r="C27" s="11">
        <f>TEXT('Load Balancing'!B64,"0.0")&amp;" → "&amp;TEXT('Load Balancing'!B65,"0.0")&amp;" → "&amp;TEXT('Load Balancing'!B71,"0.0")&amp;" min"</f>
        <v/>
      </c>
      <c r="D27" s="12" t="n"/>
    </row>
    <row r="28" ht="37.9" customHeight="1">
      <c r="B28" s="9" t="inlineStr">
        <is>
          <t>Load balance at the busiest 10 minutes: Central / Munch ρ, today → with screens</t>
        </is>
      </c>
      <c r="C28" s="11">
        <f>TEXT('Load Balancing'!B169,"0%")&amp;" / "&amp;TEXT('Load Balancing'!B170,"0%")&amp;" → "&amp;TEXT('Load Balancing'!C169,"0%")&amp;" / "&amp;TEXT('Load Balancing'!C170,"0%")&amp;" (balanced "&amp;TEXT('Load Balancing'!D169,"0%")&amp;")"</f>
        <v/>
      </c>
      <c r="D28" s="12" t="n"/>
    </row>
    <row r="29" ht="37.9" customHeight="1">
      <c r="B29" s="9" t="inlineStr">
        <is>
          <t>Stations needed at Central for its peak (target ρ): today → with screens</t>
        </is>
      </c>
      <c r="C29" s="11">
        <f>'Capacity'!B50&amp;" → "&amp;'Capacity'!B51&amp;" (2 available)"</f>
        <v/>
      </c>
      <c r="D29" s="12" t="n"/>
    </row>
    <row r="30" ht="21.95" customHeight="1">
      <c r="B30" s="9" t="inlineStr">
        <is>
          <t>All checks</t>
        </is>
      </c>
      <c r="C30" s="11">
        <f>'Checks'!C18</f>
        <v/>
      </c>
      <c r="D30" s="12" t="n"/>
    </row>
    <row r="31"/>
    <row r="32" ht="24.85" customHeight="1">
      <c r="B32" s="4" t="inlineStr">
        <is>
          <t>Colour key</t>
        </is>
      </c>
    </row>
    <row r="33" ht="21.95" customHeight="1">
      <c r="B33" s="13" t="inlineStr">
        <is>
          <t>Blue text</t>
        </is>
      </c>
      <c r="C33" s="14" t="inlineStr">
        <is>
          <t>an input you can change</t>
        </is>
      </c>
    </row>
    <row r="34" ht="21.95" customHeight="1">
      <c r="B34" s="15" t="inlineStr">
        <is>
          <t>Shaded yellow</t>
        </is>
      </c>
      <c r="C34" s="14" t="inlineStr">
        <is>
          <t>an assumption not yet measured</t>
        </is>
      </c>
    </row>
    <row r="35" ht="21.95" customHeight="1">
      <c r="B35" s="16" t="inlineStr">
        <is>
          <t>Shaded grey</t>
        </is>
      </c>
      <c r="C35" s="14" t="inlineStr">
        <is>
          <t>simulated data</t>
        </is>
      </c>
    </row>
    <row r="36" ht="21.95" customHeight="1">
      <c r="B36" s="17" t="inlineStr">
        <is>
          <t>Green text</t>
        </is>
      </c>
      <c r="C36" s="14" t="inlineStr">
        <is>
          <t>a value pulled from another tab</t>
        </is>
      </c>
    </row>
    <row r="37" ht="21.95" customHeight="1">
      <c r="B37" s="18" t="inlineStr">
        <is>
          <t>Shaded green</t>
        </is>
      </c>
      <c r="C37" s="14" t="inlineStr">
        <is>
          <t>a key result</t>
        </is>
      </c>
    </row>
    <row r="38" ht="21.95" customHeight="1">
      <c r="B38" s="19" t="inlineStr">
        <is>
          <t>Red / amber rows</t>
        </is>
      </c>
      <c r="C38" s="14" t="inlineStr">
        <is>
          <t>over capacity / near capacity</t>
        </is>
      </c>
    </row>
    <row r="39"/>
    <row r="40" ht="21.95" customHeight="1">
      <c r="B40" s="20" t="inlineStr">
        <is>
          <t>To refresh the data: python tools/queue_capacity_data.py, then python tools/build_queue_capacity_workbook.py</t>
        </is>
      </c>
    </row>
  </sheetData>
  <mergeCells count="12">
    <mergeCell ref="B5:D5"/>
    <mergeCell ref="C29:D29"/>
    <mergeCell ref="C24:D24"/>
    <mergeCell ref="C30:D30"/>
    <mergeCell ref="C25:D25"/>
    <mergeCell ref="C27:D27"/>
    <mergeCell ref="C26:D26"/>
    <mergeCell ref="B40:D40"/>
    <mergeCell ref="C28:D28"/>
    <mergeCell ref="C22:D22"/>
    <mergeCell ref="C23:D23"/>
    <mergeCell ref="B6:D6"/>
  </mergeCells>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s>
  <printOptions horizontalCentered="1"/>
  <pageMargins left="0.75" right="0.75" top="1" bottom="1" header="0.5" footer="0.5"/>
  <pageSetup orientation="landscape" fitToHeight="0" fitToWidth="1"/>
</worksheet>
</file>

<file path=xl/worksheets/sheet2.xml><?xml version="1.0" encoding="utf-8"?>
<worksheet xmlns="http://schemas.openxmlformats.org/spreadsheetml/2006/main">
  <sheetPr>
    <tabColor rgb="007F7F7F"/>
    <outlinePr summaryBelow="1" summaryRight="1"/>
    <pageSetUpPr fitToPage="1"/>
  </sheetPr>
  <dimension ref="A1:E59"/>
  <sheetViews>
    <sheetView showGridLines="0" tabSelected="0" zoomScale="100" workbookViewId="0">
      <pane ySplit="4" topLeftCell="A5" activePane="bottomLeft" state="frozen"/>
      <selection pane="bottomLeft" activeCell="A1" sqref="A1"/>
    </sheetView>
  </sheetViews>
  <sheetFormatPr baseColWidth="8" defaultRowHeight="15"/>
  <cols>
    <col width="60" customWidth="1" min="1" max="1"/>
    <col width="12" customWidth="1" min="2" max="2"/>
    <col width="14" customWidth="1" min="3" max="3"/>
    <col width="16" customWidth="1" min="4" max="4"/>
    <col width="66" customWidth="1" min="5" max="5"/>
  </cols>
  <sheetData>
    <row r="1" ht="36" customHeight="1">
      <c r="A1" s="1" t="inlineStr">
        <is>
          <t>Assumptions</t>
        </is>
      </c>
      <c r="B1" s="2" t="n"/>
      <c r="C1" s="2" t="n"/>
      <c r="D1" s="2" t="n"/>
      <c r="E1" s="2" t="n"/>
    </row>
    <row r="2" ht="22" customHeight="1">
      <c r="A2" s="3" t="inlineStr">
        <is>
          <t>Every input behind the simulated lunches, and where it comes from. Blue = input; shaded yellow = not measured yet.</t>
        </is>
      </c>
    </row>
    <row r="3" ht="8" customHeight="1"/>
    <row r="4" ht="21.95" customHeight="1">
      <c r="A4" s="7" t="inlineStr">
        <is>
          <t>Assumption</t>
        </is>
      </c>
      <c r="B4" s="7" t="inlineStr">
        <is>
          <t>Value</t>
        </is>
      </c>
      <c r="C4" s="7" t="inlineStr">
        <is>
          <t>Unit</t>
        </is>
      </c>
      <c r="D4" s="7" t="inlineStr">
        <is>
          <t>Status</t>
        </is>
      </c>
      <c r="E4" s="7" t="inlineStr">
        <is>
          <t>Source / note</t>
        </is>
      </c>
    </row>
    <row r="5" ht="24.85" customHeight="1">
      <c r="A5" s="4" t="inlineStr">
        <is>
          <t>Demand</t>
        </is>
      </c>
    </row>
    <row r="6" ht="21.95" customHeight="1">
      <c r="A6" s="14" t="inlineStr">
        <is>
          <t>Students per lunch (both messes)</t>
        </is>
      </c>
      <c r="B6" s="21" t="n">
        <v>2960</v>
      </c>
      <c r="C6" s="14" t="inlineStr">
        <is>
          <t>students</t>
        </is>
      </c>
      <c r="D6" s="22" t="inlineStr">
        <is>
          <t>Measured</t>
        </is>
      </c>
      <c r="E6" s="23" t="inlineStr">
        <is>
          <t>Plates served (Phase 1)</t>
        </is>
      </c>
    </row>
    <row r="7" ht="21.95" customHeight="1">
      <c r="A7" s="14" t="inlineStr">
        <is>
          <t>Share who eat at Central by habit (no screens)</t>
        </is>
      </c>
      <c r="B7" s="24" t="n">
        <v>0.797</v>
      </c>
      <c r="C7" s="14" t="inlineStr">
        <is>
          <t>share</t>
        </is>
      </c>
      <c r="D7" s="22" t="inlineStr">
        <is>
          <t>Measured</t>
        </is>
      </c>
      <c r="E7" s="23" t="inlineStr">
        <is>
          <t>Group: ~2,360 Central, ~600 Munch</t>
        </is>
      </c>
    </row>
    <row r="8" ht="21.95" customHeight="1">
      <c r="A8" s="14" t="inlineStr">
        <is>
          <t>Lunch window</t>
        </is>
      </c>
      <c r="B8" s="25" t="n">
        <v>180</v>
      </c>
      <c r="C8" s="14" t="inlineStr">
        <is>
          <t>minutes</t>
        </is>
      </c>
      <c r="D8" s="22" t="inlineStr">
        <is>
          <t>Measured</t>
        </is>
      </c>
      <c r="E8" s="23" t="inlineStr">
        <is>
          <t>11:30–14:30</t>
        </is>
      </c>
    </row>
    <row r="9" ht="21.95" customHeight="1">
      <c r="A9" s="14" t="inlineStr">
        <is>
          <t>Total time in the mess: low (quiet)</t>
        </is>
      </c>
      <c r="B9" s="26" t="n">
        <v>17</v>
      </c>
      <c r="C9" s="14" t="inlineStr">
        <is>
          <t>minutes</t>
        </is>
      </c>
      <c r="D9" s="27" t="inlineStr">
        <is>
          <t>Group estimate</t>
        </is>
      </c>
      <c r="E9" s="23" t="inlineStr">
        <is>
          <t>Group: 17–35 min door to leaving, depending on the rush</t>
        </is>
      </c>
    </row>
    <row r="10" ht="21.95" customHeight="1">
      <c r="A10" s="14" t="inlineStr">
        <is>
          <t>Total time in the mess: high (rush)</t>
        </is>
      </c>
      <c r="B10" s="26" t="n">
        <v>35</v>
      </c>
      <c r="C10" s="14" t="inlineStr">
        <is>
          <t>minutes</t>
        </is>
      </c>
      <c r="D10" s="27" t="inlineStr">
        <is>
          <t>Group estimate</t>
        </is>
      </c>
      <c r="E10" s="23" t="inlineStr">
        <is>
          <t>As above</t>
        </is>
      </c>
    </row>
    <row r="11" ht="37.9" customHeight="1">
      <c r="A11" s="14" t="inlineStr">
        <is>
          <t>Arrival lag after a department's lunch break starts: mean</t>
        </is>
      </c>
      <c r="B11" s="26" t="n">
        <v>20</v>
      </c>
      <c r="C11" s="14" t="inlineStr">
        <is>
          <t>minutes</t>
        </is>
      </c>
      <c r="D11" s="27" t="inlineStr">
        <is>
          <t>Calibrated</t>
        </is>
      </c>
      <c r="E11" s="23" t="inlineStr">
        <is>
          <t>Fits the 17–35 min visit and ~15 min peak delay; department breaks from the group's timetable</t>
        </is>
      </c>
    </row>
    <row r="12" ht="21.95" customHeight="1">
      <c r="A12" s="14" t="inlineStr">
        <is>
          <t>Arrival lag: spread</t>
        </is>
      </c>
      <c r="B12" s="26" t="n">
        <v>20</v>
      </c>
      <c r="C12" s="14" t="inlineStr">
        <is>
          <t>minutes</t>
        </is>
      </c>
      <c r="D12" s="27" t="inlineStr">
        <is>
          <t>Calibrated</t>
        </is>
      </c>
      <c r="E12" s="23" t="inlineStr">
        <is>
          <t>As above</t>
        </is>
      </c>
    </row>
    <row r="13"/>
    <row r="14" ht="24.85" customHeight="1">
      <c r="A14" s="4" t="inlineStr">
        <is>
          <t>Stage 1 · Scan &amp; collect plate (30–45 s)</t>
        </is>
      </c>
    </row>
    <row r="15" ht="21.95" customHeight="1">
      <c r="A15" s="14" t="inlineStr">
        <is>
          <t>Face scanners per mess</t>
        </is>
      </c>
      <c r="B15" s="25" t="n">
        <v>1</v>
      </c>
      <c r="C15" s="14" t="inlineStr">
        <is>
          <t>scanners</t>
        </is>
      </c>
      <c r="D15" s="22" t="inlineStr">
        <is>
          <t>Measured</t>
        </is>
      </c>
      <c r="E15" s="23" t="inlineStr">
        <is>
          <t>Group observation</t>
        </is>
      </c>
    </row>
    <row r="16" ht="21.95" customHeight="1">
      <c r="A16" s="14" t="inlineStr">
        <is>
          <t>Time per face scan</t>
        </is>
      </c>
      <c r="B16" s="28" t="n">
        <v>2</v>
      </c>
      <c r="C16" s="14" t="inlineStr">
        <is>
          <t>seconds</t>
        </is>
      </c>
      <c r="D16" s="27" t="inlineStr">
        <is>
          <t>Assumed</t>
        </is>
      </c>
      <c r="E16" s="23" t="inlineStr">
        <is>
          <t>Stopwatch at the scanner</t>
        </is>
      </c>
    </row>
    <row r="17" ht="21.95" customHeight="1">
      <c r="A17" s="14" t="inlineStr">
        <is>
          <t>Collect a plate after the scan (28–43 s)</t>
        </is>
      </c>
      <c r="B17" s="26" t="n">
        <v>35.5</v>
      </c>
      <c r="C17" s="14" t="inlineStr">
        <is>
          <t>seconds</t>
        </is>
      </c>
      <c r="D17" s="27" t="inlineStr">
        <is>
          <t>Group estimate</t>
        </is>
      </c>
      <c r="E17" s="23" t="inlineStr">
        <is>
          <t>Group: scan + plate takes 30–45 s</t>
        </is>
      </c>
    </row>
    <row r="18"/>
    <row r="19" ht="24.85" customHeight="1">
      <c r="A19" s="4" t="inlineStr">
        <is>
          <t>Stage 2 · Collect food (1–2 min, plus the queue)</t>
        </is>
      </c>
    </row>
    <row r="20" ht="21.95" customHeight="1">
      <c r="A20" s="14" t="inlineStr">
        <is>
          <t>Serving stations per mess</t>
        </is>
      </c>
      <c r="B20" s="25" t="n">
        <v>2</v>
      </c>
      <c r="C20" s="14" t="inlineStr">
        <is>
          <t>stations</t>
        </is>
      </c>
      <c r="D20" s="22" t="inlineStr">
        <is>
          <t>Measured</t>
        </is>
      </c>
      <c r="E20" s="23" t="inlineStr">
        <is>
          <t>Group observation</t>
        </is>
      </c>
    </row>
    <row r="21" ht="21.95" customHeight="1">
      <c r="A21" s="14" t="inlineStr">
        <is>
          <t>Service rate per station</t>
        </is>
      </c>
      <c r="B21" s="28" t="n">
        <v>10</v>
      </c>
      <c r="C21" s="14" t="inlineStr">
        <is>
          <t>students/min</t>
        </is>
      </c>
      <c r="D21" s="27" t="inlineStr">
        <is>
          <t>Assumed</t>
        </is>
      </c>
      <c r="E21" s="23" t="inlineStr">
        <is>
          <t>≈6 s per student; stopwatch 20–30 students</t>
        </is>
      </c>
    </row>
    <row r="22" ht="21.95" customHeight="1">
      <c r="A22" s="14" t="inlineStr">
        <is>
          <t>Variability of serving time (coefficient of variation)</t>
        </is>
      </c>
      <c r="B22" s="28" t="n">
        <v>0.6</v>
      </c>
      <c r="C22" s="14" t="inlineStr">
        <is>
          <t>ratio</t>
        </is>
      </c>
      <c r="D22" s="27" t="inlineStr">
        <is>
          <t>Assumed</t>
        </is>
      </c>
      <c r="E22" s="23" t="inlineStr">
        <is>
          <t>1.0 would be exponential, as M/M/c assumes</t>
        </is>
      </c>
    </row>
    <row r="23" ht="37.9" customHeight="1">
      <c r="A23" s="14" t="inlineStr">
        <is>
          <t>Rest of food collection after the station (54–114 s)</t>
        </is>
      </c>
      <c r="B23" s="26" t="n">
        <v>84</v>
      </c>
      <c r="C23" s="14" t="inlineStr">
        <is>
          <t>seconds</t>
        </is>
      </c>
      <c r="D23" s="27" t="inlineStr">
        <is>
          <t>Group estimate</t>
        </is>
      </c>
      <c r="E23" s="23" t="inlineStr">
        <is>
          <t>Group: collecting food takes 1–2 min without a queue (serving ≈ 6 s + the rest); the queue adds up to ~15 min in the rush</t>
        </is>
      </c>
    </row>
    <row r="24"/>
    <row r="25" ht="24.85" customHeight="1">
      <c r="A25" s="4" t="inlineStr">
        <is>
          <t>Stage 3 · Eat (14–18 min)</t>
        </is>
      </c>
    </row>
    <row r="26" ht="21.95" customHeight="1">
      <c r="A26" s="14" t="inlineStr">
        <is>
          <t>Seats: Central CT</t>
        </is>
      </c>
      <c r="B26" s="21" t="n">
        <v>900</v>
      </c>
      <c r="C26" s="14" t="inlineStr">
        <is>
          <t>seats</t>
        </is>
      </c>
      <c r="D26" s="22" t="inlineStr">
        <is>
          <t>Measured</t>
        </is>
      </c>
      <c r="E26" s="23" t="inlineStr">
        <is>
          <t>CT manager</t>
        </is>
      </c>
    </row>
    <row r="27" ht="21.95" customHeight="1">
      <c r="A27" s="14" t="inlineStr">
        <is>
          <t>Seats: Munch Mess</t>
        </is>
      </c>
      <c r="B27" s="21" t="n">
        <v>492</v>
      </c>
      <c r="C27" s="14" t="inlineStr">
        <is>
          <t>seats</t>
        </is>
      </c>
      <c r="D27" s="22" t="inlineStr">
        <is>
          <t>Measured</t>
        </is>
      </c>
      <c r="E27" s="23" t="inlineStr">
        <is>
          <t>CT manager</t>
        </is>
      </c>
    </row>
    <row r="28" ht="21.95" customHeight="1">
      <c r="A28" s="14" t="inlineStr">
        <is>
          <t>Eating time: low</t>
        </is>
      </c>
      <c r="B28" s="26" t="n">
        <v>14</v>
      </c>
      <c r="C28" s="14" t="inlineStr">
        <is>
          <t>minutes</t>
        </is>
      </c>
      <c r="D28" s="27" t="inlineStr">
        <is>
          <t>Group estimate</t>
        </is>
      </c>
      <c r="E28" s="23" t="inlineStr">
        <is>
          <t>Group: 14–18 min</t>
        </is>
      </c>
    </row>
    <row r="29" ht="21.95" customHeight="1">
      <c r="A29" s="14" t="inlineStr">
        <is>
          <t>Eating time: high</t>
        </is>
      </c>
      <c r="B29" s="26" t="n">
        <v>18</v>
      </c>
      <c r="C29" s="14" t="inlineStr">
        <is>
          <t>minutes</t>
        </is>
      </c>
      <c r="D29" s="27" t="inlineStr">
        <is>
          <t>Group estimate</t>
        </is>
      </c>
      <c r="E29" s="23" t="inlineStr">
        <is>
          <t>As above</t>
        </is>
      </c>
    </row>
    <row r="30" ht="69.8" customHeight="1">
      <c r="A30" s="14" t="inlineStr">
        <is>
          <t>Seat changeover (next diner sits after the last leaves)</t>
        </is>
      </c>
      <c r="B30" s="28" t="n">
        <v>0.2</v>
      </c>
      <c r="C30" s="14" t="inlineStr">
        <is>
          <t>minutes</t>
        </is>
      </c>
      <c r="D30" s="27" t="inlineStr">
        <is>
          <t>Assumed</t>
        </is>
      </c>
      <c r="E30" s="23" t="inlineStr">
        <is>
          <t>Students clear their own plate; no table cleaning delays between diners as such. Used only in the seat-turnover formulas (a small safety margin); the simulation frees a seat as soon as the diner gets up</t>
        </is>
      </c>
    </row>
    <row r="31"/>
    <row r="32" ht="24.85" customHeight="1">
      <c r="A32" s="4" t="inlineStr">
        <is>
          <t>Stage 4 · Dispose of plate (1–2 min)</t>
        </is>
      </c>
    </row>
    <row r="33" ht="21.95" customHeight="1">
      <c r="A33" s="14" t="inlineStr">
        <is>
          <t>Disposal: low</t>
        </is>
      </c>
      <c r="B33" s="28" t="n">
        <v>1</v>
      </c>
      <c r="C33" s="14" t="inlineStr">
        <is>
          <t>minutes</t>
        </is>
      </c>
      <c r="D33" s="27" t="inlineStr">
        <is>
          <t>Group estimate</t>
        </is>
      </c>
      <c r="E33" s="23" t="inlineStr">
        <is>
          <t>Group: 2 min at most</t>
        </is>
      </c>
    </row>
    <row r="34" ht="21.95" customHeight="1">
      <c r="A34" s="14" t="inlineStr">
        <is>
          <t>Disposal: high</t>
        </is>
      </c>
      <c r="B34" s="28" t="n">
        <v>2</v>
      </c>
      <c r="C34" s="14" t="inlineStr">
        <is>
          <t>minutes</t>
        </is>
      </c>
      <c r="D34" s="27" t="inlineStr">
        <is>
          <t>Group estimate</t>
        </is>
      </c>
      <c r="E34" s="23" t="inlineStr">
        <is>
          <t>As above</t>
        </is>
      </c>
    </row>
    <row r="35"/>
    <row r="36" ht="24.85" customHeight="1">
      <c r="A36" s="4" t="inlineStr">
        <is>
          <t>Load balancing (door screens)</t>
        </is>
      </c>
    </row>
    <row r="37" ht="37.9" customHeight="1">
      <c r="A37" s="14" t="inlineStr">
        <is>
          <t>Share who follow a screen's advice</t>
        </is>
      </c>
      <c r="B37" s="29" t="n">
        <v>0.6</v>
      </c>
      <c r="C37" s="14" t="inlineStr">
        <is>
          <t>share</t>
        </is>
      </c>
      <c r="D37" s="27" t="inlineStr">
        <is>
          <t>Assumed</t>
        </is>
      </c>
      <c r="E37" s="23" t="inlineStr">
        <is>
          <t>Imaginary adoption rate to measure impact; the pilot measures the real one</t>
        </is>
      </c>
    </row>
    <row r="38" ht="21.95" customHeight="1">
      <c r="A38" s="14" t="inlineStr">
        <is>
          <t>Walk between the two mess doors</t>
        </is>
      </c>
      <c r="B38" s="30" t="n">
        <v>0.5</v>
      </c>
      <c r="C38" s="14" t="inlineStr">
        <is>
          <t>minutes</t>
        </is>
      </c>
      <c r="D38" s="27" t="inlineStr">
        <is>
          <t>Timed</t>
        </is>
      </c>
      <c r="E38" s="23" t="inlineStr">
        <is>
          <t>30 s</t>
        </is>
      </c>
    </row>
    <row r="39" ht="21.95" customHeight="1">
      <c r="A39" s="14" t="inlineStr">
        <is>
          <t>Minimum saving before a screen suggests switching</t>
        </is>
      </c>
      <c r="B39" s="30" t="n">
        <v>2</v>
      </c>
      <c r="C39" s="14" t="inlineStr">
        <is>
          <t>minutes</t>
        </is>
      </c>
      <c r="D39" s="27" t="inlineStr">
        <is>
          <t>Rule-based routing</t>
        </is>
      </c>
      <c r="E39" s="23" t="inlineStr">
        <is>
          <t>Our design choice</t>
        </is>
      </c>
    </row>
    <row r="40" ht="37.9" customHeight="1">
      <c r="A40" s="14" t="inlineStr">
        <is>
          <t>Freshers as a share of every department (for the fixed freshers-at-Munch rule)</t>
        </is>
      </c>
      <c r="B40" s="29" t="n">
        <v>0.25</v>
      </c>
      <c r="C40" s="14" t="inlineStr">
        <is>
          <t>share</t>
        </is>
      </c>
      <c r="D40" s="27" t="inlineStr">
        <is>
          <t>Assumed</t>
        </is>
      </c>
      <c r="E40" s="23" t="inlineStr">
        <is>
          <t>First year of a four-year course; the messes first split students this way</t>
        </is>
      </c>
    </row>
    <row r="41"/>
    <row r="42" ht="24.85" customHeight="1">
      <c r="A42" s="4" t="inlineStr">
        <is>
          <t>Capacity planning</t>
        </is>
      </c>
    </row>
    <row r="43" ht="37.9" customHeight="1">
      <c r="A43" s="14" t="inlineStr">
        <is>
          <t>Target utilisation for planning capacity</t>
        </is>
      </c>
      <c r="B43" s="31" t="n">
        <v>0.85</v>
      </c>
      <c r="C43" s="14" t="inlineStr">
        <is>
          <t>share</t>
        </is>
      </c>
      <c r="D43" s="27" t="inlineStr">
        <is>
          <t>Policy</t>
        </is>
      </c>
      <c r="E43" s="23" t="inlineStr">
        <is>
          <t>Above ~85% waits climb steeply (Variables, Q2); used to size stations for the peak</t>
        </is>
      </c>
    </row>
    <row r="44"/>
    <row r="45" ht="24.85" customHeight="1">
      <c r="A45" s="4" t="inlineStr">
        <is>
          <t>Simulation</t>
        </is>
      </c>
    </row>
    <row r="46" ht="21.95" customHeight="1">
      <c r="A46" s="14" t="inlineStr">
        <is>
          <t>Simulated lunches averaged per scenario</t>
        </is>
      </c>
      <c r="B46" s="25" t="n">
        <v>20</v>
      </c>
      <c r="C46" s="14" t="inlineStr">
        <is>
          <t>lunches</t>
        </is>
      </c>
      <c r="D46" s="27" t="inlineStr">
        <is>
          <t>Design</t>
        </is>
      </c>
      <c r="E46" s="23" t="inlineStr">
        <is>
          <t>Seeds 0–19; the same students in every scenario</t>
        </is>
      </c>
    </row>
    <row r="47" ht="21.95" customHeight="1">
      <c r="A47" s="14" t="inlineStr">
        <is>
          <t>Time-slot length in the tables</t>
        </is>
      </c>
      <c r="B47" s="25" t="n">
        <v>10</v>
      </c>
      <c r="C47" s="14" t="inlineStr">
        <is>
          <t>minutes</t>
        </is>
      </c>
      <c r="D47" s="27" t="inlineStr">
        <is>
          <t>Design</t>
        </is>
      </c>
      <c r="E47" s="23" t="inlineStr">
        <is>
          <t>18 slots from 11:30</t>
        </is>
      </c>
    </row>
    <row r="48"/>
    <row r="49"/>
    <row r="50" ht="24.85" customHeight="1">
      <c r="A50" s="4" t="inlineStr">
        <is>
          <t>Department lunch breaks (they shape the surge; sizes are rough, scaled to the plates served)</t>
        </is>
      </c>
    </row>
    <row r="51" ht="37.9" customHeight="1">
      <c r="A51" s="7" t="inlineStr">
        <is>
          <t>Department</t>
        </is>
      </c>
      <c r="B51" s="7" t="inlineStr">
        <is>
          <t>Students (scaled)</t>
        </is>
      </c>
      <c r="C51" s="7" t="inlineStr">
        <is>
          <t>Break starts</t>
        </is>
      </c>
      <c r="D51" s="7" t="inlineStr">
        <is>
          <t>Break ends</t>
        </is>
      </c>
      <c r="E51" s="7" t="inlineStr">
        <is>
          <t>Status</t>
        </is>
      </c>
    </row>
    <row r="52" ht="21.95" customHeight="1">
      <c r="A52" s="14" t="inlineStr">
        <is>
          <t>MIT</t>
        </is>
      </c>
      <c r="B52" s="21" t="n">
        <v>569</v>
      </c>
      <c r="C52" s="32" t="inlineStr">
        <is>
          <t>12:00</t>
        </is>
      </c>
      <c r="D52" s="32" t="inlineStr">
        <is>
          <t>13:00</t>
        </is>
      </c>
      <c r="E52" s="10" t="inlineStr">
        <is>
          <t>Timetable from the group</t>
        </is>
      </c>
    </row>
    <row r="53" ht="21.95" customHeight="1">
      <c r="A53" s="14" t="inlineStr">
        <is>
          <t>MIT (lab day)</t>
        </is>
      </c>
      <c r="B53" s="21" t="n">
        <v>465</v>
      </c>
      <c r="C53" s="32" t="inlineStr">
        <is>
          <t>13:00</t>
        </is>
      </c>
      <c r="D53" s="32" t="inlineStr">
        <is>
          <t>14:00</t>
        </is>
      </c>
      <c r="E53" s="10" t="inlineStr">
        <is>
          <t>Timetable from the group; MIT eats here on lab days (45% assumed)</t>
        </is>
      </c>
    </row>
    <row r="54" ht="21.95" customHeight="1">
      <c r="A54" s="14" t="inlineStr">
        <is>
          <t>TAPMI</t>
        </is>
      </c>
      <c r="B54" s="21" t="n">
        <v>799</v>
      </c>
      <c r="C54" s="32" t="inlineStr">
        <is>
          <t>13:05</t>
        </is>
      </c>
      <c r="D54" s="32" t="inlineStr">
        <is>
          <t>14:00</t>
        </is>
      </c>
      <c r="E54" s="10" t="inlineStr">
        <is>
          <t>Timetable from the group</t>
        </is>
      </c>
    </row>
    <row r="55" ht="21.95" customHeight="1">
      <c r="A55" s="14" t="inlineStr">
        <is>
          <t>DOC/MICFE</t>
        </is>
      </c>
      <c r="B55" s="21" t="n">
        <v>517</v>
      </c>
      <c r="C55" s="32" t="inlineStr">
        <is>
          <t>12:30</t>
        </is>
      </c>
      <c r="D55" s="32" t="inlineStr">
        <is>
          <t>13:30</t>
        </is>
      </c>
      <c r="E55" s="10" t="inlineStr">
        <is>
          <t>Timetable from the group</t>
        </is>
      </c>
    </row>
    <row r="56" ht="21.95" customHeight="1">
      <c r="A56" s="14" t="inlineStr">
        <is>
          <t>SMI</t>
        </is>
      </c>
      <c r="B56" s="21" t="n">
        <v>423</v>
      </c>
      <c r="C56" s="32" t="inlineStr">
        <is>
          <t>12:00</t>
        </is>
      </c>
      <c r="D56" s="32" t="inlineStr">
        <is>
          <t>13:00</t>
        </is>
      </c>
      <c r="E56" s="10" t="inlineStr">
        <is>
          <t>Timetable from the group</t>
        </is>
      </c>
    </row>
    <row r="57" ht="21.95" customHeight="1">
      <c r="A57" s="14" t="inlineStr">
        <is>
          <t>DLHS/MILHS</t>
        </is>
      </c>
      <c r="B57" s="21" t="n">
        <v>94</v>
      </c>
      <c r="C57" s="32" t="inlineStr">
        <is>
          <t>12:40</t>
        </is>
      </c>
      <c r="D57" s="32" t="inlineStr">
        <is>
          <t>13:40</t>
        </is>
      </c>
      <c r="E57" s="10" t="inlineStr">
        <is>
          <t>Timetable from the group</t>
        </is>
      </c>
    </row>
    <row r="58" ht="21.95" customHeight="1">
      <c r="A58" s="14" t="inlineStr">
        <is>
          <t>MLS</t>
        </is>
      </c>
      <c r="B58" s="21" t="n">
        <v>47</v>
      </c>
      <c r="C58" s="32" t="inlineStr">
        <is>
          <t>12:50</t>
        </is>
      </c>
      <c r="D58" s="32" t="inlineStr">
        <is>
          <t>13:50</t>
        </is>
      </c>
      <c r="E58" s="10" t="inlineStr">
        <is>
          <t>Timetable from the group</t>
        </is>
      </c>
    </row>
    <row r="59" ht="21.95" customHeight="1">
      <c r="A59" s="14" t="inlineStr">
        <is>
          <t>MIRM</t>
        </is>
      </c>
      <c r="B59" s="21" t="n">
        <v>47</v>
      </c>
      <c r="C59" s="32" t="inlineStr">
        <is>
          <t>12:30</t>
        </is>
      </c>
      <c r="D59" s="32" t="inlineStr">
        <is>
          <t>13:30</t>
        </is>
      </c>
      <c r="E59" s="10" t="inlineStr">
        <is>
          <t>Timetable from the group; timing assumed</t>
        </is>
      </c>
    </row>
  </sheetData>
  <dataValidations count="1">
    <dataValidation sqref="B6 B7 B8 B9 B10 B11 B12 B15 B16 B17 B20 B21 B22 B23 B26 B27 B28 B29 B30 B33 B34 B37 B38 B39 B40 B43 B46 B47" showDropDown="0" showInputMessage="0" showErrorMessage="1" allowBlank="0" errorTitle="Numbers only" error="Type one plain number, e.g. 12 (not &quot;12-15&quot; or &quot;12 min&quot;). Ranges have separate low and high rows." type="decimal" operator="greaterThanOrEqual">
      <formula1>0</formula1>
    </dataValidation>
  </dataValidations>
  <printOptions horizontalCentered="1"/>
  <pageMargins left="0.75" right="0.75" top="1" bottom="1"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fitToPage="1"/>
  </sheetPr>
  <dimension ref="A1:G65"/>
  <sheetViews>
    <sheetView showGridLines="0" tabSelected="0" zoomScale="100" workbookViewId="0">
      <selection activeCell="A1" sqref="A1"/>
    </sheetView>
  </sheetViews>
  <sheetFormatPr baseColWidth="8" defaultRowHeight="15"/>
  <cols>
    <col width="12" customWidth="1" min="1" max="1"/>
    <col width="34" customWidth="1" min="2" max="2"/>
    <col width="58" customWidth="1" min="3" max="3"/>
    <col width="32" customWidth="1" min="4" max="4"/>
    <col width="11" customWidth="1" min="5" max="5"/>
    <col width="14" customWidth="1" min="6" max="6"/>
    <col width="30" customWidth="1" min="7" max="7"/>
  </cols>
  <sheetData>
    <row r="1" ht="36" customHeight="1">
      <c r="A1" s="1" t="inlineStr">
        <is>
          <t>Variables</t>
        </is>
      </c>
      <c r="B1" s="2" t="n"/>
      <c r="C1" s="2" t="n"/>
      <c r="D1" s="2" t="n"/>
      <c r="E1" s="2" t="n"/>
      <c r="F1" s="2" t="n"/>
      <c r="G1" s="2" t="n"/>
    </row>
    <row r="2" ht="22" customHeight="1">
      <c r="A2" s="3" t="inlineStr">
        <is>
          <t>What every symbol means, how it is calculated, and its value in a real slot of the simulated lunch</t>
        </is>
      </c>
    </row>
    <row r="3" ht="8" customHeight="1"/>
    <row r="4" ht="24.85" customHeight="1">
      <c r="A4" s="4" t="inlineStr">
        <is>
          <t>1. Serving stations at Central, 12:10–12:20 today (M/M/c, stable)</t>
        </is>
      </c>
    </row>
    <row r="5" ht="21.95" customHeight="1">
      <c r="A5" s="20" t="inlineStr">
        <is>
          <t>A worked example: every symbol below is calculated live from the simulated 12:10 slot, the first busy slot of the lunch.</t>
        </is>
      </c>
    </row>
    <row r="6" ht="21.95" customHeight="1">
      <c r="A6" s="7" t="inlineStr">
        <is>
          <t>Symbol</t>
        </is>
      </c>
      <c r="B6" s="7" t="inlineStr">
        <is>
          <t>Name</t>
        </is>
      </c>
      <c r="C6" s="7" t="inlineStr">
        <is>
          <t>What it means at the mess</t>
        </is>
      </c>
      <c r="D6" s="7" t="inlineStr">
        <is>
          <t>Formula</t>
        </is>
      </c>
      <c r="E6" s="7" t="inlineStr">
        <is>
          <t>Value</t>
        </is>
      </c>
      <c r="F6" s="7" t="inlineStr">
        <is>
          <t>Unit</t>
        </is>
      </c>
      <c r="G6" s="7" t="inlineStr">
        <is>
          <t>Reads as</t>
        </is>
      </c>
    </row>
    <row r="7" ht="37.9" customHeight="1">
      <c r="A7" s="33" t="inlineStr">
        <is>
          <t>λ</t>
        </is>
      </c>
      <c r="B7" s="14" t="inlineStr">
        <is>
          <t>Arrival rate</t>
        </is>
      </c>
      <c r="C7" s="9" t="inlineStr">
        <is>
          <t>Students joining Central's serving line per minute in this slot</t>
        </is>
      </c>
      <c r="D7" s="34" t="inlineStr">
        <is>
          <t>counted in the simulation</t>
        </is>
      </c>
      <c r="E7" s="35">
        <f>'Sim Data'!$E$27</f>
        <v/>
      </c>
      <c r="F7" s="14" t="inlineStr">
        <is>
          <t>students/min</t>
        </is>
      </c>
      <c r="G7" s="14">
        <f>A7&amp;" = "&amp;IF(ISNUMBER(E7),TEXT(E7,"0.0"),E7)&amp;IF(F7="",""," "&amp;F7)</f>
        <v/>
      </c>
    </row>
    <row r="8" ht="21.95" customHeight="1">
      <c r="A8" s="33" t="inlineStr">
        <is>
          <t>Ws</t>
        </is>
      </c>
      <c r="B8" s="14" t="inlineStr">
        <is>
          <t>Service time</t>
        </is>
      </c>
      <c r="C8" s="9" t="inlineStr">
        <is>
          <t>Average time one student spends being served at a station</t>
        </is>
      </c>
      <c r="D8" s="34" t="inlineStr">
        <is>
          <t>measured in the simulation</t>
        </is>
      </c>
      <c r="E8" s="36">
        <f>'Sim Data'!$G$27</f>
        <v/>
      </c>
      <c r="F8" s="14" t="inlineStr">
        <is>
          <t>min</t>
        </is>
      </c>
      <c r="G8" s="14">
        <f>A8&amp;" = "&amp;IF(ISNUMBER(E8),TEXT(E8,"0.00"),E8)&amp;IF(F8="",""," "&amp;F8)</f>
        <v/>
      </c>
    </row>
    <row r="9" ht="21.95" customHeight="1">
      <c r="A9" s="33" t="inlineStr">
        <is>
          <t>μ</t>
        </is>
      </c>
      <c r="B9" s="14" t="inlineStr">
        <is>
          <t>Service rate per station</t>
        </is>
      </c>
      <c r="C9" s="9" t="inlineStr">
        <is>
          <t>Students one station can serve per minute</t>
        </is>
      </c>
      <c r="D9" s="34" t="inlineStr">
        <is>
          <t>μ = 1 ÷ Ws</t>
        </is>
      </c>
      <c r="E9" s="37">
        <f>1/E8</f>
        <v/>
      </c>
      <c r="F9" s="14" t="inlineStr">
        <is>
          <t>students/min</t>
        </is>
      </c>
      <c r="G9" s="14">
        <f>A9&amp;" = "&amp;IF(ISNUMBER(E9),TEXT(E9,"0.0"),E9)&amp;IF(F9="",""," "&amp;F9)</f>
        <v/>
      </c>
    </row>
    <row r="10" ht="21.95" customHeight="1">
      <c r="A10" s="33" t="inlineStr">
        <is>
          <t>c</t>
        </is>
      </c>
      <c r="B10" s="14" t="inlineStr">
        <is>
          <t>Servers</t>
        </is>
      </c>
      <c r="C10" s="9" t="inlineStr">
        <is>
          <t>Serving stations at Central</t>
        </is>
      </c>
      <c r="D10" s="34" t="inlineStr">
        <is>
          <t>measured</t>
        </is>
      </c>
      <c r="E10" s="38">
        <f>'Assumptions'!$B$20</f>
        <v/>
      </c>
      <c r="F10" s="14" t="inlineStr">
        <is>
          <t>stations</t>
        </is>
      </c>
      <c r="G10" s="14">
        <f>A10&amp;" = "&amp;IF(ISNUMBER(E10),TEXT(E10,"0"),E10)&amp;IF(F10="",""," "&amp;F10)</f>
        <v/>
      </c>
    </row>
    <row r="11" ht="21.95" customHeight="1">
      <c r="A11" s="33" t="inlineStr">
        <is>
          <t>a</t>
        </is>
      </c>
      <c r="B11" s="14" t="inlineStr">
        <is>
          <t>Offered load</t>
        </is>
      </c>
      <c r="C11" s="9" t="inlineStr">
        <is>
          <t>Work arriving, in 'stations' worth of serving</t>
        </is>
      </c>
      <c r="D11" s="34" t="inlineStr">
        <is>
          <t>a = λ ÷ μ</t>
        </is>
      </c>
      <c r="E11" s="39">
        <f>E7/E9</f>
        <v/>
      </c>
      <c r="F11" s="14" t="inlineStr">
        <is>
          <t>stations</t>
        </is>
      </c>
      <c r="G11" s="14">
        <f>A11&amp;" = "&amp;IF(ISNUMBER(E11),TEXT(E11,"0.00"),E11)&amp;IF(F11="",""," "&amp;F11)</f>
        <v/>
      </c>
    </row>
    <row r="12" ht="21.95" customHeight="1">
      <c r="A12" s="33" t="inlineStr">
        <is>
          <t>ρ</t>
        </is>
      </c>
      <c r="B12" s="14" t="inlineStr">
        <is>
          <t>Utilisation</t>
        </is>
      </c>
      <c r="C12" s="9" t="inlineStr">
        <is>
          <t>Share of the time each station is busy</t>
        </is>
      </c>
      <c r="D12" s="34" t="inlineStr">
        <is>
          <t>ρ = λ ÷ (c·μ)</t>
        </is>
      </c>
      <c r="E12" s="40">
        <f>E7/(E10*E9)</f>
        <v/>
      </c>
      <c r="F12" s="14" t="inlineStr"/>
      <c r="G12" s="14">
        <f>A12&amp;" = "&amp;IF(ISNUMBER(E12),TEXT(E12,"0%"),E12)&amp;IF(F12="",""," "&amp;F12)</f>
        <v/>
      </c>
    </row>
    <row r="13" ht="37.9" customHeight="1">
      <c r="A13" s="33" t="inlineStr">
        <is>
          <t>Stable?</t>
        </is>
      </c>
      <c r="B13" s="14" t="inlineStr">
        <is>
          <t>Stability test</t>
        </is>
      </c>
      <c r="C13" s="9" t="inlineStr">
        <is>
          <t>Can the stations keep up, so the line settles to a steady size?</t>
        </is>
      </c>
      <c r="D13" s="34" t="inlineStr">
        <is>
          <t>stable if ρ &lt; 1</t>
        </is>
      </c>
      <c r="E13" s="41">
        <f>IF(E12&lt;1,"yes","no")</f>
        <v/>
      </c>
      <c r="F13" s="14" t="inlineStr"/>
      <c r="G13" s="14">
        <f>A13&amp;" = "&amp;IF(ISNUMBER(E13),TEXT(E13,"0.00"),E13)&amp;IF(F13="",""," "&amp;F13)</f>
        <v/>
      </c>
    </row>
    <row r="14" ht="21.95" customHeight="1">
      <c r="A14" s="33" t="inlineStr">
        <is>
          <t>P0</t>
        </is>
      </c>
      <c r="B14" s="14" t="inlineStr">
        <is>
          <t>Probability empty</t>
        </is>
      </c>
      <c r="C14" s="9" t="inlineStr">
        <is>
          <t>Chance nobody is waiting or being served</t>
        </is>
      </c>
      <c r="D14" s="34" t="inlineStr">
        <is>
          <t>[Σ aᵏ/k! (k &lt; c) + aᶜ/(c!(1−ρ))]⁻¹</t>
        </is>
      </c>
      <c r="E14" s="42">
        <f>1/(SUMPRODUCT(--({0,1,2,3,4,5,6,7,8,9}&lt;E10),E11^{0,1,2,3,4,5,6,7,8,9}/FACT({0,1,2,3,4,5,6,7,8,9}))+E11^E10/FACT(E10)/(1-E12))</f>
        <v/>
      </c>
      <c r="F14" s="14" t="inlineStr"/>
      <c r="G14" s="14">
        <f>A14&amp;" = "&amp;IF(ISNUMBER(E14),TEXT(E14,"0.000"),E14)&amp;IF(F14="",""," "&amp;F14)</f>
        <v/>
      </c>
    </row>
    <row r="15" ht="21.95" customHeight="1">
      <c r="A15" s="33" t="inlineStr">
        <is>
          <t>C</t>
        </is>
      </c>
      <c r="B15" s="14" t="inlineStr">
        <is>
          <t>Probability of waiting (Erlang C)</t>
        </is>
      </c>
      <c r="C15" s="9" t="inlineStr">
        <is>
          <t>Chance an arriving student has to wait at all</t>
        </is>
      </c>
      <c r="D15" s="34" t="inlineStr">
        <is>
          <t>C = aᶜ/(c!(1−ρ)) × P0</t>
        </is>
      </c>
      <c r="E15" s="40">
        <f>E11^E10/FACT(E10)/(1-E12)*E14</f>
        <v/>
      </c>
      <c r="F15" s="14" t="inlineStr"/>
      <c r="G15" s="14">
        <f>A15&amp;" = "&amp;IF(ISNUMBER(E15),TEXT(E15,"0%"),E15)&amp;IF(F15="",""," "&amp;F15)</f>
        <v/>
      </c>
    </row>
    <row r="16" ht="37.9" customHeight="1">
      <c r="A16" s="33" t="inlineStr">
        <is>
          <t>Wq</t>
        </is>
      </c>
      <c r="B16" s="14" t="inlineStr">
        <is>
          <t>Wait in the line</t>
        </is>
      </c>
      <c r="C16" s="9" t="inlineStr">
        <is>
          <t>Average minutes from joining the line to reaching a station</t>
        </is>
      </c>
      <c r="D16" s="34" t="inlineStr">
        <is>
          <t>Wq = C ÷ (c·μ − λ)</t>
        </is>
      </c>
      <c r="E16" s="39">
        <f>E15/(E10*E9-E7)</f>
        <v/>
      </c>
      <c r="F16" s="14" t="inlineStr">
        <is>
          <t>min</t>
        </is>
      </c>
      <c r="G16" s="14">
        <f>A16&amp;" = "&amp;IF(ISNUMBER(E16),TEXT(E16,"0.00"),E16)&amp;IF(F16="",""," "&amp;F16)</f>
        <v/>
      </c>
    </row>
    <row r="17" ht="69.8" customHeight="1">
      <c r="A17" s="33" t="inlineStr">
        <is>
          <t>Wq cv</t>
        </is>
      </c>
      <c r="B17" s="14" t="inlineStr">
        <is>
          <t>Wait, corrected for regular serving</t>
        </is>
      </c>
      <c r="C17" s="9" t="inlineStr">
        <is>
          <t>Serving times vary less than M/M/c assumes (cv 0.6), so the real wait is shorter. Allen–Cunneen approximation for M/G/c (exact only for one server, where it is Pollaczek–Khinchine)</t>
        </is>
      </c>
      <c r="D17" s="34" t="inlineStr">
        <is>
          <t>Wq × (1 + cv²) ÷ 2</t>
        </is>
      </c>
      <c r="E17" s="36">
        <f>E16*(1+'Assumptions'!$B$22^2)/2</f>
        <v/>
      </c>
      <c r="F17" s="14" t="inlineStr">
        <is>
          <t>min</t>
        </is>
      </c>
      <c r="G17" s="14">
        <f>A17&amp;" = "&amp;IF(ISNUMBER(E17),TEXT(E17,"0.00"),E17)&amp;IF(F17="",""," "&amp;F17)</f>
        <v/>
      </c>
    </row>
    <row r="18" ht="21.95" customHeight="1">
      <c r="A18" s="33" t="inlineStr">
        <is>
          <t>W</t>
        </is>
      </c>
      <c r="B18" s="14" t="inlineStr">
        <is>
          <t>Time at the stage</t>
        </is>
      </c>
      <c r="C18" s="9" t="inlineStr">
        <is>
          <t>Wait plus being served</t>
        </is>
      </c>
      <c r="D18" s="34" t="inlineStr">
        <is>
          <t>W = Wq + Ws</t>
        </is>
      </c>
      <c r="E18" s="39">
        <f>E16+E8</f>
        <v/>
      </c>
      <c r="F18" s="14" t="inlineStr">
        <is>
          <t>min</t>
        </is>
      </c>
      <c r="G18" s="14">
        <f>A18&amp;" = "&amp;IF(ISNUMBER(E18),TEXT(E18,"0.00"),E18)&amp;IF(F18="",""," "&amp;F18)</f>
        <v/>
      </c>
    </row>
    <row r="19" ht="21.95" customHeight="1">
      <c r="A19" s="33" t="inlineStr">
        <is>
          <t>Lq</t>
        </is>
      </c>
      <c r="B19" s="14" t="inlineStr">
        <is>
          <t>Students in the line</t>
        </is>
      </c>
      <c r="C19" s="9" t="inlineStr">
        <is>
          <t>Average number standing in the line</t>
        </is>
      </c>
      <c r="D19" s="34" t="inlineStr">
        <is>
          <t>Lq = λ × Wq (Little's Law)</t>
        </is>
      </c>
      <c r="E19" s="37">
        <f>E7*E16</f>
        <v/>
      </c>
      <c r="F19" s="14" t="inlineStr">
        <is>
          <t>students</t>
        </is>
      </c>
      <c r="G19" s="14">
        <f>A19&amp;" = "&amp;IF(ISNUMBER(E19),TEXT(E19,"0.0"),E19)&amp;IF(F19="",""," "&amp;F19)</f>
        <v/>
      </c>
    </row>
    <row r="20" ht="21.95" customHeight="1">
      <c r="A20" s="33" t="inlineStr">
        <is>
          <t>Ls</t>
        </is>
      </c>
      <c r="B20" s="14" t="inlineStr">
        <is>
          <t>Students being served</t>
        </is>
      </c>
      <c r="C20" s="9" t="inlineStr">
        <is>
          <t>Average number at the stations</t>
        </is>
      </c>
      <c r="D20" s="34" t="inlineStr">
        <is>
          <t>Ls = λ × Ws</t>
        </is>
      </c>
      <c r="E20" s="37">
        <f>E7*E8</f>
        <v/>
      </c>
      <c r="F20" s="14" t="inlineStr">
        <is>
          <t>students</t>
        </is>
      </c>
      <c r="G20" s="14">
        <f>A20&amp;" = "&amp;IF(ISNUMBER(E20),TEXT(E20,"0.0"),E20)&amp;IF(F20="",""," "&amp;F20)</f>
        <v/>
      </c>
    </row>
    <row r="21" ht="21.95" customHeight="1">
      <c r="A21" s="33" t="inlineStr">
        <is>
          <t>L</t>
        </is>
      </c>
      <c r="B21" s="14" t="inlineStr">
        <is>
          <t>Students at the stage</t>
        </is>
      </c>
      <c r="C21" s="9" t="inlineStr">
        <is>
          <t>Everyone at the serving stage</t>
        </is>
      </c>
      <c r="D21" s="34" t="inlineStr">
        <is>
          <t>L = λ × W (Little's Law)</t>
        </is>
      </c>
      <c r="E21" s="37">
        <f>E7*E18</f>
        <v/>
      </c>
      <c r="F21" s="14" t="inlineStr">
        <is>
          <t>students</t>
        </is>
      </c>
      <c r="G21" s="14">
        <f>A21&amp;" = "&amp;IF(ISNUMBER(E21),TEXT(E21,"0.0"),E21)&amp;IF(F21="",""," "&amp;F21)</f>
        <v/>
      </c>
    </row>
    <row r="22" ht="21.95" customHeight="1">
      <c r="A22" s="33" t="inlineStr">
        <is>
          <t>Wq sim</t>
        </is>
      </c>
      <c r="B22" s="14" t="inlineStr">
        <is>
          <t>Simulated wait</t>
        </is>
      </c>
      <c r="C22" s="9" t="inlineStr">
        <is>
          <t>What the simulated students actually waited</t>
        </is>
      </c>
      <c r="D22" s="34" t="inlineStr">
        <is>
          <t>from the simulation</t>
        </is>
      </c>
      <c r="E22" s="36">
        <f>'Sim Data'!$F$27</f>
        <v/>
      </c>
      <c r="F22" s="14" t="inlineStr">
        <is>
          <t>min</t>
        </is>
      </c>
      <c r="G22" s="14">
        <f>A22&amp;" = "&amp;IF(ISNUMBER(E22),TEXT(E22,"0.00"),E22)&amp;IF(F22="",""," "&amp;F22)</f>
        <v/>
      </c>
    </row>
    <row r="23" ht="21.95" customHeight="1">
      <c r="A23" s="33" t="inlineStr">
        <is>
          <t>Lq sim</t>
        </is>
      </c>
      <c r="B23" s="14" t="inlineStr">
        <is>
          <t>Simulated line length</t>
        </is>
      </c>
      <c r="C23" s="9" t="inlineStr">
        <is>
          <t>Average number the simulation had waiting</t>
        </is>
      </c>
      <c r="D23" s="34" t="inlineStr">
        <is>
          <t>from the simulation</t>
        </is>
      </c>
      <c r="E23" s="35">
        <f>'Sim Data'!$H$27</f>
        <v/>
      </c>
      <c r="F23" s="14" t="inlineStr">
        <is>
          <t>students</t>
        </is>
      </c>
      <c r="G23" s="14">
        <f>A23&amp;" = "&amp;IF(ISNUMBER(E23),TEXT(E23,"0.0"),E23)&amp;IF(F23="",""," "&amp;F23)</f>
        <v/>
      </c>
    </row>
    <row r="24" ht="37.9" customHeight="1">
      <c r="A24" s="33" t="inlineStr">
        <is>
          <t>Little</t>
        </is>
      </c>
      <c r="B24" s="14" t="inlineStr">
        <is>
          <t>Little's Law check</t>
        </is>
      </c>
      <c r="C24" s="9" t="inlineStr">
        <is>
          <t>Simulated line length ÷ (λ × simulated wait). Close to 1 means steady</t>
        </is>
      </c>
      <c r="D24" s="34" t="inlineStr">
        <is>
          <t>Lq sim ÷ (λ × Wq sim)</t>
        </is>
      </c>
      <c r="E24" s="39">
        <f>E23/(E7*E22)</f>
        <v/>
      </c>
      <c r="F24" s="14" t="inlineStr"/>
      <c r="G24" s="14">
        <f>A24&amp;" = "&amp;IF(ISNUMBER(E24),TEXT(E24,"0.00"),E24)&amp;IF(F24="",""," "&amp;F24)</f>
        <v/>
      </c>
    </row>
    <row r="25"/>
    <row r="26" ht="24.85" customHeight="1">
      <c r="A26" s="4" t="inlineStr">
        <is>
          <t>2. Serving stations at Central, 13:10–13:20 today (overloaded)</t>
        </is>
      </c>
    </row>
    <row r="27" ht="21.95" customHeight="1">
      <c r="A27" s="20" t="inlineStr">
        <is>
          <t>When ρ ≥ 1 the textbook formulas stop applying: the line grows every minute until arrivals fall. Then the serving-capacity rule (a fluid queue) takes over: carry the line from slot to slot and divide it by what the stations serve per minute.</t>
        </is>
      </c>
    </row>
    <row r="28" ht="21.95" customHeight="1">
      <c r="A28" s="7" t="inlineStr">
        <is>
          <t>Symbol</t>
        </is>
      </c>
      <c r="B28" s="7" t="inlineStr">
        <is>
          <t>Name</t>
        </is>
      </c>
      <c r="C28" s="7" t="inlineStr">
        <is>
          <t>What it means at the mess</t>
        </is>
      </c>
      <c r="D28" s="7" t="inlineStr">
        <is>
          <t>Formula</t>
        </is>
      </c>
      <c r="E28" s="7" t="inlineStr">
        <is>
          <t>Value</t>
        </is>
      </c>
      <c r="F28" s="7" t="inlineStr">
        <is>
          <t>Unit</t>
        </is>
      </c>
      <c r="G28" s="7" t="inlineStr">
        <is>
          <t>Reads as</t>
        </is>
      </c>
    </row>
    <row r="29" ht="37.9" customHeight="1">
      <c r="A29" s="33" t="inlineStr">
        <is>
          <t>λ</t>
        </is>
      </c>
      <c r="B29" s="14" t="inlineStr">
        <is>
          <t>Arrival rate</t>
        </is>
      </c>
      <c r="C29" s="9" t="inlineStr">
        <is>
          <t>Students joining Central's line per minute at the 13:10 surge</t>
        </is>
      </c>
      <c r="D29" s="34" t="inlineStr">
        <is>
          <t>counted in the simulation</t>
        </is>
      </c>
      <c r="E29" s="35">
        <f>'Sim Data'!$E$33</f>
        <v/>
      </c>
      <c r="F29" s="14" t="inlineStr">
        <is>
          <t>students/min</t>
        </is>
      </c>
      <c r="G29" s="14">
        <f>A29&amp;" = "&amp;IF(ISNUMBER(E29),TEXT(E29,"0.0"),E29)&amp;IF(F29="",""," "&amp;F29)</f>
        <v/>
      </c>
    </row>
    <row r="30" ht="21.95" customHeight="1">
      <c r="A30" s="33" t="inlineStr">
        <is>
          <t>c·μ</t>
        </is>
      </c>
      <c r="B30" s="14" t="inlineStr">
        <is>
          <t>Capacity</t>
        </is>
      </c>
      <c r="C30" s="9" t="inlineStr">
        <is>
          <t>Most the two stations can serve per minute</t>
        </is>
      </c>
      <c r="D30" s="34" t="inlineStr">
        <is>
          <t>c × μ</t>
        </is>
      </c>
      <c r="E30" s="35">
        <f>'Assumptions'!$B$20*'Assumptions'!$B$21</f>
        <v/>
      </c>
      <c r="F30" s="14" t="inlineStr">
        <is>
          <t>students/min</t>
        </is>
      </c>
      <c r="G30" s="14">
        <f>A30&amp;" = "&amp;IF(ISNUMBER(E30),TEXT(E30,"0.0"),E30)&amp;IF(F30="",""," "&amp;F30)</f>
        <v/>
      </c>
    </row>
    <row r="31" ht="21.95" customHeight="1">
      <c r="A31" s="33" t="inlineStr">
        <is>
          <t>ρ</t>
        </is>
      </c>
      <c r="B31" s="14" t="inlineStr">
        <is>
          <t>Utilisation</t>
        </is>
      </c>
      <c r="C31" s="9" t="inlineStr">
        <is>
          <t>Above 100% the stations cannot keep up</t>
        </is>
      </c>
      <c r="D31" s="34" t="inlineStr">
        <is>
          <t>ρ = λ ÷ (c·μ)</t>
        </is>
      </c>
      <c r="E31" s="40">
        <f>E29/E30</f>
        <v/>
      </c>
      <c r="F31" s="14" t="inlineStr"/>
      <c r="G31" s="14">
        <f>A31&amp;" = "&amp;IF(ISNUMBER(E31),TEXT(E31,"0%"),E31)&amp;IF(F31="",""," "&amp;F31)</f>
        <v/>
      </c>
    </row>
    <row r="32" ht="21.95" customHeight="1">
      <c r="A32" s="33" t="inlineStr">
        <is>
          <t>Growth</t>
        </is>
      </c>
      <c r="B32" s="14" t="inlineStr">
        <is>
          <t>Line growth</t>
        </is>
      </c>
      <c r="C32" s="9" t="inlineStr">
        <is>
          <t>Extra students added to the line during these 10 minutes</t>
        </is>
      </c>
      <c r="D32" s="34" t="inlineStr">
        <is>
          <t>(λ − c·μ) × 10</t>
        </is>
      </c>
      <c r="E32" s="43">
        <f>MAX(0,(E29-E30)*10)</f>
        <v/>
      </c>
      <c r="F32" s="14" t="inlineStr">
        <is>
          <t>students</t>
        </is>
      </c>
      <c r="G32" s="14">
        <f>A32&amp;" = "&amp;IF(ISNUMBER(E32),TEXT(E32,"0"),E32)&amp;IF(F32="",""," "&amp;F32)</f>
        <v/>
      </c>
    </row>
    <row r="33" ht="21.95" customHeight="1">
      <c r="A33" s="33" t="inlineStr">
        <is>
          <t>Wq</t>
        </is>
      </c>
      <c r="B33" s="14" t="inlineStr">
        <is>
          <t>Steady-state wait</t>
        </is>
      </c>
      <c r="C33" s="9" t="inlineStr">
        <is>
          <t>Not defined: with ρ ≥ 1 the line has no steady size</t>
        </is>
      </c>
      <c r="D33" s="34" t="inlineStr">
        <is>
          <t>only if ρ &lt; 1</t>
        </is>
      </c>
      <c r="E33" s="41">
        <f>IF(E31&lt;1,"defined","none (ρ ≥ 1)")</f>
        <v/>
      </c>
      <c r="F33" s="14" t="inlineStr"/>
      <c r="G33" s="14">
        <f>A33&amp;" = "&amp;IF(ISNUMBER(E33),TEXT(E33,"0.00"),E33)&amp;IF(F33="",""," "&amp;F33)</f>
        <v/>
      </c>
    </row>
    <row r="34" ht="37.9" customHeight="1">
      <c r="A34" s="33" t="inlineStr">
        <is>
          <t>B start</t>
        </is>
      </c>
      <c r="B34" s="14" t="inlineStr">
        <is>
          <t>Line at the start</t>
        </is>
      </c>
      <c r="C34" s="9" t="inlineStr">
        <is>
          <t>Students still in line when the slot begins (carried in from 13:00–13:10)</t>
        </is>
      </c>
      <c r="D34" s="34" t="inlineStr">
        <is>
          <t>fluid queue, previous slot</t>
        </is>
      </c>
      <c r="E34" s="38">
        <f>'Q2 Serving stations'!$P$38</f>
        <v/>
      </c>
      <c r="F34" s="14" t="inlineStr">
        <is>
          <t>students</t>
        </is>
      </c>
      <c r="G34" s="14">
        <f>A34&amp;" = "&amp;IF(ISNUMBER(E34),TEXT(E34,"0"),E34)&amp;IF(F34="",""," "&amp;F34)</f>
        <v/>
      </c>
    </row>
    <row r="35" ht="37.9" customHeight="1">
      <c r="A35" s="33" t="inlineStr">
        <is>
          <t>Out</t>
        </is>
      </c>
      <c r="B35" s="14" t="inlineStr">
        <is>
          <t>Minutes food was out</t>
        </is>
      </c>
      <c r="C35" s="9" t="inlineStr">
        <is>
          <t>Minutes in this slot the stations stood idle waiting for a refill (average lunch)</t>
        </is>
      </c>
      <c r="D35" s="34" t="inlineStr">
        <is>
          <t>from the simulation</t>
        </is>
      </c>
      <c r="E35" s="35">
        <f>'Sim Data'!$L$33</f>
        <v/>
      </c>
      <c r="F35" s="14" t="inlineStr">
        <is>
          <t>min</t>
        </is>
      </c>
      <c r="G35" s="14">
        <f>A35&amp;" = "&amp;IF(ISNUMBER(E35),TEXT(E35,"0.0"),E35)&amp;IF(F35="",""," "&amp;F35)</f>
        <v/>
      </c>
    </row>
    <row r="36" ht="37.9" customHeight="1">
      <c r="A36" s="33" t="inlineStr">
        <is>
          <t>B end</t>
        </is>
      </c>
      <c r="B36" s="14" t="inlineStr">
        <is>
          <t>Line at the end</t>
        </is>
      </c>
      <c r="C36" s="9" t="inlineStr">
        <is>
          <t>Line at the start + arrivals − what the stations could serve while food was available (never below zero)</t>
        </is>
      </c>
      <c r="D36" s="34" t="inlineStr">
        <is>
          <t>B start + λ × 10 − c·μ × (10 − Out)</t>
        </is>
      </c>
      <c r="E36" s="43">
        <f>MAX(0,E34+E29*10-E30*(10-E35))</f>
        <v/>
      </c>
      <c r="F36" s="14" t="inlineStr">
        <is>
          <t>students</t>
        </is>
      </c>
      <c r="G36" s="14">
        <f>A36&amp;" = "&amp;IF(ISNUMBER(E36),TEXT(E36,"0"),E36)&amp;IF(F36="",""," "&amp;F36)</f>
        <v/>
      </c>
    </row>
    <row r="37" ht="37.9" customHeight="1">
      <c r="A37" s="33" t="inlineStr">
        <is>
          <t>W line</t>
        </is>
      </c>
      <c r="B37" s="14" t="inlineStr">
        <is>
          <t>Wait from the line</t>
        </is>
      </c>
      <c r="C37" s="9" t="inlineStr">
        <is>
          <t>Someone joining half-way through the slot meets the average line, cleared at c·μ a minute</t>
        </is>
      </c>
      <c r="D37" s="34" t="inlineStr">
        <is>
          <t>(B start + B end) ÷ 2 ÷ c·μ</t>
        </is>
      </c>
      <c r="E37" s="37">
        <f>(E34+E36)/2/E30</f>
        <v/>
      </c>
      <c r="F37" s="14" t="inlineStr">
        <is>
          <t>min</t>
        </is>
      </c>
      <c r="G37" s="14">
        <f>A37&amp;" = "&amp;IF(ISNUMBER(E37),TEXT(E37,"0.0"),E37)&amp;IF(F37="",""," "&amp;F37)</f>
        <v/>
      </c>
    </row>
    <row r="38" ht="37.9" customHeight="1">
      <c r="A38" s="33" t="inlineStr">
        <is>
          <t>Wq sim</t>
        </is>
      </c>
      <c r="B38" s="14" t="inlineStr">
        <is>
          <t>Simulated wait</t>
        </is>
      </c>
      <c r="C38" s="9" t="inlineStr">
        <is>
          <t>What the simulated students who joined in this slot actually waited</t>
        </is>
      </c>
      <c r="D38" s="34" t="inlineStr">
        <is>
          <t>from the simulation</t>
        </is>
      </c>
      <c r="E38" s="35">
        <f>'Sim Data'!$F$33</f>
        <v/>
      </c>
      <c r="F38" s="14" t="inlineStr">
        <is>
          <t>min</t>
        </is>
      </c>
      <c r="G38" s="14">
        <f>A38&amp;" = "&amp;IF(ISNUMBER(E38),TEXT(E38,"0.0"),E38)&amp;IF(F38="",""," "&amp;F38)</f>
        <v/>
      </c>
    </row>
    <row r="39"/>
    <row r="40" ht="24.85" customHeight="1">
      <c r="A40" s="4" t="inlineStr">
        <is>
          <t>3. Biometric scanner at Central, 13:10–13:20 today (M/M/1)</t>
        </is>
      </c>
    </row>
    <row r="41" ht="21.95" customHeight="1">
      <c r="A41" s="20" t="inlineStr">
        <is>
          <t>One scanner per mess: the simplest queue, a single server.</t>
        </is>
      </c>
    </row>
    <row r="42" ht="21.95" customHeight="1">
      <c r="A42" s="7" t="inlineStr">
        <is>
          <t>Symbol</t>
        </is>
      </c>
      <c r="B42" s="7" t="inlineStr">
        <is>
          <t>Name</t>
        </is>
      </c>
      <c r="C42" s="7" t="inlineStr">
        <is>
          <t>What it means at the mess</t>
        </is>
      </c>
      <c r="D42" s="7" t="inlineStr">
        <is>
          <t>Formula</t>
        </is>
      </c>
      <c r="E42" s="7" t="inlineStr">
        <is>
          <t>Value</t>
        </is>
      </c>
      <c r="F42" s="7" t="inlineStr">
        <is>
          <t>Unit</t>
        </is>
      </c>
      <c r="G42" s="7" t="inlineStr">
        <is>
          <t>Reads as</t>
        </is>
      </c>
    </row>
    <row r="43" ht="21.95" customHeight="1">
      <c r="A43" s="33" t="inlineStr">
        <is>
          <t>λ</t>
        </is>
      </c>
      <c r="B43" s="14" t="inlineStr">
        <is>
          <t>Arrival rate</t>
        </is>
      </c>
      <c r="C43" s="9" t="inlineStr">
        <is>
          <t>Students reaching the face scanner per minute</t>
        </is>
      </c>
      <c r="D43" s="34" t="inlineStr">
        <is>
          <t>counted in the simulation</t>
        </is>
      </c>
      <c r="E43" s="35">
        <f>'Sim Data'!$E$15</f>
        <v/>
      </c>
      <c r="F43" s="14" t="inlineStr">
        <is>
          <t>students/min</t>
        </is>
      </c>
      <c r="G43" s="14">
        <f>A43&amp;" = "&amp;IF(ISNUMBER(E43),TEXT(E43,"0.0"),E43)&amp;IF(F43="",""," "&amp;F43)</f>
        <v/>
      </c>
    </row>
    <row r="44" ht="21.95" customHeight="1">
      <c r="A44" s="33" t="inlineStr">
        <is>
          <t>μ</t>
        </is>
      </c>
      <c r="B44" s="14" t="inlineStr">
        <is>
          <t>Scan rate</t>
        </is>
      </c>
      <c r="C44" s="9" t="inlineStr">
        <is>
          <t>Students one scanner can handle per minute</t>
        </is>
      </c>
      <c r="D44" s="34" t="inlineStr">
        <is>
          <t>μ = 60 ÷ seconds per scan</t>
        </is>
      </c>
      <c r="E44" s="35">
        <f>60/'Assumptions'!$B$16</f>
        <v/>
      </c>
      <c r="F44" s="14" t="inlineStr">
        <is>
          <t>students/min</t>
        </is>
      </c>
      <c r="G44" s="14">
        <f>A44&amp;" = "&amp;IF(ISNUMBER(E44),TEXT(E44,"0.0"),E44)&amp;IF(F44="",""," "&amp;F44)</f>
        <v/>
      </c>
    </row>
    <row r="45" ht="21.95" customHeight="1">
      <c r="A45" s="33" t="inlineStr">
        <is>
          <t>ρ</t>
        </is>
      </c>
      <c r="B45" s="14" t="inlineStr">
        <is>
          <t>Utilisation</t>
        </is>
      </c>
      <c r="C45" s="9" t="inlineStr">
        <is>
          <t>Share of the time the scanner is busy</t>
        </is>
      </c>
      <c r="D45" s="34" t="inlineStr">
        <is>
          <t>ρ = λ ÷ μ</t>
        </is>
      </c>
      <c r="E45" s="40">
        <f>E43/E44</f>
        <v/>
      </c>
      <c r="F45" s="14" t="inlineStr"/>
      <c r="G45" s="14">
        <f>A45&amp;" = "&amp;IF(ISNUMBER(E45),TEXT(E45,"0%"),E45)&amp;IF(F45="",""," "&amp;F45)</f>
        <v/>
      </c>
    </row>
    <row r="46" ht="21.95" customHeight="1">
      <c r="A46" s="33" t="inlineStr">
        <is>
          <t>Wq</t>
        </is>
      </c>
      <c r="B46" s="14" t="inlineStr">
        <is>
          <t>Wait (M/M/1)</t>
        </is>
      </c>
      <c r="C46" s="9" t="inlineStr">
        <is>
          <t>Textbook wait outside the door</t>
        </is>
      </c>
      <c r="D46" s="34" t="inlineStr">
        <is>
          <t>Wq = ρ ÷ (μ − λ)</t>
        </is>
      </c>
      <c r="E46" s="39">
        <f>IF(E45&lt;1,E45/(E44-E43),"none (ρ ≥ 1)")</f>
        <v/>
      </c>
      <c r="F46" s="14" t="inlineStr">
        <is>
          <t>min</t>
        </is>
      </c>
      <c r="G46" s="14">
        <f>A46&amp;" = "&amp;IF(ISNUMBER(E46),TEXT(E46,"0.00"),E46)&amp;IF(F46="",""," "&amp;F46)</f>
        <v/>
      </c>
    </row>
    <row r="47" ht="37.9" customHeight="1">
      <c r="A47" s="33" t="inlineStr">
        <is>
          <t>cv</t>
        </is>
      </c>
      <c r="B47" s="14" t="inlineStr">
        <is>
          <t>Scan-time variability</t>
        </is>
      </c>
      <c r="C47" s="9" t="inlineStr">
        <is>
          <t>Real scans are regular, unlike the exponential times M/M/1 assumes</t>
        </is>
      </c>
      <c r="D47" s="34" t="inlineStr">
        <is>
          <t>assumed</t>
        </is>
      </c>
      <c r="E47" s="37" t="n">
        <v>0.3</v>
      </c>
      <c r="F47" s="14" t="inlineStr"/>
      <c r="G47" s="14">
        <f>A47&amp;" = "&amp;IF(ISNUMBER(E47),TEXT(E47,"0.0"),E47)&amp;IF(F47="",""," "&amp;F47)</f>
        <v/>
      </c>
    </row>
    <row r="48" ht="21.95" customHeight="1">
      <c r="A48" s="33" t="inlineStr">
        <is>
          <t>Wq M/G/1</t>
        </is>
      </c>
      <c r="B48" s="14" t="inlineStr">
        <is>
          <t>Corrected wait</t>
        </is>
      </c>
      <c r="C48" s="9" t="inlineStr">
        <is>
          <t>Pollaczek–Khinchine correction for regular service</t>
        </is>
      </c>
      <c r="D48" s="34" t="inlineStr">
        <is>
          <t>Wq × (1 + cv²) ÷ 2</t>
        </is>
      </c>
      <c r="E48" s="39">
        <f>IF(ISNUMBER(E46),E46*(1+E47^2)/2,"none")</f>
        <v/>
      </c>
      <c r="F48" s="14" t="inlineStr">
        <is>
          <t>min</t>
        </is>
      </c>
      <c r="G48" s="14">
        <f>A48&amp;" = "&amp;IF(ISNUMBER(E48),TEXT(E48,"0.00"),E48)&amp;IF(F48="",""," "&amp;F48)</f>
        <v/>
      </c>
    </row>
    <row r="49" ht="21.95" customHeight="1">
      <c r="A49" s="33" t="inlineStr">
        <is>
          <t>Wq sim</t>
        </is>
      </c>
      <c r="B49" s="14" t="inlineStr">
        <is>
          <t>Simulated wait</t>
        </is>
      </c>
      <c r="C49" s="9" t="inlineStr">
        <is>
          <t>What the simulated students waited at the scanner</t>
        </is>
      </c>
      <c r="D49" s="34" t="inlineStr">
        <is>
          <t>from the simulation</t>
        </is>
      </c>
      <c r="E49" s="36">
        <f>'Sim Data'!$F$15</f>
        <v/>
      </c>
      <c r="F49" s="14" t="inlineStr">
        <is>
          <t>min</t>
        </is>
      </c>
      <c r="G49" s="14">
        <f>A49&amp;" = "&amp;IF(ISNUMBER(E49),TEXT(E49,"0.00"),E49)&amp;IF(F49="",""," "&amp;F49)</f>
        <v/>
      </c>
    </row>
    <row r="50"/>
    <row r="51" ht="24.85" customHeight="1">
      <c r="A51" s="4" t="inlineStr">
        <is>
          <t>4. Seats at Munch Mess (capacity)</t>
        </is>
      </c>
    </row>
    <row r="52" ht="21.95" customHeight="1">
      <c r="A52" s="20" t="inlineStr">
        <is>
          <t>Little's Law also measures capacity: the seats can absorb N ÷ T students a minute.</t>
        </is>
      </c>
    </row>
    <row r="53" ht="21.95" customHeight="1">
      <c r="A53" s="7" t="inlineStr">
        <is>
          <t>Symbol</t>
        </is>
      </c>
      <c r="B53" s="7" t="inlineStr">
        <is>
          <t>Name</t>
        </is>
      </c>
      <c r="C53" s="7" t="inlineStr">
        <is>
          <t>What it means at the mess</t>
        </is>
      </c>
      <c r="D53" s="7" t="inlineStr">
        <is>
          <t>Formula</t>
        </is>
      </c>
      <c r="E53" s="7" t="inlineStr">
        <is>
          <t>Value</t>
        </is>
      </c>
      <c r="F53" s="7" t="inlineStr">
        <is>
          <t>Unit</t>
        </is>
      </c>
      <c r="G53" s="7" t="inlineStr">
        <is>
          <t>Reads as</t>
        </is>
      </c>
    </row>
    <row r="54" ht="21.95" customHeight="1">
      <c r="A54" s="33" t="inlineStr">
        <is>
          <t>N</t>
        </is>
      </c>
      <c r="B54" s="14" t="inlineStr">
        <is>
          <t>Seats</t>
        </is>
      </c>
      <c r="C54" s="9" t="inlineStr">
        <is>
          <t>Seats at Munch Mess</t>
        </is>
      </c>
      <c r="D54" s="34" t="inlineStr">
        <is>
          <t>measured</t>
        </is>
      </c>
      <c r="E54" s="38">
        <f>'Assumptions'!$B$27</f>
        <v/>
      </c>
      <c r="F54" s="14" t="inlineStr">
        <is>
          <t>seats</t>
        </is>
      </c>
      <c r="G54" s="14">
        <f>A54&amp;" = "&amp;IF(ISNUMBER(E54),TEXT(E54,"0"),E54)&amp;IF(F54="",""," "&amp;F54)</f>
        <v/>
      </c>
    </row>
    <row r="55" ht="21.95" customHeight="1">
      <c r="A55" s="33" t="inlineStr">
        <is>
          <t>T</t>
        </is>
      </c>
      <c r="B55" s="14" t="inlineStr">
        <is>
          <t>Seat turnover time</t>
        </is>
      </c>
      <c r="C55" s="9" t="inlineStr">
        <is>
          <t>Minutes one diner holds a seat, plus changeover</t>
        </is>
      </c>
      <c r="D55" s="34" t="inlineStr">
        <is>
          <t>eating time + changeover</t>
        </is>
      </c>
      <c r="E55" s="35">
        <f>('Assumptions'!$B$28+'Assumptions'!$B$29)/2+'Assumptions'!$B$30</f>
        <v/>
      </c>
      <c r="F55" s="14" t="inlineStr">
        <is>
          <t>min</t>
        </is>
      </c>
      <c r="G55" s="14">
        <f>A55&amp;" = "&amp;IF(ISNUMBER(E55),TEXT(E55,"0.0"),E55)&amp;IF(F55="",""," "&amp;F55)</f>
        <v/>
      </c>
    </row>
    <row r="56" ht="21.95" customHeight="1">
      <c r="A56" s="33" t="inlineStr">
        <is>
          <t>Turns</t>
        </is>
      </c>
      <c r="B56" s="14" t="inlineStr">
        <is>
          <t>Turnover rate</t>
        </is>
      </c>
      <c r="C56" s="9" t="inlineStr">
        <is>
          <t>Diners one seat serves per hour</t>
        </is>
      </c>
      <c r="D56" s="34" t="inlineStr">
        <is>
          <t>60 ÷ T</t>
        </is>
      </c>
      <c r="E56" s="37">
        <f>60/E55</f>
        <v/>
      </c>
      <c r="F56" s="14" t="inlineStr">
        <is>
          <t>per hour</t>
        </is>
      </c>
      <c r="G56" s="14">
        <f>A56&amp;" = "&amp;IF(ISNUMBER(E56),TEXT(E56,"0.0"),E56)&amp;IF(F56="",""," "&amp;F56)</f>
        <v/>
      </c>
    </row>
    <row r="57" ht="37.9" customHeight="1">
      <c r="A57" s="33" t="inlineStr">
        <is>
          <t>λmax</t>
        </is>
      </c>
      <c r="B57" s="14" t="inlineStr">
        <is>
          <t>Seating capacity</t>
        </is>
      </c>
      <c r="C57" s="9" t="inlineStr">
        <is>
          <t>Most students per minute the seats can take (Little's Law rearranged)</t>
        </is>
      </c>
      <c r="D57" s="34" t="inlineStr">
        <is>
          <t>λmax = N ÷ T</t>
        </is>
      </c>
      <c r="E57" s="37">
        <f>E54/E55</f>
        <v/>
      </c>
      <c r="F57" s="14" t="inlineStr">
        <is>
          <t>students/min</t>
        </is>
      </c>
      <c r="G57" s="14">
        <f>A57&amp;" = "&amp;IF(ISNUMBER(E57),TEXT(E57,"0.0"),E57)&amp;IF(F57="",""," "&amp;F57)</f>
        <v/>
      </c>
    </row>
    <row r="58"/>
    <row r="59" ht="24.85" customHeight="1">
      <c r="A59" s="4" t="inlineStr">
        <is>
          <t>Which model fits which process</t>
        </is>
      </c>
    </row>
    <row r="60" ht="21.95" customHeight="1">
      <c r="A60" s="7" t="inlineStr">
        <is>
          <t>Process</t>
        </is>
      </c>
      <c r="B60" s="7" t="inlineStr">
        <is>
          <t>Model</t>
        </is>
      </c>
      <c r="C60" s="7" t="inlineStr">
        <is>
          <t>Why</t>
        </is>
      </c>
      <c r="D60" s="7" t="inlineStr"/>
      <c r="E60" s="7" t="inlineStr"/>
      <c r="F60" s="7" t="inlineStr"/>
      <c r="G60" s="7" t="inlineStr">
        <is>
          <t>Tab</t>
        </is>
      </c>
    </row>
    <row r="61" ht="21.95" customHeight="1">
      <c r="A61" s="44" t="inlineStr">
        <is>
          <t>Biometric scan</t>
        </is>
      </c>
      <c r="B61" s="14" t="inlineStr">
        <is>
          <t>M/M/1</t>
        </is>
      </c>
      <c r="C61" s="9" t="inlineStr">
        <is>
          <t>One scanner per mess; students queue outside the door. Scans are regular, so the M/G/1 correction is closer</t>
        </is>
      </c>
      <c r="D61" s="12" t="n"/>
      <c r="E61" s="12" t="n"/>
      <c r="F61" s="12" t="n"/>
      <c r="G61" s="45" t="inlineStr">
        <is>
          <t>Q1 Scanner</t>
        </is>
      </c>
    </row>
    <row r="62" ht="21.95" customHeight="1">
      <c r="A62" s="44" t="inlineStr">
        <is>
          <t>Serving stations</t>
        </is>
      </c>
      <c r="B62" s="14" t="inlineStr">
        <is>
          <t>M/M/c, c = 2</t>
        </is>
      </c>
      <c r="C62" s="9" t="inlineStr">
        <is>
          <t>Two stations fed from one line; this is where the queue forms</t>
        </is>
      </c>
      <c r="D62" s="12" t="n"/>
      <c r="E62" s="12" t="n"/>
      <c r="F62" s="12" t="n"/>
      <c r="G62" s="45" t="inlineStr">
        <is>
          <t>Q2 Serving stations</t>
        </is>
      </c>
    </row>
    <row r="63" ht="21.95" customHeight="1">
      <c r="A63" s="44" t="inlineStr">
        <is>
          <t>Seats</t>
        </is>
      </c>
      <c r="B63" s="14" t="inlineStr">
        <is>
          <t>M/G/c, c = seats</t>
        </is>
      </c>
      <c r="C63" s="9" t="inlineStr">
        <is>
          <t>Each seat is a server and a meal is its service; with 900 and 492 seats nobody waits</t>
        </is>
      </c>
      <c r="D63" s="12" t="n"/>
      <c r="E63" s="12" t="n"/>
      <c r="F63" s="12" t="n"/>
      <c r="G63" s="45" t="inlineStr">
        <is>
          <t>Q3 Seats &amp; disposal</t>
        </is>
      </c>
    </row>
    <row r="64" ht="21.95" customHeight="1">
      <c r="A64" s="44" t="inlineStr">
        <is>
          <t>Disposal</t>
        </is>
      </c>
      <c r="B64" s="14" t="inlineStr">
        <is>
          <t>M/G/∞</t>
        </is>
      </c>
      <c r="C64" s="9" t="inlineStr">
        <is>
          <t>Several bins and no waiting, so only L = λ × W applies</t>
        </is>
      </c>
      <c r="D64" s="12" t="n"/>
      <c r="E64" s="12" t="n"/>
      <c r="F64" s="12" t="n"/>
      <c r="G64" s="45" t="inlineStr">
        <is>
          <t>Q3 Seats &amp; disposal</t>
        </is>
      </c>
    </row>
    <row r="65" ht="21.95" customHeight="1">
      <c r="A65" s="44" t="inlineStr">
        <is>
          <t>Whole visit</t>
        </is>
      </c>
      <c r="B65" s="14" t="inlineStr">
        <is>
          <t>Little's Law</t>
        </is>
      </c>
      <c r="C65" s="9" t="inlineStr">
        <is>
          <t>People inside = arrivals per minute × minutes inside</t>
        </is>
      </c>
      <c r="D65" s="12" t="n"/>
      <c r="E65" s="12" t="n"/>
      <c r="F65" s="12" t="n"/>
      <c r="G65" s="45" t="inlineStr">
        <is>
          <t>Littles Law</t>
        </is>
      </c>
    </row>
  </sheetData>
  <mergeCells count="9">
    <mergeCell ref="C61:F61"/>
    <mergeCell ref="C64:F64"/>
    <mergeCell ref="A27:G27"/>
    <mergeCell ref="C62:F62"/>
    <mergeCell ref="A52:G52"/>
    <mergeCell ref="C63:F63"/>
    <mergeCell ref="C65:F65"/>
    <mergeCell ref="A41:G41"/>
    <mergeCell ref="A5:G5"/>
  </mergeCells>
  <hyperlinks>
    <hyperlink xmlns:r="http://schemas.openxmlformats.org/officeDocument/2006/relationships" ref="G61" r:id="rId1"/>
    <hyperlink xmlns:r="http://schemas.openxmlformats.org/officeDocument/2006/relationships" ref="G62" r:id="rId2"/>
    <hyperlink xmlns:r="http://schemas.openxmlformats.org/officeDocument/2006/relationships" ref="G63" r:id="rId3"/>
    <hyperlink xmlns:r="http://schemas.openxmlformats.org/officeDocument/2006/relationships" ref="G64" r:id="rId4"/>
    <hyperlink xmlns:r="http://schemas.openxmlformats.org/officeDocument/2006/relationships" ref="G65" r:id="rId5"/>
  </hyperlinks>
  <printOptions horizontalCentered="1"/>
  <pageMargins left="0.75" right="0.75" top="1" bottom="1" header="0.5" footer="0.5"/>
  <pageSetup orientation="landscape" fitToHeight="0" fitToWidth="1"/>
</worksheet>
</file>

<file path=xl/worksheets/sheet4.xml><?xml version="1.0" encoding="utf-8"?>
<worksheet xmlns="http://schemas.openxmlformats.org/spreadsheetml/2006/main">
  <sheetPr>
    <tabColor rgb="002F5597"/>
    <outlinePr summaryBelow="1" summaryRight="1"/>
    <pageSetUpPr fitToPage="1"/>
  </sheetPr>
  <dimension ref="A1:U121"/>
  <sheetViews>
    <sheetView showGridLines="0" tabSelected="0" zoomScale="100" workbookViewId="0">
      <pane xSplit="3" ySplit="27" topLeftCell="D28"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0" customWidth="1" min="4" max="4"/>
    <col width="11" customWidth="1" min="5" max="5"/>
    <col width="10" customWidth="1" min="6" max="6"/>
    <col width="7" customWidth="1" min="7" max="7"/>
    <col width="9" customWidth="1" min="8" max="8"/>
    <col width="22" customWidth="1" min="9" max="9"/>
    <col width="12" customWidth="1" min="10" max="10"/>
    <col width="13" customWidth="1" min="11" max="11"/>
    <col width="12" customWidth="1" min="12" max="12"/>
    <col width="11" customWidth="1" min="13" max="13"/>
    <col width="11" customWidth="1" min="14" max="14"/>
    <col width="13" customWidth="1" min="15" max="15"/>
    <col width="11" customWidth="1" min="16" max="16"/>
    <col width="11" customWidth="1" min="17" max="17"/>
    <col width="12" customWidth="1" min="18" max="18"/>
    <col width="12" customWidth="1" min="19" max="19"/>
    <col width="13" customWidth="1" min="20" max="20"/>
    <col width="40" customWidth="1" min="21" max="21"/>
  </cols>
  <sheetData>
    <row r="1" ht="36" customHeight="1">
      <c r="A1" s="1" t="inlineStr">
        <is>
          <t>Biometric scan: M/M/1</t>
        </is>
      </c>
      <c r="B1" s="2" t="n"/>
      <c r="C1" s="2" t="n"/>
      <c r="D1" s="2" t="n"/>
      <c r="E1" s="2" t="n"/>
      <c r="F1" s="2" t="n"/>
      <c r="G1" s="2" t="n"/>
      <c r="H1" s="2" t="n"/>
      <c r="I1" s="2" t="n"/>
      <c r="J1" s="2" t="n"/>
      <c r="K1" s="2" t="n"/>
      <c r="L1" s="2" t="n"/>
      <c r="M1" s="2" t="n"/>
      <c r="N1" s="2" t="n"/>
      <c r="O1" s="2" t="n"/>
      <c r="P1" s="2" t="n"/>
      <c r="Q1" s="2" t="n"/>
      <c r="R1" s="2" t="n"/>
      <c r="S1" s="2" t="n"/>
      <c r="T1" s="2" t="n"/>
      <c r="U1" s="2" t="n"/>
    </row>
    <row r="2" ht="22" customHeight="1">
      <c r="A2" s="3" t="inlineStr">
        <is>
          <t>M/M/1, one face scanner per mess. Arrivals, waits and line lengths are simulated; utilisation, stability, the textbook waits and the line carried between slots (fluid queue) are formulas.</t>
        </is>
      </c>
    </row>
    <row r="3" ht="8" customHeight="1"/>
    <row r="4" ht="24.85" customHeight="1">
      <c r="A4" s="4" t="inlineStr">
        <is>
          <t>Summary</t>
        </is>
      </c>
    </row>
    <row r="5" ht="69.8" customHeight="1">
      <c r="A5" s="7" t="inlineStr">
        <is>
          <t>Scenario</t>
        </is>
      </c>
      <c r="B5" s="7" t="inlineStr">
        <is>
          <t>Mess</t>
        </is>
      </c>
      <c r="C5" s="7" t="inlineStr">
        <is>
          <t>Peak ρ</t>
        </is>
      </c>
      <c r="D5" s="7" t="inlineStr">
        <is>
          <t>Slots over</t>
        </is>
      </c>
      <c r="E5" s="7" t="inlineStr">
        <is>
          <t>Slots near</t>
        </is>
      </c>
      <c r="F5" s="7" t="inlineStr">
        <is>
          <t>Worst wait</t>
        </is>
      </c>
      <c r="G5" s="7" t="inlineStr">
        <is>
          <t>Avg wait (simulated)</t>
        </is>
      </c>
      <c r="H5" s="7" t="inlineStr">
        <is>
          <t>Avg: formula on the average day</t>
        </is>
      </c>
      <c r="I5" s="7" t="inlineStr">
        <is>
          <t>Avg: rule lunch by lunch</t>
        </is>
      </c>
    </row>
    <row r="6" ht="21.95" customHeight="1">
      <c r="A6" s="14" t="inlineStr">
        <is>
          <t>Today (no screens)</t>
        </is>
      </c>
      <c r="B6" s="14" t="inlineStr">
        <is>
          <t>Central CT</t>
        </is>
      </c>
      <c r="C6" s="46">
        <f>_xlfn.MAXIFS($H$28:$H$99,$A$28:$A$99,"Today (no screens)",$B$28:$B$99,"Central CT")</f>
        <v/>
      </c>
      <c r="D6" s="47">
        <f>COUNTIFS($A$28:$A$99,"Today (no screens)",$B$28:$B$99,"Central CT",$H$28:$H$99,"&gt;=1")</f>
        <v/>
      </c>
      <c r="E6" s="48">
        <f>COUNTIFS($A$28:$A$99,"Today (no screens)",$B$28:$B$99,"Central CT",$H$28:$H$99,"&gt;=0.85",$H$28:$H$99,"&lt;1")</f>
        <v/>
      </c>
      <c r="F6" s="49">
        <f>_xlfn.MAXIFS($L$28:$L$99,$A$28:$A$99,"Today (no screens)",$B$28:$B$99,"Central CT")</f>
        <v/>
      </c>
      <c r="G6" s="49">
        <f>SUMPRODUCT(($A$28:$A$99="Today (no screens)")*($B$28:$B$99="Central CT")*$L$28:$L$99*$D$28:$D$99)/SUMPRODUCT(($A$28:$A$99="Today (no screens)")*($B$28:$B$99="Central CT")*$D$28:$D$99)</f>
        <v/>
      </c>
      <c r="H6" s="50">
        <f>SUMPRODUCT(($A$28:$A$99="Today (no screens)")*($B$28:$B$99="Central CT")*$S$28:$S$99*$D$28:$D$99)/SUMPRODUCT(($A$28:$A$99="Today (no screens)")*($B$28:$B$99="Central CT")*$D$28:$D$99)</f>
        <v/>
      </c>
      <c r="I6" s="50">
        <f>SUMPRODUCT(($A$28:$A$99="Today (no screens)")*($B$28:$B$99="Central CT")*$T$28:$T$99*$D$28:$D$99)/SUMPRODUCT(($A$28:$A$99="Today (no screens)")*($B$28:$B$99="Central CT")*$D$28:$D$99)</f>
        <v/>
      </c>
    </row>
    <row r="7" ht="21.95" customHeight="1">
      <c r="A7" s="14" t="inlineStr">
        <is>
          <t>Today (no screens)</t>
        </is>
      </c>
      <c r="B7" s="14" t="inlineStr">
        <is>
          <t>Munch Mess</t>
        </is>
      </c>
      <c r="C7" s="46">
        <f>_xlfn.MAXIFS($H$28:$H$99,$A$28:$A$99,"Today (no screens)",$B$28:$B$99,"Munch Mess")</f>
        <v/>
      </c>
      <c r="D7" s="47">
        <f>COUNTIFS($A$28:$A$99,"Today (no screens)",$B$28:$B$99,"Munch Mess",$H$28:$H$99,"&gt;=1")</f>
        <v/>
      </c>
      <c r="E7" s="48">
        <f>COUNTIFS($A$28:$A$99,"Today (no screens)",$B$28:$B$99,"Munch Mess",$H$28:$H$99,"&gt;=0.85",$H$28:$H$99,"&lt;1")</f>
        <v/>
      </c>
      <c r="F7" s="49">
        <f>_xlfn.MAXIFS($L$28:$L$99,$A$28:$A$99,"Today (no screens)",$B$28:$B$99,"Munch Mess")</f>
        <v/>
      </c>
      <c r="G7" s="49">
        <f>SUMPRODUCT(($A$28:$A$99="Today (no screens)")*($B$28:$B$99="Munch Mess")*$L$28:$L$99*$D$28:$D$99)/SUMPRODUCT(($A$28:$A$99="Today (no screens)")*($B$28:$B$99="Munch Mess")*$D$28:$D$99)</f>
        <v/>
      </c>
      <c r="H7" s="50">
        <f>SUMPRODUCT(($A$28:$A$99="Today (no screens)")*($B$28:$B$99="Munch Mess")*$S$28:$S$99*$D$28:$D$99)/SUMPRODUCT(($A$28:$A$99="Today (no screens)")*($B$28:$B$99="Munch Mess")*$D$28:$D$99)</f>
        <v/>
      </c>
      <c r="I7" s="50">
        <f>SUMPRODUCT(($A$28:$A$99="Today (no screens)")*($B$28:$B$99="Munch Mess")*$T$28:$T$99*$D$28:$D$99)/SUMPRODUCT(($A$28:$A$99="Today (no screens)")*($B$28:$B$99="Munch Mess")*$D$28:$D$99)</f>
        <v/>
      </c>
    </row>
    <row r="8" ht="21.95" customHeight="1">
      <c r="A8" s="14" t="inlineStr">
        <is>
          <t>With Smart Scan screens</t>
        </is>
      </c>
      <c r="B8" s="14" t="inlineStr">
        <is>
          <t>Central CT</t>
        </is>
      </c>
      <c r="C8" s="46">
        <f>_xlfn.MAXIFS($H$28:$H$99,$A$28:$A$99,"With Smart Scan screens",$B$28:$B$99,"Central CT")</f>
        <v/>
      </c>
      <c r="D8" s="47">
        <f>COUNTIFS($A$28:$A$99,"With Smart Scan screens",$B$28:$B$99,"Central CT",$H$28:$H$99,"&gt;=1")</f>
        <v/>
      </c>
      <c r="E8" s="48">
        <f>COUNTIFS($A$28:$A$99,"With Smart Scan screens",$B$28:$B$99,"Central CT",$H$28:$H$99,"&gt;=0.85",$H$28:$H$99,"&lt;1")</f>
        <v/>
      </c>
      <c r="F8" s="49">
        <f>_xlfn.MAXIFS($L$28:$L$99,$A$28:$A$99,"With Smart Scan screens",$B$28:$B$99,"Central CT")</f>
        <v/>
      </c>
      <c r="G8" s="49">
        <f>SUMPRODUCT(($A$28:$A$99="With Smart Scan screens")*($B$28:$B$99="Central CT")*$L$28:$L$99*$D$28:$D$99)/SUMPRODUCT(($A$28:$A$99="With Smart Scan screens")*($B$28:$B$99="Central CT")*$D$28:$D$99)</f>
        <v/>
      </c>
      <c r="H8" s="50">
        <f>SUMPRODUCT(($A$28:$A$99="With Smart Scan screens")*($B$28:$B$99="Central CT")*$S$28:$S$99*$D$28:$D$99)/SUMPRODUCT(($A$28:$A$99="With Smart Scan screens")*($B$28:$B$99="Central CT")*$D$28:$D$99)</f>
        <v/>
      </c>
      <c r="I8" s="50">
        <f>SUMPRODUCT(($A$28:$A$99="With Smart Scan screens")*($B$28:$B$99="Central CT")*$T$28:$T$99*$D$28:$D$99)/SUMPRODUCT(($A$28:$A$99="With Smart Scan screens")*($B$28:$B$99="Central CT")*$D$28:$D$99)</f>
        <v/>
      </c>
    </row>
    <row r="9" ht="21.95" customHeight="1">
      <c r="A9" s="14" t="inlineStr">
        <is>
          <t>With Smart Scan screens</t>
        </is>
      </c>
      <c r="B9" s="14" t="inlineStr">
        <is>
          <t>Munch Mess</t>
        </is>
      </c>
      <c r="C9" s="46">
        <f>_xlfn.MAXIFS($H$28:$H$99,$A$28:$A$99,"With Smart Scan screens",$B$28:$B$99,"Munch Mess")</f>
        <v/>
      </c>
      <c r="D9" s="47">
        <f>COUNTIFS($A$28:$A$99,"With Smart Scan screens",$B$28:$B$99,"Munch Mess",$H$28:$H$99,"&gt;=1")</f>
        <v/>
      </c>
      <c r="E9" s="48">
        <f>COUNTIFS($A$28:$A$99,"With Smart Scan screens",$B$28:$B$99,"Munch Mess",$H$28:$H$99,"&gt;=0.85",$H$28:$H$99,"&lt;1")</f>
        <v/>
      </c>
      <c r="F9" s="49">
        <f>_xlfn.MAXIFS($L$28:$L$99,$A$28:$A$99,"With Smart Scan screens",$B$28:$B$99,"Munch Mess")</f>
        <v/>
      </c>
      <c r="G9" s="49">
        <f>SUMPRODUCT(($A$28:$A$99="With Smart Scan screens")*($B$28:$B$99="Munch Mess")*$L$28:$L$99*$D$28:$D$99)/SUMPRODUCT(($A$28:$A$99="With Smart Scan screens")*($B$28:$B$99="Munch Mess")*$D$28:$D$99)</f>
        <v/>
      </c>
      <c r="H9" s="50">
        <f>SUMPRODUCT(($A$28:$A$99="With Smart Scan screens")*($B$28:$B$99="Munch Mess")*$S$28:$S$99*$D$28:$D$99)/SUMPRODUCT(($A$28:$A$99="With Smart Scan screens")*($B$28:$B$99="Munch Mess")*$D$28:$D$99)</f>
        <v/>
      </c>
      <c r="I9" s="50">
        <f>SUMPRODUCT(($A$28:$A$99="With Smart Scan screens")*($B$28:$B$99="Munch Mess")*$T$28:$T$99*$D$28:$D$99)/SUMPRODUCT(($A$28:$A$99="With Smart Scan screens")*($B$28:$B$99="Munch Mess")*$D$28:$D$99)</f>
        <v/>
      </c>
    </row>
    <row r="10" ht="20.5" customHeight="1">
      <c r="A10" s="51" t="inlineStr">
        <is>
          <t>Slots over = ρ ≥ 100% · slots near = 85–100% · worst and average wait are simulated · formula on the average day = column S (line carried between slots + randomness) · rule lunch by lunch = the serving-capacity rule on each simulated lunch, then averaged (column T) · all λ-weighted, in minutes</t>
        </is>
      </c>
    </row>
    <row r="11"/>
    <row r="12" ht="18" customHeight="1">
      <c r="A12" s="52" t="inlineStr">
        <is>
          <t>Takeaway: One scanner per mess handles about 30 students a minute. It keeps up all lunch, though Central's scanner gets close (about 98% busy) in the 13:10 surge. The textbook M/M/1 wait assumes the surge lasts long enough for the queue to settle; a 10-minute surge never gets there, so the formula overstates the wait (about 1.2 min corrected vs 0.3 min simulated at 13:10). Anyone queueing here is still outside the door, so the live system cannot see them.</t>
        </is>
      </c>
    </row>
    <row r="13">
      <c r="A13" s="53" t="n"/>
    </row>
    <row r="14">
      <c r="A14" s="53" t="n"/>
    </row>
    <row r="15">
      <c r="A15" s="53" t="n"/>
    </row>
    <row r="16">
      <c r="A16" s="53" t="n"/>
    </row>
    <row r="17">
      <c r="A17" s="53" t="n"/>
    </row>
    <row r="18">
      <c r="A18" s="53" t="n"/>
    </row>
    <row r="19"/>
    <row r="20" ht="20.5" customHeight="1">
      <c r="A20" s="51" t="inlineStr">
        <is>
          <t>In the table below: red = over capacity (the line keeps growing), amber = near capacity (waits rise steeply).</t>
        </is>
      </c>
    </row>
    <row r="21"/>
    <row r="22"/>
    <row r="23"/>
    <row r="24"/>
    <row r="25"/>
    <row r="26" ht="24.85" customHeight="1">
      <c r="A26" s="4" t="inlineStr">
        <is>
          <t>Slot by slot (filter by scenario or mess)</t>
        </is>
      </c>
    </row>
    <row r="27" ht="85.75" customHeight="1">
      <c r="A27" s="7" t="inlineStr">
        <is>
          <t>Scenario</t>
        </is>
      </c>
      <c r="B27" s="7" t="inlineStr">
        <is>
          <t>Mess</t>
        </is>
      </c>
      <c r="C27" s="7" t="inlineStr">
        <is>
          <t>Slot</t>
        </is>
      </c>
      <c r="D27" s="7" t="inlineStr">
        <is>
          <t>λ (/min)</t>
        </is>
      </c>
      <c r="E27" s="7" t="inlineStr">
        <is>
          <t>Service time (min)</t>
        </is>
      </c>
      <c r="F27" s="7" t="inlineStr">
        <is>
          <t>μ (/min)</t>
        </is>
      </c>
      <c r="G27" s="7" t="inlineStr">
        <is>
          <t>c</t>
        </is>
      </c>
      <c r="H27" s="7" t="inlineStr">
        <is>
          <t>ρ</t>
        </is>
      </c>
      <c r="I27" s="7" t="inlineStr">
        <is>
          <t>Stable?</t>
        </is>
      </c>
      <c r="J27" s="7" t="inlineStr">
        <is>
          <t>Wq textbook (min)</t>
        </is>
      </c>
      <c r="K27" s="7" t="inlineStr">
        <is>
          <t>Wq M/G/1, Pollaczek–Khinchine (min)</t>
        </is>
      </c>
      <c r="L27" s="7" t="inlineStr">
        <is>
          <t>Wq simulated (min)</t>
        </is>
      </c>
      <c r="M27" s="7" t="inlineStr">
        <is>
          <t>Lq simulated</t>
        </is>
      </c>
      <c r="N27" s="7" t="inlineStr">
        <is>
          <t>λ × Wq simulated</t>
        </is>
      </c>
      <c r="O27" s="7" t="inlineStr">
        <is>
          <t>Little's Law: Lq ÷ λWq</t>
        </is>
      </c>
      <c r="P27" s="7" t="inlineStr">
        <is>
          <t>Line at start (carried in)</t>
        </is>
      </c>
      <c r="Q27" s="7" t="inlineStr">
        <is>
          <t>Line at end = start + λ×10 − cμ×(10 − minutes food out)</t>
        </is>
      </c>
      <c r="R27" s="7" t="inlineStr">
        <is>
          <t>Wait from the line (min)</t>
        </is>
      </c>
      <c r="S27" s="7" t="inlineStr">
        <is>
          <t>Best estimate, average day (min)</t>
        </is>
      </c>
      <c r="T27" s="7" t="inlineStr">
        <is>
          <t>Rule, each lunch then averaged (min)</t>
        </is>
      </c>
      <c r="U27" s="7" t="inlineStr">
        <is>
          <t>What it means</t>
        </is>
      </c>
    </row>
    <row r="28" ht="21.95" customHeight="1">
      <c r="A28" s="14" t="inlineStr">
        <is>
          <t>Today (no screens)</t>
        </is>
      </c>
      <c r="B28" s="14" t="inlineStr">
        <is>
          <t>Central CT</t>
        </is>
      </c>
      <c r="C28" s="27" t="inlineStr">
        <is>
          <t>11:30</t>
        </is>
      </c>
      <c r="D28" s="54">
        <f>'Sim Data'!$E$5</f>
        <v/>
      </c>
      <c r="E28" s="55">
        <f>'Sim Data'!$G$5</f>
        <v/>
      </c>
      <c r="F28" s="56">
        <f>IF(E28&gt;0,1/E28,60/'Assumptions'!$B$16)</f>
        <v/>
      </c>
      <c r="G28" s="57">
        <f>'Assumptions'!$B$15</f>
        <v/>
      </c>
      <c r="H28" s="58">
        <f>D28/(G28*F28)</f>
        <v/>
      </c>
      <c r="I28" s="27">
        <f>IF(D28=0,"no arrivals",IF(H28&lt;0.85,"stable",IF(H28&lt;1,"near capacity","over capacity")))</f>
        <v/>
      </c>
      <c r="J28" s="49">
        <f>IF(AND(D28&gt;0,H28&lt;1),H28/(F28-D28),"—")</f>
        <v/>
      </c>
      <c r="K28" s="49">
        <f>IF(ISNUMBER(J28),(1+0.3^2)/2*J28,"—")</f>
        <v/>
      </c>
      <c r="L28" s="59">
        <f>'Sim Data'!$F$5</f>
        <v/>
      </c>
      <c r="M28" s="54">
        <f>'Sim Data'!$H$5</f>
        <v/>
      </c>
      <c r="N28" s="56">
        <f>D28*L28</f>
        <v/>
      </c>
      <c r="O28" s="49">
        <f>IF(MAX(M28,N28)&lt;0.5,"both ≈ 0",IF(N28=0,"no new arrivals",M28/N28))</f>
        <v/>
      </c>
      <c r="P28" s="48">
        <f>0</f>
        <v/>
      </c>
      <c r="Q28" s="48">
        <f>MAX(0,P28+D28*'Assumptions'!$B$47-G28*F28*('Assumptions'!$B$47-'Sim Data'!$L$5))</f>
        <v/>
      </c>
      <c r="R28" s="49">
        <f>(P28+Q28)/2/(G28*F28)</f>
        <v/>
      </c>
      <c r="S28" s="49">
        <f>IF(D28&gt;0,R28+(1+0.3^2)/2*(MIN(D28,0.95*G28*F28)/F28)/(F28-MIN(D28,0.95*G28*F28)),0)</f>
        <v/>
      </c>
      <c r="T28" s="59">
        <f>'Sim Data'!$J$5</f>
        <v/>
      </c>
      <c r="U28" s="14">
        <f>IF(D28=0,IF(P28&gt;0,"No new arrivals: the line left from earlier drains",""),IF(H28&gt;=1,"Over capacity: the line grows by about "&amp;TEXT((D28-G28*F28)*10,"0")&amp;" in 10 min (to "&amp;TEXT(Q28,"0")&amp;")",IF(P28&gt;=1,"Under capacity, but "&amp;TEXT(P28,"0")&amp;" were already in line: it drains to "&amp;TEXT(Q28,"0"),IF(ISNUMBER(O28),IF(ABS(O28-1)&lt;=0.2,"Steady: Little's Law holds",IF(O28&gt;1,"Draining a line left from earlier","Line still building")),"Hardly any line"))))</f>
        <v/>
      </c>
    </row>
    <row r="29" ht="21.95" customHeight="1">
      <c r="A29" s="14" t="inlineStr">
        <is>
          <t>Today (no screens)</t>
        </is>
      </c>
      <c r="B29" s="14" t="inlineStr">
        <is>
          <t>Central CT</t>
        </is>
      </c>
      <c r="C29" s="27" t="inlineStr">
        <is>
          <t>11:40</t>
        </is>
      </c>
      <c r="D29" s="54">
        <f>'Sim Data'!$E$6</f>
        <v/>
      </c>
      <c r="E29" s="55">
        <f>'Sim Data'!$G$6</f>
        <v/>
      </c>
      <c r="F29" s="56">
        <f>IF(E29&gt;0,1/E29,60/'Assumptions'!$B$16)</f>
        <v/>
      </c>
      <c r="G29" s="57">
        <f>'Assumptions'!$B$15</f>
        <v/>
      </c>
      <c r="H29" s="58">
        <f>D29/(G29*F29)</f>
        <v/>
      </c>
      <c r="I29" s="27">
        <f>IF(D29=0,"no arrivals",IF(H29&lt;0.85,"stable",IF(H29&lt;1,"near capacity","over capacity")))</f>
        <v/>
      </c>
      <c r="J29" s="49">
        <f>IF(AND(D29&gt;0,H29&lt;1),H29/(F29-D29),"—")</f>
        <v/>
      </c>
      <c r="K29" s="49">
        <f>IF(ISNUMBER(J29),(1+0.3^2)/2*J29,"—")</f>
        <v/>
      </c>
      <c r="L29" s="59">
        <f>'Sim Data'!$F$6</f>
        <v/>
      </c>
      <c r="M29" s="54">
        <f>'Sim Data'!$H$6</f>
        <v/>
      </c>
      <c r="N29" s="56">
        <f>D29*L29</f>
        <v/>
      </c>
      <c r="O29" s="49">
        <f>IF(MAX(M29,N29)&lt;0.5,"both ≈ 0",IF(N29=0,"no new arrivals",M29/N29))</f>
        <v/>
      </c>
      <c r="P29" s="48">
        <f>Q28</f>
        <v/>
      </c>
      <c r="Q29" s="48">
        <f>MAX(0,P29+D29*'Assumptions'!$B$47-G29*F29*('Assumptions'!$B$47-'Sim Data'!$L$6))</f>
        <v/>
      </c>
      <c r="R29" s="49">
        <f>(P29+Q29)/2/(G29*F29)</f>
        <v/>
      </c>
      <c r="S29" s="49">
        <f>IF(D29&gt;0,R29+(1+0.3^2)/2*(MIN(D29,0.95*G29*F29)/F29)/(F29-MIN(D29,0.95*G29*F29)),0)</f>
        <v/>
      </c>
      <c r="T29" s="59">
        <f>'Sim Data'!$J$6</f>
        <v/>
      </c>
      <c r="U29" s="14">
        <f>IF(D29=0,IF(P29&gt;0,"No new arrivals: the line left from earlier drains",""),IF(H29&gt;=1,"Over capacity: the line grows by about "&amp;TEXT((D29-G29*F29)*10,"0")&amp;" in 10 min (to "&amp;TEXT(Q29,"0")&amp;")",IF(P29&gt;=1,"Under capacity, but "&amp;TEXT(P29,"0")&amp;" were already in line: it drains to "&amp;TEXT(Q29,"0"),IF(ISNUMBER(O29),IF(ABS(O29-1)&lt;=0.2,"Steady: Little's Law holds",IF(O29&gt;1,"Draining a line left from earlier","Line still building")),"Hardly any line"))))</f>
        <v/>
      </c>
    </row>
    <row r="30" ht="21.95" customHeight="1">
      <c r="A30" s="14" t="inlineStr">
        <is>
          <t>Today (no screens)</t>
        </is>
      </c>
      <c r="B30" s="14" t="inlineStr">
        <is>
          <t>Central CT</t>
        </is>
      </c>
      <c r="C30" s="27" t="inlineStr">
        <is>
          <t>11:50</t>
        </is>
      </c>
      <c r="D30" s="54">
        <f>'Sim Data'!$E$7</f>
        <v/>
      </c>
      <c r="E30" s="55">
        <f>'Sim Data'!$G$7</f>
        <v/>
      </c>
      <c r="F30" s="56">
        <f>IF(E30&gt;0,1/E30,60/'Assumptions'!$B$16)</f>
        <v/>
      </c>
      <c r="G30" s="57">
        <f>'Assumptions'!$B$15</f>
        <v/>
      </c>
      <c r="H30" s="58">
        <f>D30/(G30*F30)</f>
        <v/>
      </c>
      <c r="I30" s="27">
        <f>IF(D30=0,"no arrivals",IF(H30&lt;0.85,"stable",IF(H30&lt;1,"near capacity","over capacity")))</f>
        <v/>
      </c>
      <c r="J30" s="49">
        <f>IF(AND(D30&gt;0,H30&lt;1),H30/(F30-D30),"—")</f>
        <v/>
      </c>
      <c r="K30" s="49">
        <f>IF(ISNUMBER(J30),(1+0.3^2)/2*J30,"—")</f>
        <v/>
      </c>
      <c r="L30" s="59">
        <f>'Sim Data'!$F$7</f>
        <v/>
      </c>
      <c r="M30" s="54">
        <f>'Sim Data'!$H$7</f>
        <v/>
      </c>
      <c r="N30" s="56">
        <f>D30*L30</f>
        <v/>
      </c>
      <c r="O30" s="49">
        <f>IF(MAX(M30,N30)&lt;0.5,"both ≈ 0",IF(N30=0,"no new arrivals",M30/N30))</f>
        <v/>
      </c>
      <c r="P30" s="48">
        <f>Q29</f>
        <v/>
      </c>
      <c r="Q30" s="48">
        <f>MAX(0,P30+D30*'Assumptions'!$B$47-G30*F30*('Assumptions'!$B$47-'Sim Data'!$L$7))</f>
        <v/>
      </c>
      <c r="R30" s="49">
        <f>(P30+Q30)/2/(G30*F30)</f>
        <v/>
      </c>
      <c r="S30" s="49">
        <f>IF(D30&gt;0,R30+(1+0.3^2)/2*(MIN(D30,0.95*G30*F30)/F30)/(F30-MIN(D30,0.95*G30*F30)),0)</f>
        <v/>
      </c>
      <c r="T30" s="59">
        <f>'Sim Data'!$J$7</f>
        <v/>
      </c>
      <c r="U30" s="14">
        <f>IF(D30=0,IF(P30&gt;0,"No new arrivals: the line left from earlier drains",""),IF(H30&gt;=1,"Over capacity: the line grows by about "&amp;TEXT((D30-G30*F30)*10,"0")&amp;" in 10 min (to "&amp;TEXT(Q30,"0")&amp;")",IF(P30&gt;=1,"Under capacity, but "&amp;TEXT(P30,"0")&amp;" were already in line: it drains to "&amp;TEXT(Q30,"0"),IF(ISNUMBER(O30),IF(ABS(O30-1)&lt;=0.2,"Steady: Little's Law holds",IF(O30&gt;1,"Draining a line left from earlier","Line still building")),"Hardly any line"))))</f>
        <v/>
      </c>
    </row>
    <row r="31" ht="21.95" customHeight="1">
      <c r="A31" s="14" t="inlineStr">
        <is>
          <t>Today (no screens)</t>
        </is>
      </c>
      <c r="B31" s="14" t="inlineStr">
        <is>
          <t>Central CT</t>
        </is>
      </c>
      <c r="C31" s="27" t="inlineStr">
        <is>
          <t>12:00</t>
        </is>
      </c>
      <c r="D31" s="54">
        <f>'Sim Data'!$E$8</f>
        <v/>
      </c>
      <c r="E31" s="55">
        <f>'Sim Data'!$G$8</f>
        <v/>
      </c>
      <c r="F31" s="56">
        <f>IF(E31&gt;0,1/E31,60/'Assumptions'!$B$16)</f>
        <v/>
      </c>
      <c r="G31" s="57">
        <f>'Assumptions'!$B$15</f>
        <v/>
      </c>
      <c r="H31" s="58">
        <f>D31/(G31*F31)</f>
        <v/>
      </c>
      <c r="I31" s="27">
        <f>IF(D31=0,"no arrivals",IF(H31&lt;0.85,"stable",IF(H31&lt;1,"near capacity","over capacity")))</f>
        <v/>
      </c>
      <c r="J31" s="49">
        <f>IF(AND(D31&gt;0,H31&lt;1),H31/(F31-D31),"—")</f>
        <v/>
      </c>
      <c r="K31" s="49">
        <f>IF(ISNUMBER(J31),(1+0.3^2)/2*J31,"—")</f>
        <v/>
      </c>
      <c r="L31" s="59">
        <f>'Sim Data'!$F$8</f>
        <v/>
      </c>
      <c r="M31" s="54">
        <f>'Sim Data'!$H$8</f>
        <v/>
      </c>
      <c r="N31" s="56">
        <f>D31*L31</f>
        <v/>
      </c>
      <c r="O31" s="49">
        <f>IF(MAX(M31,N31)&lt;0.5,"both ≈ 0",IF(N31=0,"no new arrivals",M31/N31))</f>
        <v/>
      </c>
      <c r="P31" s="48">
        <f>Q30</f>
        <v/>
      </c>
      <c r="Q31" s="48">
        <f>MAX(0,P31+D31*'Assumptions'!$B$47-G31*F31*('Assumptions'!$B$47-'Sim Data'!$L$8))</f>
        <v/>
      </c>
      <c r="R31" s="49">
        <f>(P31+Q31)/2/(G31*F31)</f>
        <v/>
      </c>
      <c r="S31" s="49">
        <f>IF(D31&gt;0,R31+(1+0.3^2)/2*(MIN(D31,0.95*G31*F31)/F31)/(F31-MIN(D31,0.95*G31*F31)),0)</f>
        <v/>
      </c>
      <c r="T31" s="59">
        <f>'Sim Data'!$J$8</f>
        <v/>
      </c>
      <c r="U31" s="14">
        <f>IF(D31=0,IF(P31&gt;0,"No new arrivals: the line left from earlier drains",""),IF(H31&gt;=1,"Over capacity: the line grows by about "&amp;TEXT((D31-G31*F31)*10,"0")&amp;" in 10 min (to "&amp;TEXT(Q31,"0")&amp;")",IF(P31&gt;=1,"Under capacity, but "&amp;TEXT(P31,"0")&amp;" were already in line: it drains to "&amp;TEXT(Q31,"0"),IF(ISNUMBER(O31),IF(ABS(O31-1)&lt;=0.2,"Steady: Little's Law holds",IF(O31&gt;1,"Draining a line left from earlier","Line still building")),"Hardly any line"))))</f>
        <v/>
      </c>
    </row>
    <row r="32" ht="21.95" customHeight="1">
      <c r="A32" s="14" t="inlineStr">
        <is>
          <t>Today (no screens)</t>
        </is>
      </c>
      <c r="B32" s="14" t="inlineStr">
        <is>
          <t>Central CT</t>
        </is>
      </c>
      <c r="C32" s="27" t="inlineStr">
        <is>
          <t>12:10</t>
        </is>
      </c>
      <c r="D32" s="54">
        <f>'Sim Data'!$E$9</f>
        <v/>
      </c>
      <c r="E32" s="55">
        <f>'Sim Data'!$G$9</f>
        <v/>
      </c>
      <c r="F32" s="56">
        <f>IF(E32&gt;0,1/E32,60/'Assumptions'!$B$16)</f>
        <v/>
      </c>
      <c r="G32" s="57">
        <f>'Assumptions'!$B$15</f>
        <v/>
      </c>
      <c r="H32" s="58">
        <f>D32/(G32*F32)</f>
        <v/>
      </c>
      <c r="I32" s="27">
        <f>IF(D32=0,"no arrivals",IF(H32&lt;0.85,"stable",IF(H32&lt;1,"near capacity","over capacity")))</f>
        <v/>
      </c>
      <c r="J32" s="49">
        <f>IF(AND(D32&gt;0,H32&lt;1),H32/(F32-D32),"—")</f>
        <v/>
      </c>
      <c r="K32" s="49">
        <f>IF(ISNUMBER(J32),(1+0.3^2)/2*J32,"—")</f>
        <v/>
      </c>
      <c r="L32" s="59">
        <f>'Sim Data'!$F$9</f>
        <v/>
      </c>
      <c r="M32" s="54">
        <f>'Sim Data'!$H$9</f>
        <v/>
      </c>
      <c r="N32" s="56">
        <f>D32*L32</f>
        <v/>
      </c>
      <c r="O32" s="49">
        <f>IF(MAX(M32,N32)&lt;0.5,"both ≈ 0",IF(N32=0,"no new arrivals",M32/N32))</f>
        <v/>
      </c>
      <c r="P32" s="48">
        <f>Q31</f>
        <v/>
      </c>
      <c r="Q32" s="48">
        <f>MAX(0,P32+D32*'Assumptions'!$B$47-G32*F32*('Assumptions'!$B$47-'Sim Data'!$L$9))</f>
        <v/>
      </c>
      <c r="R32" s="49">
        <f>(P32+Q32)/2/(G32*F32)</f>
        <v/>
      </c>
      <c r="S32" s="49">
        <f>IF(D32&gt;0,R32+(1+0.3^2)/2*(MIN(D32,0.95*G32*F32)/F32)/(F32-MIN(D32,0.95*G32*F32)),0)</f>
        <v/>
      </c>
      <c r="T32" s="59">
        <f>'Sim Data'!$J$9</f>
        <v/>
      </c>
      <c r="U32" s="14">
        <f>IF(D32=0,IF(P32&gt;0,"No new arrivals: the line left from earlier drains",""),IF(H32&gt;=1,"Over capacity: the line grows by about "&amp;TEXT((D32-G32*F32)*10,"0")&amp;" in 10 min (to "&amp;TEXT(Q32,"0")&amp;")",IF(P32&gt;=1,"Under capacity, but "&amp;TEXT(P32,"0")&amp;" were already in line: it drains to "&amp;TEXT(Q32,"0"),IF(ISNUMBER(O32),IF(ABS(O32-1)&lt;=0.2,"Steady: Little's Law holds",IF(O32&gt;1,"Draining a line left from earlier","Line still building")),"Hardly any line"))))</f>
        <v/>
      </c>
    </row>
    <row r="33" ht="21.95" customHeight="1">
      <c r="A33" s="14" t="inlineStr">
        <is>
          <t>Today (no screens)</t>
        </is>
      </c>
      <c r="B33" s="14" t="inlineStr">
        <is>
          <t>Central CT</t>
        </is>
      </c>
      <c r="C33" s="27" t="inlineStr">
        <is>
          <t>12:20</t>
        </is>
      </c>
      <c r="D33" s="54">
        <f>'Sim Data'!$E$10</f>
        <v/>
      </c>
      <c r="E33" s="55">
        <f>'Sim Data'!$G$10</f>
        <v/>
      </c>
      <c r="F33" s="56">
        <f>IF(E33&gt;0,1/E33,60/'Assumptions'!$B$16)</f>
        <v/>
      </c>
      <c r="G33" s="57">
        <f>'Assumptions'!$B$15</f>
        <v/>
      </c>
      <c r="H33" s="58">
        <f>D33/(G33*F33)</f>
        <v/>
      </c>
      <c r="I33" s="27">
        <f>IF(D33=0,"no arrivals",IF(H33&lt;0.85,"stable",IF(H33&lt;1,"near capacity","over capacity")))</f>
        <v/>
      </c>
      <c r="J33" s="49">
        <f>IF(AND(D33&gt;0,H33&lt;1),H33/(F33-D33),"—")</f>
        <v/>
      </c>
      <c r="K33" s="49">
        <f>IF(ISNUMBER(J33),(1+0.3^2)/2*J33,"—")</f>
        <v/>
      </c>
      <c r="L33" s="59">
        <f>'Sim Data'!$F$10</f>
        <v/>
      </c>
      <c r="M33" s="54">
        <f>'Sim Data'!$H$10</f>
        <v/>
      </c>
      <c r="N33" s="56">
        <f>D33*L33</f>
        <v/>
      </c>
      <c r="O33" s="49">
        <f>IF(MAX(M33,N33)&lt;0.5,"both ≈ 0",IF(N33=0,"no new arrivals",M33/N33))</f>
        <v/>
      </c>
      <c r="P33" s="48">
        <f>Q32</f>
        <v/>
      </c>
      <c r="Q33" s="48">
        <f>MAX(0,P33+D33*'Assumptions'!$B$47-G33*F33*('Assumptions'!$B$47-'Sim Data'!$L$10))</f>
        <v/>
      </c>
      <c r="R33" s="49">
        <f>(P33+Q33)/2/(G33*F33)</f>
        <v/>
      </c>
      <c r="S33" s="49">
        <f>IF(D33&gt;0,R33+(1+0.3^2)/2*(MIN(D33,0.95*G33*F33)/F33)/(F33-MIN(D33,0.95*G33*F33)),0)</f>
        <v/>
      </c>
      <c r="T33" s="59">
        <f>'Sim Data'!$J$10</f>
        <v/>
      </c>
      <c r="U33" s="14">
        <f>IF(D33=0,IF(P33&gt;0,"No new arrivals: the line left from earlier drains",""),IF(H33&gt;=1,"Over capacity: the line grows by about "&amp;TEXT((D33-G33*F33)*10,"0")&amp;" in 10 min (to "&amp;TEXT(Q33,"0")&amp;")",IF(P33&gt;=1,"Under capacity, but "&amp;TEXT(P33,"0")&amp;" were already in line: it drains to "&amp;TEXT(Q33,"0"),IF(ISNUMBER(O33),IF(ABS(O33-1)&lt;=0.2,"Steady: Little's Law holds",IF(O33&gt;1,"Draining a line left from earlier","Line still building")),"Hardly any line"))))</f>
        <v/>
      </c>
    </row>
    <row r="34" ht="21.95" customHeight="1">
      <c r="A34" s="14" t="inlineStr">
        <is>
          <t>Today (no screens)</t>
        </is>
      </c>
      <c r="B34" s="14" t="inlineStr">
        <is>
          <t>Central CT</t>
        </is>
      </c>
      <c r="C34" s="27" t="inlineStr">
        <is>
          <t>12:30</t>
        </is>
      </c>
      <c r="D34" s="54">
        <f>'Sim Data'!$E$11</f>
        <v/>
      </c>
      <c r="E34" s="55">
        <f>'Sim Data'!$G$11</f>
        <v/>
      </c>
      <c r="F34" s="56">
        <f>IF(E34&gt;0,1/E34,60/'Assumptions'!$B$16)</f>
        <v/>
      </c>
      <c r="G34" s="57">
        <f>'Assumptions'!$B$15</f>
        <v/>
      </c>
      <c r="H34" s="58">
        <f>D34/(G34*F34)</f>
        <v/>
      </c>
      <c r="I34" s="27">
        <f>IF(D34=0,"no arrivals",IF(H34&lt;0.85,"stable",IF(H34&lt;1,"near capacity","over capacity")))</f>
        <v/>
      </c>
      <c r="J34" s="49">
        <f>IF(AND(D34&gt;0,H34&lt;1),H34/(F34-D34),"—")</f>
        <v/>
      </c>
      <c r="K34" s="49">
        <f>IF(ISNUMBER(J34),(1+0.3^2)/2*J34,"—")</f>
        <v/>
      </c>
      <c r="L34" s="59">
        <f>'Sim Data'!$F$11</f>
        <v/>
      </c>
      <c r="M34" s="54">
        <f>'Sim Data'!$H$11</f>
        <v/>
      </c>
      <c r="N34" s="56">
        <f>D34*L34</f>
        <v/>
      </c>
      <c r="O34" s="49">
        <f>IF(MAX(M34,N34)&lt;0.5,"both ≈ 0",IF(N34=0,"no new arrivals",M34/N34))</f>
        <v/>
      </c>
      <c r="P34" s="48">
        <f>Q33</f>
        <v/>
      </c>
      <c r="Q34" s="48">
        <f>MAX(0,P34+D34*'Assumptions'!$B$47-G34*F34*('Assumptions'!$B$47-'Sim Data'!$L$11))</f>
        <v/>
      </c>
      <c r="R34" s="49">
        <f>(P34+Q34)/2/(G34*F34)</f>
        <v/>
      </c>
      <c r="S34" s="49">
        <f>IF(D34&gt;0,R34+(1+0.3^2)/2*(MIN(D34,0.95*G34*F34)/F34)/(F34-MIN(D34,0.95*G34*F34)),0)</f>
        <v/>
      </c>
      <c r="T34" s="59">
        <f>'Sim Data'!$J$11</f>
        <v/>
      </c>
      <c r="U34" s="14">
        <f>IF(D34=0,IF(P34&gt;0,"No new arrivals: the line left from earlier drains",""),IF(H34&gt;=1,"Over capacity: the line grows by about "&amp;TEXT((D34-G34*F34)*10,"0")&amp;" in 10 min (to "&amp;TEXT(Q34,"0")&amp;")",IF(P34&gt;=1,"Under capacity, but "&amp;TEXT(P34,"0")&amp;" were already in line: it drains to "&amp;TEXT(Q34,"0"),IF(ISNUMBER(O34),IF(ABS(O34-1)&lt;=0.2,"Steady: Little's Law holds",IF(O34&gt;1,"Draining a line left from earlier","Line still building")),"Hardly any line"))))</f>
        <v/>
      </c>
    </row>
    <row r="35" ht="21.95" customHeight="1">
      <c r="A35" s="14" t="inlineStr">
        <is>
          <t>Today (no screens)</t>
        </is>
      </c>
      <c r="B35" s="14" t="inlineStr">
        <is>
          <t>Central CT</t>
        </is>
      </c>
      <c r="C35" s="27" t="inlineStr">
        <is>
          <t>12:40</t>
        </is>
      </c>
      <c r="D35" s="54">
        <f>'Sim Data'!$E$12</f>
        <v/>
      </c>
      <c r="E35" s="55">
        <f>'Sim Data'!$G$12</f>
        <v/>
      </c>
      <c r="F35" s="56">
        <f>IF(E35&gt;0,1/E35,60/'Assumptions'!$B$16)</f>
        <v/>
      </c>
      <c r="G35" s="57">
        <f>'Assumptions'!$B$15</f>
        <v/>
      </c>
      <c r="H35" s="58">
        <f>D35/(G35*F35)</f>
        <v/>
      </c>
      <c r="I35" s="27">
        <f>IF(D35=0,"no arrivals",IF(H35&lt;0.85,"stable",IF(H35&lt;1,"near capacity","over capacity")))</f>
        <v/>
      </c>
      <c r="J35" s="49">
        <f>IF(AND(D35&gt;0,H35&lt;1),H35/(F35-D35),"—")</f>
        <v/>
      </c>
      <c r="K35" s="49">
        <f>IF(ISNUMBER(J35),(1+0.3^2)/2*J35,"—")</f>
        <v/>
      </c>
      <c r="L35" s="59">
        <f>'Sim Data'!$F$12</f>
        <v/>
      </c>
      <c r="M35" s="54">
        <f>'Sim Data'!$H$12</f>
        <v/>
      </c>
      <c r="N35" s="56">
        <f>D35*L35</f>
        <v/>
      </c>
      <c r="O35" s="49">
        <f>IF(MAX(M35,N35)&lt;0.5,"both ≈ 0",IF(N35=0,"no new arrivals",M35/N35))</f>
        <v/>
      </c>
      <c r="P35" s="48">
        <f>Q34</f>
        <v/>
      </c>
      <c r="Q35" s="48">
        <f>MAX(0,P35+D35*'Assumptions'!$B$47-G35*F35*('Assumptions'!$B$47-'Sim Data'!$L$12))</f>
        <v/>
      </c>
      <c r="R35" s="49">
        <f>(P35+Q35)/2/(G35*F35)</f>
        <v/>
      </c>
      <c r="S35" s="49">
        <f>IF(D35&gt;0,R35+(1+0.3^2)/2*(MIN(D35,0.95*G35*F35)/F35)/(F35-MIN(D35,0.95*G35*F35)),0)</f>
        <v/>
      </c>
      <c r="T35" s="59">
        <f>'Sim Data'!$J$12</f>
        <v/>
      </c>
      <c r="U35" s="14">
        <f>IF(D35=0,IF(P35&gt;0,"No new arrivals: the line left from earlier drains",""),IF(H35&gt;=1,"Over capacity: the line grows by about "&amp;TEXT((D35-G35*F35)*10,"0")&amp;" in 10 min (to "&amp;TEXT(Q35,"0")&amp;")",IF(P35&gt;=1,"Under capacity, but "&amp;TEXT(P35,"0")&amp;" were already in line: it drains to "&amp;TEXT(Q35,"0"),IF(ISNUMBER(O35),IF(ABS(O35-1)&lt;=0.2,"Steady: Little's Law holds",IF(O35&gt;1,"Draining a line left from earlier","Line still building")),"Hardly any line"))))</f>
        <v/>
      </c>
    </row>
    <row r="36" ht="21.95" customHeight="1">
      <c r="A36" s="14" t="inlineStr">
        <is>
          <t>Today (no screens)</t>
        </is>
      </c>
      <c r="B36" s="14" t="inlineStr">
        <is>
          <t>Central CT</t>
        </is>
      </c>
      <c r="C36" s="27" t="inlineStr">
        <is>
          <t>12:50</t>
        </is>
      </c>
      <c r="D36" s="54">
        <f>'Sim Data'!$E$13</f>
        <v/>
      </c>
      <c r="E36" s="55">
        <f>'Sim Data'!$G$13</f>
        <v/>
      </c>
      <c r="F36" s="56">
        <f>IF(E36&gt;0,1/E36,60/'Assumptions'!$B$16)</f>
        <v/>
      </c>
      <c r="G36" s="57">
        <f>'Assumptions'!$B$15</f>
        <v/>
      </c>
      <c r="H36" s="58">
        <f>D36/(G36*F36)</f>
        <v/>
      </c>
      <c r="I36" s="27">
        <f>IF(D36=0,"no arrivals",IF(H36&lt;0.85,"stable",IF(H36&lt;1,"near capacity","over capacity")))</f>
        <v/>
      </c>
      <c r="J36" s="49">
        <f>IF(AND(D36&gt;0,H36&lt;1),H36/(F36-D36),"—")</f>
        <v/>
      </c>
      <c r="K36" s="49">
        <f>IF(ISNUMBER(J36),(1+0.3^2)/2*J36,"—")</f>
        <v/>
      </c>
      <c r="L36" s="59">
        <f>'Sim Data'!$F$13</f>
        <v/>
      </c>
      <c r="M36" s="54">
        <f>'Sim Data'!$H$13</f>
        <v/>
      </c>
      <c r="N36" s="56">
        <f>D36*L36</f>
        <v/>
      </c>
      <c r="O36" s="49">
        <f>IF(MAX(M36,N36)&lt;0.5,"both ≈ 0",IF(N36=0,"no new arrivals",M36/N36))</f>
        <v/>
      </c>
      <c r="P36" s="48">
        <f>Q35</f>
        <v/>
      </c>
      <c r="Q36" s="48">
        <f>MAX(0,P36+D36*'Assumptions'!$B$47-G36*F36*('Assumptions'!$B$47-'Sim Data'!$L$13))</f>
        <v/>
      </c>
      <c r="R36" s="49">
        <f>(P36+Q36)/2/(G36*F36)</f>
        <v/>
      </c>
      <c r="S36" s="49">
        <f>IF(D36&gt;0,R36+(1+0.3^2)/2*(MIN(D36,0.95*G36*F36)/F36)/(F36-MIN(D36,0.95*G36*F36)),0)</f>
        <v/>
      </c>
      <c r="T36" s="59">
        <f>'Sim Data'!$J$13</f>
        <v/>
      </c>
      <c r="U36" s="14">
        <f>IF(D36=0,IF(P36&gt;0,"No new arrivals: the line left from earlier drains",""),IF(H36&gt;=1,"Over capacity: the line grows by about "&amp;TEXT((D36-G36*F36)*10,"0")&amp;" in 10 min (to "&amp;TEXT(Q36,"0")&amp;")",IF(P36&gt;=1,"Under capacity, but "&amp;TEXT(P36,"0")&amp;" were already in line: it drains to "&amp;TEXT(Q36,"0"),IF(ISNUMBER(O36),IF(ABS(O36-1)&lt;=0.2,"Steady: Little's Law holds",IF(O36&gt;1,"Draining a line left from earlier","Line still building")),"Hardly any line"))))</f>
        <v/>
      </c>
    </row>
    <row r="37" ht="21.95" customHeight="1">
      <c r="A37" s="14" t="inlineStr">
        <is>
          <t>Today (no screens)</t>
        </is>
      </c>
      <c r="B37" s="14" t="inlineStr">
        <is>
          <t>Central CT</t>
        </is>
      </c>
      <c r="C37" s="27" t="inlineStr">
        <is>
          <t>13:00</t>
        </is>
      </c>
      <c r="D37" s="54">
        <f>'Sim Data'!$E$14</f>
        <v/>
      </c>
      <c r="E37" s="55">
        <f>'Sim Data'!$G$14</f>
        <v/>
      </c>
      <c r="F37" s="56">
        <f>IF(E37&gt;0,1/E37,60/'Assumptions'!$B$16)</f>
        <v/>
      </c>
      <c r="G37" s="57">
        <f>'Assumptions'!$B$15</f>
        <v/>
      </c>
      <c r="H37" s="58">
        <f>D37/(G37*F37)</f>
        <v/>
      </c>
      <c r="I37" s="27">
        <f>IF(D37=0,"no arrivals",IF(H37&lt;0.85,"stable",IF(H37&lt;1,"near capacity","over capacity")))</f>
        <v/>
      </c>
      <c r="J37" s="49">
        <f>IF(AND(D37&gt;0,H37&lt;1),H37/(F37-D37),"—")</f>
        <v/>
      </c>
      <c r="K37" s="49">
        <f>IF(ISNUMBER(J37),(1+0.3^2)/2*J37,"—")</f>
        <v/>
      </c>
      <c r="L37" s="59">
        <f>'Sim Data'!$F$14</f>
        <v/>
      </c>
      <c r="M37" s="54">
        <f>'Sim Data'!$H$14</f>
        <v/>
      </c>
      <c r="N37" s="56">
        <f>D37*L37</f>
        <v/>
      </c>
      <c r="O37" s="49">
        <f>IF(MAX(M37,N37)&lt;0.5,"both ≈ 0",IF(N37=0,"no new arrivals",M37/N37))</f>
        <v/>
      </c>
      <c r="P37" s="48">
        <f>Q36</f>
        <v/>
      </c>
      <c r="Q37" s="48">
        <f>MAX(0,P37+D37*'Assumptions'!$B$47-G37*F37*('Assumptions'!$B$47-'Sim Data'!$L$14))</f>
        <v/>
      </c>
      <c r="R37" s="49">
        <f>(P37+Q37)/2/(G37*F37)</f>
        <v/>
      </c>
      <c r="S37" s="49">
        <f>IF(D37&gt;0,R37+(1+0.3^2)/2*(MIN(D37,0.95*G37*F37)/F37)/(F37-MIN(D37,0.95*G37*F37)),0)</f>
        <v/>
      </c>
      <c r="T37" s="59">
        <f>'Sim Data'!$J$14</f>
        <v/>
      </c>
      <c r="U37" s="14">
        <f>IF(D37=0,IF(P37&gt;0,"No new arrivals: the line left from earlier drains",""),IF(H37&gt;=1,"Over capacity: the line grows by about "&amp;TEXT((D37-G37*F37)*10,"0")&amp;" in 10 min (to "&amp;TEXT(Q37,"0")&amp;")",IF(P37&gt;=1,"Under capacity, but "&amp;TEXT(P37,"0")&amp;" were already in line: it drains to "&amp;TEXT(Q37,"0"),IF(ISNUMBER(O37),IF(ABS(O37-1)&lt;=0.2,"Steady: Little's Law holds",IF(O37&gt;1,"Draining a line left from earlier","Line still building")),"Hardly any line"))))</f>
        <v/>
      </c>
    </row>
    <row r="38" ht="21.95" customHeight="1">
      <c r="A38" s="14" t="inlineStr">
        <is>
          <t>Today (no screens)</t>
        </is>
      </c>
      <c r="B38" s="14" t="inlineStr">
        <is>
          <t>Central CT</t>
        </is>
      </c>
      <c r="C38" s="27" t="inlineStr">
        <is>
          <t>13:10</t>
        </is>
      </c>
      <c r="D38" s="54">
        <f>'Sim Data'!$E$15</f>
        <v/>
      </c>
      <c r="E38" s="55">
        <f>'Sim Data'!$G$15</f>
        <v/>
      </c>
      <c r="F38" s="56">
        <f>IF(E38&gt;0,1/E38,60/'Assumptions'!$B$16)</f>
        <v/>
      </c>
      <c r="G38" s="57">
        <f>'Assumptions'!$B$15</f>
        <v/>
      </c>
      <c r="H38" s="58">
        <f>D38/(G38*F38)</f>
        <v/>
      </c>
      <c r="I38" s="27">
        <f>IF(D38=0,"no arrivals",IF(H38&lt;0.85,"stable",IF(H38&lt;1,"near capacity","over capacity")))</f>
        <v/>
      </c>
      <c r="J38" s="49">
        <f>IF(AND(D38&gt;0,H38&lt;1),H38/(F38-D38),"—")</f>
        <v/>
      </c>
      <c r="K38" s="49">
        <f>IF(ISNUMBER(J38),(1+0.3^2)/2*J38,"—")</f>
        <v/>
      </c>
      <c r="L38" s="59">
        <f>'Sim Data'!$F$15</f>
        <v/>
      </c>
      <c r="M38" s="54">
        <f>'Sim Data'!$H$15</f>
        <v/>
      </c>
      <c r="N38" s="56">
        <f>D38*L38</f>
        <v/>
      </c>
      <c r="O38" s="49">
        <f>IF(MAX(M38,N38)&lt;0.5,"both ≈ 0",IF(N38=0,"no new arrivals",M38/N38))</f>
        <v/>
      </c>
      <c r="P38" s="48">
        <f>Q37</f>
        <v/>
      </c>
      <c r="Q38" s="48">
        <f>MAX(0,P38+D38*'Assumptions'!$B$47-G38*F38*('Assumptions'!$B$47-'Sim Data'!$L$15))</f>
        <v/>
      </c>
      <c r="R38" s="49">
        <f>(P38+Q38)/2/(G38*F38)</f>
        <v/>
      </c>
      <c r="S38" s="49">
        <f>IF(D38&gt;0,R38+(1+0.3^2)/2*(MIN(D38,0.95*G38*F38)/F38)/(F38-MIN(D38,0.95*G38*F38)),0)</f>
        <v/>
      </c>
      <c r="T38" s="59">
        <f>'Sim Data'!$J$15</f>
        <v/>
      </c>
      <c r="U38" s="14">
        <f>IF(D38=0,IF(P38&gt;0,"No new arrivals: the line left from earlier drains",""),IF(H38&gt;=1,"Over capacity: the line grows by about "&amp;TEXT((D38-G38*F38)*10,"0")&amp;" in 10 min (to "&amp;TEXT(Q38,"0")&amp;")",IF(P38&gt;=1,"Under capacity, but "&amp;TEXT(P38,"0")&amp;" were already in line: it drains to "&amp;TEXT(Q38,"0"),IF(ISNUMBER(O38),IF(ABS(O38-1)&lt;=0.2,"Steady: Little's Law holds",IF(O38&gt;1,"Draining a line left from earlier","Line still building")),"Hardly any line"))))</f>
        <v/>
      </c>
    </row>
    <row r="39" ht="21.95" customHeight="1">
      <c r="A39" s="14" t="inlineStr">
        <is>
          <t>Today (no screens)</t>
        </is>
      </c>
      <c r="B39" s="14" t="inlineStr">
        <is>
          <t>Central CT</t>
        </is>
      </c>
      <c r="C39" s="27" t="inlineStr">
        <is>
          <t>13:20</t>
        </is>
      </c>
      <c r="D39" s="54">
        <f>'Sim Data'!$E$16</f>
        <v/>
      </c>
      <c r="E39" s="55">
        <f>'Sim Data'!$G$16</f>
        <v/>
      </c>
      <c r="F39" s="56">
        <f>IF(E39&gt;0,1/E39,60/'Assumptions'!$B$16)</f>
        <v/>
      </c>
      <c r="G39" s="57">
        <f>'Assumptions'!$B$15</f>
        <v/>
      </c>
      <c r="H39" s="58">
        <f>D39/(G39*F39)</f>
        <v/>
      </c>
      <c r="I39" s="27">
        <f>IF(D39=0,"no arrivals",IF(H39&lt;0.85,"stable",IF(H39&lt;1,"near capacity","over capacity")))</f>
        <v/>
      </c>
      <c r="J39" s="49">
        <f>IF(AND(D39&gt;0,H39&lt;1),H39/(F39-D39),"—")</f>
        <v/>
      </c>
      <c r="K39" s="49">
        <f>IF(ISNUMBER(J39),(1+0.3^2)/2*J39,"—")</f>
        <v/>
      </c>
      <c r="L39" s="59">
        <f>'Sim Data'!$F$16</f>
        <v/>
      </c>
      <c r="M39" s="54">
        <f>'Sim Data'!$H$16</f>
        <v/>
      </c>
      <c r="N39" s="56">
        <f>D39*L39</f>
        <v/>
      </c>
      <c r="O39" s="49">
        <f>IF(MAX(M39,N39)&lt;0.5,"both ≈ 0",IF(N39=0,"no new arrivals",M39/N39))</f>
        <v/>
      </c>
      <c r="P39" s="48">
        <f>Q38</f>
        <v/>
      </c>
      <c r="Q39" s="48">
        <f>MAX(0,P39+D39*'Assumptions'!$B$47-G39*F39*('Assumptions'!$B$47-'Sim Data'!$L$16))</f>
        <v/>
      </c>
      <c r="R39" s="49">
        <f>(P39+Q39)/2/(G39*F39)</f>
        <v/>
      </c>
      <c r="S39" s="49">
        <f>IF(D39&gt;0,R39+(1+0.3^2)/2*(MIN(D39,0.95*G39*F39)/F39)/(F39-MIN(D39,0.95*G39*F39)),0)</f>
        <v/>
      </c>
      <c r="T39" s="59">
        <f>'Sim Data'!$J$16</f>
        <v/>
      </c>
      <c r="U39" s="14">
        <f>IF(D39=0,IF(P39&gt;0,"No new arrivals: the line left from earlier drains",""),IF(H39&gt;=1,"Over capacity: the line grows by about "&amp;TEXT((D39-G39*F39)*10,"0")&amp;" in 10 min (to "&amp;TEXT(Q39,"0")&amp;")",IF(P39&gt;=1,"Under capacity, but "&amp;TEXT(P39,"0")&amp;" were already in line: it drains to "&amp;TEXT(Q39,"0"),IF(ISNUMBER(O39),IF(ABS(O39-1)&lt;=0.2,"Steady: Little's Law holds",IF(O39&gt;1,"Draining a line left from earlier","Line still building")),"Hardly any line"))))</f>
        <v/>
      </c>
    </row>
    <row r="40" ht="21.95" customHeight="1">
      <c r="A40" s="14" t="inlineStr">
        <is>
          <t>Today (no screens)</t>
        </is>
      </c>
      <c r="B40" s="14" t="inlineStr">
        <is>
          <t>Central CT</t>
        </is>
      </c>
      <c r="C40" s="27" t="inlineStr">
        <is>
          <t>13:30</t>
        </is>
      </c>
      <c r="D40" s="54">
        <f>'Sim Data'!$E$17</f>
        <v/>
      </c>
      <c r="E40" s="55">
        <f>'Sim Data'!$G$17</f>
        <v/>
      </c>
      <c r="F40" s="56">
        <f>IF(E40&gt;0,1/E40,60/'Assumptions'!$B$16)</f>
        <v/>
      </c>
      <c r="G40" s="57">
        <f>'Assumptions'!$B$15</f>
        <v/>
      </c>
      <c r="H40" s="58">
        <f>D40/(G40*F40)</f>
        <v/>
      </c>
      <c r="I40" s="27">
        <f>IF(D40=0,"no arrivals",IF(H40&lt;0.85,"stable",IF(H40&lt;1,"near capacity","over capacity")))</f>
        <v/>
      </c>
      <c r="J40" s="49">
        <f>IF(AND(D40&gt;0,H40&lt;1),H40/(F40-D40),"—")</f>
        <v/>
      </c>
      <c r="K40" s="49">
        <f>IF(ISNUMBER(J40),(1+0.3^2)/2*J40,"—")</f>
        <v/>
      </c>
      <c r="L40" s="59">
        <f>'Sim Data'!$F$17</f>
        <v/>
      </c>
      <c r="M40" s="54">
        <f>'Sim Data'!$H$17</f>
        <v/>
      </c>
      <c r="N40" s="56">
        <f>D40*L40</f>
        <v/>
      </c>
      <c r="O40" s="49">
        <f>IF(MAX(M40,N40)&lt;0.5,"both ≈ 0",IF(N40=0,"no new arrivals",M40/N40))</f>
        <v/>
      </c>
      <c r="P40" s="48">
        <f>Q39</f>
        <v/>
      </c>
      <c r="Q40" s="48">
        <f>MAX(0,P40+D40*'Assumptions'!$B$47-G40*F40*('Assumptions'!$B$47-'Sim Data'!$L$17))</f>
        <v/>
      </c>
      <c r="R40" s="49">
        <f>(P40+Q40)/2/(G40*F40)</f>
        <v/>
      </c>
      <c r="S40" s="49">
        <f>IF(D40&gt;0,R40+(1+0.3^2)/2*(MIN(D40,0.95*G40*F40)/F40)/(F40-MIN(D40,0.95*G40*F40)),0)</f>
        <v/>
      </c>
      <c r="T40" s="59">
        <f>'Sim Data'!$J$17</f>
        <v/>
      </c>
      <c r="U40" s="14">
        <f>IF(D40=0,IF(P40&gt;0,"No new arrivals: the line left from earlier drains",""),IF(H40&gt;=1,"Over capacity: the line grows by about "&amp;TEXT((D40-G40*F40)*10,"0")&amp;" in 10 min (to "&amp;TEXT(Q40,"0")&amp;")",IF(P40&gt;=1,"Under capacity, but "&amp;TEXT(P40,"0")&amp;" were already in line: it drains to "&amp;TEXT(Q40,"0"),IF(ISNUMBER(O40),IF(ABS(O40-1)&lt;=0.2,"Steady: Little's Law holds",IF(O40&gt;1,"Draining a line left from earlier","Line still building")),"Hardly any line"))))</f>
        <v/>
      </c>
    </row>
    <row r="41" ht="21.95" customHeight="1">
      <c r="A41" s="14" t="inlineStr">
        <is>
          <t>Today (no screens)</t>
        </is>
      </c>
      <c r="B41" s="14" t="inlineStr">
        <is>
          <t>Central CT</t>
        </is>
      </c>
      <c r="C41" s="27" t="inlineStr">
        <is>
          <t>13:40</t>
        </is>
      </c>
      <c r="D41" s="54">
        <f>'Sim Data'!$E$18</f>
        <v/>
      </c>
      <c r="E41" s="55">
        <f>'Sim Data'!$G$18</f>
        <v/>
      </c>
      <c r="F41" s="56">
        <f>IF(E41&gt;0,1/E41,60/'Assumptions'!$B$16)</f>
        <v/>
      </c>
      <c r="G41" s="57">
        <f>'Assumptions'!$B$15</f>
        <v/>
      </c>
      <c r="H41" s="58">
        <f>D41/(G41*F41)</f>
        <v/>
      </c>
      <c r="I41" s="27">
        <f>IF(D41=0,"no arrivals",IF(H41&lt;0.85,"stable",IF(H41&lt;1,"near capacity","over capacity")))</f>
        <v/>
      </c>
      <c r="J41" s="49">
        <f>IF(AND(D41&gt;0,H41&lt;1),H41/(F41-D41),"—")</f>
        <v/>
      </c>
      <c r="K41" s="49">
        <f>IF(ISNUMBER(J41),(1+0.3^2)/2*J41,"—")</f>
        <v/>
      </c>
      <c r="L41" s="59">
        <f>'Sim Data'!$F$18</f>
        <v/>
      </c>
      <c r="M41" s="54">
        <f>'Sim Data'!$H$18</f>
        <v/>
      </c>
      <c r="N41" s="56">
        <f>D41*L41</f>
        <v/>
      </c>
      <c r="O41" s="49">
        <f>IF(MAX(M41,N41)&lt;0.5,"both ≈ 0",IF(N41=0,"no new arrivals",M41/N41))</f>
        <v/>
      </c>
      <c r="P41" s="48">
        <f>Q40</f>
        <v/>
      </c>
      <c r="Q41" s="48">
        <f>MAX(0,P41+D41*'Assumptions'!$B$47-G41*F41*('Assumptions'!$B$47-'Sim Data'!$L$18))</f>
        <v/>
      </c>
      <c r="R41" s="49">
        <f>(P41+Q41)/2/(G41*F41)</f>
        <v/>
      </c>
      <c r="S41" s="49">
        <f>IF(D41&gt;0,R41+(1+0.3^2)/2*(MIN(D41,0.95*G41*F41)/F41)/(F41-MIN(D41,0.95*G41*F41)),0)</f>
        <v/>
      </c>
      <c r="T41" s="59">
        <f>'Sim Data'!$J$18</f>
        <v/>
      </c>
      <c r="U41" s="14">
        <f>IF(D41=0,IF(P41&gt;0,"No new arrivals: the line left from earlier drains",""),IF(H41&gt;=1,"Over capacity: the line grows by about "&amp;TEXT((D41-G41*F41)*10,"0")&amp;" in 10 min (to "&amp;TEXT(Q41,"0")&amp;")",IF(P41&gt;=1,"Under capacity, but "&amp;TEXT(P41,"0")&amp;" were already in line: it drains to "&amp;TEXT(Q41,"0"),IF(ISNUMBER(O41),IF(ABS(O41-1)&lt;=0.2,"Steady: Little's Law holds",IF(O41&gt;1,"Draining a line left from earlier","Line still building")),"Hardly any line"))))</f>
        <v/>
      </c>
    </row>
    <row r="42" ht="21.95" customHeight="1">
      <c r="A42" s="14" t="inlineStr">
        <is>
          <t>Today (no screens)</t>
        </is>
      </c>
      <c r="B42" s="14" t="inlineStr">
        <is>
          <t>Central CT</t>
        </is>
      </c>
      <c r="C42" s="27" t="inlineStr">
        <is>
          <t>13:50</t>
        </is>
      </c>
      <c r="D42" s="54">
        <f>'Sim Data'!$E$19</f>
        <v/>
      </c>
      <c r="E42" s="55">
        <f>'Sim Data'!$G$19</f>
        <v/>
      </c>
      <c r="F42" s="56">
        <f>IF(E42&gt;0,1/E42,60/'Assumptions'!$B$16)</f>
        <v/>
      </c>
      <c r="G42" s="57">
        <f>'Assumptions'!$B$15</f>
        <v/>
      </c>
      <c r="H42" s="58">
        <f>D42/(G42*F42)</f>
        <v/>
      </c>
      <c r="I42" s="27">
        <f>IF(D42=0,"no arrivals",IF(H42&lt;0.85,"stable",IF(H42&lt;1,"near capacity","over capacity")))</f>
        <v/>
      </c>
      <c r="J42" s="49">
        <f>IF(AND(D42&gt;0,H42&lt;1),H42/(F42-D42),"—")</f>
        <v/>
      </c>
      <c r="K42" s="49">
        <f>IF(ISNUMBER(J42),(1+0.3^2)/2*J42,"—")</f>
        <v/>
      </c>
      <c r="L42" s="59">
        <f>'Sim Data'!$F$19</f>
        <v/>
      </c>
      <c r="M42" s="54">
        <f>'Sim Data'!$H$19</f>
        <v/>
      </c>
      <c r="N42" s="56">
        <f>D42*L42</f>
        <v/>
      </c>
      <c r="O42" s="49">
        <f>IF(MAX(M42,N42)&lt;0.5,"both ≈ 0",IF(N42=0,"no new arrivals",M42/N42))</f>
        <v/>
      </c>
      <c r="P42" s="48">
        <f>Q41</f>
        <v/>
      </c>
      <c r="Q42" s="48">
        <f>MAX(0,P42+D42*'Assumptions'!$B$47-G42*F42*('Assumptions'!$B$47-'Sim Data'!$L$19))</f>
        <v/>
      </c>
      <c r="R42" s="49">
        <f>(P42+Q42)/2/(G42*F42)</f>
        <v/>
      </c>
      <c r="S42" s="49">
        <f>IF(D42&gt;0,R42+(1+0.3^2)/2*(MIN(D42,0.95*G42*F42)/F42)/(F42-MIN(D42,0.95*G42*F42)),0)</f>
        <v/>
      </c>
      <c r="T42" s="59">
        <f>'Sim Data'!$J$19</f>
        <v/>
      </c>
      <c r="U42" s="14">
        <f>IF(D42=0,IF(P42&gt;0,"No new arrivals: the line left from earlier drains",""),IF(H42&gt;=1,"Over capacity: the line grows by about "&amp;TEXT((D42-G42*F42)*10,"0")&amp;" in 10 min (to "&amp;TEXT(Q42,"0")&amp;")",IF(P42&gt;=1,"Under capacity, but "&amp;TEXT(P42,"0")&amp;" were already in line: it drains to "&amp;TEXT(Q42,"0"),IF(ISNUMBER(O42),IF(ABS(O42-1)&lt;=0.2,"Steady: Little's Law holds",IF(O42&gt;1,"Draining a line left from earlier","Line still building")),"Hardly any line"))))</f>
        <v/>
      </c>
    </row>
    <row r="43" ht="21.95" customHeight="1">
      <c r="A43" s="14" t="inlineStr">
        <is>
          <t>Today (no screens)</t>
        </is>
      </c>
      <c r="B43" s="14" t="inlineStr">
        <is>
          <t>Central CT</t>
        </is>
      </c>
      <c r="C43" s="27" t="inlineStr">
        <is>
          <t>14:00</t>
        </is>
      </c>
      <c r="D43" s="54">
        <f>'Sim Data'!$E$20</f>
        <v/>
      </c>
      <c r="E43" s="55">
        <f>'Sim Data'!$G$20</f>
        <v/>
      </c>
      <c r="F43" s="56">
        <f>IF(E43&gt;0,1/E43,60/'Assumptions'!$B$16)</f>
        <v/>
      </c>
      <c r="G43" s="57">
        <f>'Assumptions'!$B$15</f>
        <v/>
      </c>
      <c r="H43" s="58">
        <f>D43/(G43*F43)</f>
        <v/>
      </c>
      <c r="I43" s="27">
        <f>IF(D43=0,"no arrivals",IF(H43&lt;0.85,"stable",IF(H43&lt;1,"near capacity","over capacity")))</f>
        <v/>
      </c>
      <c r="J43" s="49">
        <f>IF(AND(D43&gt;0,H43&lt;1),H43/(F43-D43),"—")</f>
        <v/>
      </c>
      <c r="K43" s="49">
        <f>IF(ISNUMBER(J43),(1+0.3^2)/2*J43,"—")</f>
        <v/>
      </c>
      <c r="L43" s="59">
        <f>'Sim Data'!$F$20</f>
        <v/>
      </c>
      <c r="M43" s="54">
        <f>'Sim Data'!$H$20</f>
        <v/>
      </c>
      <c r="N43" s="56">
        <f>D43*L43</f>
        <v/>
      </c>
      <c r="O43" s="49">
        <f>IF(MAX(M43,N43)&lt;0.5,"both ≈ 0",IF(N43=0,"no new arrivals",M43/N43))</f>
        <v/>
      </c>
      <c r="P43" s="48">
        <f>Q42</f>
        <v/>
      </c>
      <c r="Q43" s="48">
        <f>MAX(0,P43+D43*'Assumptions'!$B$47-G43*F43*('Assumptions'!$B$47-'Sim Data'!$L$20))</f>
        <v/>
      </c>
      <c r="R43" s="49">
        <f>(P43+Q43)/2/(G43*F43)</f>
        <v/>
      </c>
      <c r="S43" s="49">
        <f>IF(D43&gt;0,R43+(1+0.3^2)/2*(MIN(D43,0.95*G43*F43)/F43)/(F43-MIN(D43,0.95*G43*F43)),0)</f>
        <v/>
      </c>
      <c r="T43" s="59">
        <f>'Sim Data'!$J$20</f>
        <v/>
      </c>
      <c r="U43" s="14">
        <f>IF(D43=0,IF(P43&gt;0,"No new arrivals: the line left from earlier drains",""),IF(H43&gt;=1,"Over capacity: the line grows by about "&amp;TEXT((D43-G43*F43)*10,"0")&amp;" in 10 min (to "&amp;TEXT(Q43,"0")&amp;")",IF(P43&gt;=1,"Under capacity, but "&amp;TEXT(P43,"0")&amp;" were already in line: it drains to "&amp;TEXT(Q43,"0"),IF(ISNUMBER(O43),IF(ABS(O43-1)&lt;=0.2,"Steady: Little's Law holds",IF(O43&gt;1,"Draining a line left from earlier","Line still building")),"Hardly any line"))))</f>
        <v/>
      </c>
    </row>
    <row r="44" ht="21.95" customHeight="1">
      <c r="A44" s="14" t="inlineStr">
        <is>
          <t>Today (no screens)</t>
        </is>
      </c>
      <c r="B44" s="14" t="inlineStr">
        <is>
          <t>Central CT</t>
        </is>
      </c>
      <c r="C44" s="27" t="inlineStr">
        <is>
          <t>14:10</t>
        </is>
      </c>
      <c r="D44" s="54">
        <f>'Sim Data'!$E$21</f>
        <v/>
      </c>
      <c r="E44" s="55">
        <f>'Sim Data'!$G$21</f>
        <v/>
      </c>
      <c r="F44" s="56">
        <f>IF(E44&gt;0,1/E44,60/'Assumptions'!$B$16)</f>
        <v/>
      </c>
      <c r="G44" s="57">
        <f>'Assumptions'!$B$15</f>
        <v/>
      </c>
      <c r="H44" s="58">
        <f>D44/(G44*F44)</f>
        <v/>
      </c>
      <c r="I44" s="27">
        <f>IF(D44=0,"no arrivals",IF(H44&lt;0.85,"stable",IF(H44&lt;1,"near capacity","over capacity")))</f>
        <v/>
      </c>
      <c r="J44" s="49">
        <f>IF(AND(D44&gt;0,H44&lt;1),H44/(F44-D44),"—")</f>
        <v/>
      </c>
      <c r="K44" s="49">
        <f>IF(ISNUMBER(J44),(1+0.3^2)/2*J44,"—")</f>
        <v/>
      </c>
      <c r="L44" s="59">
        <f>'Sim Data'!$F$21</f>
        <v/>
      </c>
      <c r="M44" s="54">
        <f>'Sim Data'!$H$21</f>
        <v/>
      </c>
      <c r="N44" s="56">
        <f>D44*L44</f>
        <v/>
      </c>
      <c r="O44" s="49">
        <f>IF(MAX(M44,N44)&lt;0.5,"both ≈ 0",IF(N44=0,"no new arrivals",M44/N44))</f>
        <v/>
      </c>
      <c r="P44" s="48">
        <f>Q43</f>
        <v/>
      </c>
      <c r="Q44" s="48">
        <f>MAX(0,P44+D44*'Assumptions'!$B$47-G44*F44*('Assumptions'!$B$47-'Sim Data'!$L$21))</f>
        <v/>
      </c>
      <c r="R44" s="49">
        <f>(P44+Q44)/2/(G44*F44)</f>
        <v/>
      </c>
      <c r="S44" s="49">
        <f>IF(D44&gt;0,R44+(1+0.3^2)/2*(MIN(D44,0.95*G44*F44)/F44)/(F44-MIN(D44,0.95*G44*F44)),0)</f>
        <v/>
      </c>
      <c r="T44" s="59">
        <f>'Sim Data'!$J$21</f>
        <v/>
      </c>
      <c r="U44" s="14">
        <f>IF(D44=0,IF(P44&gt;0,"No new arrivals: the line left from earlier drains",""),IF(H44&gt;=1,"Over capacity: the line grows by about "&amp;TEXT((D44-G44*F44)*10,"0")&amp;" in 10 min (to "&amp;TEXT(Q44,"0")&amp;")",IF(P44&gt;=1,"Under capacity, but "&amp;TEXT(P44,"0")&amp;" were already in line: it drains to "&amp;TEXT(Q44,"0"),IF(ISNUMBER(O44),IF(ABS(O44-1)&lt;=0.2,"Steady: Little's Law holds",IF(O44&gt;1,"Draining a line left from earlier","Line still building")),"Hardly any line"))))</f>
        <v/>
      </c>
    </row>
    <row r="45" ht="21.95" customHeight="1">
      <c r="A45" s="14" t="inlineStr">
        <is>
          <t>Today (no screens)</t>
        </is>
      </c>
      <c r="B45" s="14" t="inlineStr">
        <is>
          <t>Central CT</t>
        </is>
      </c>
      <c r="C45" s="27" t="inlineStr">
        <is>
          <t>14:20</t>
        </is>
      </c>
      <c r="D45" s="54">
        <f>'Sim Data'!$E$22</f>
        <v/>
      </c>
      <c r="E45" s="55">
        <f>'Sim Data'!$G$22</f>
        <v/>
      </c>
      <c r="F45" s="56">
        <f>IF(E45&gt;0,1/E45,60/'Assumptions'!$B$16)</f>
        <v/>
      </c>
      <c r="G45" s="57">
        <f>'Assumptions'!$B$15</f>
        <v/>
      </c>
      <c r="H45" s="58">
        <f>D45/(G45*F45)</f>
        <v/>
      </c>
      <c r="I45" s="27">
        <f>IF(D45=0,"no arrivals",IF(H45&lt;0.85,"stable",IF(H45&lt;1,"near capacity","over capacity")))</f>
        <v/>
      </c>
      <c r="J45" s="49">
        <f>IF(AND(D45&gt;0,H45&lt;1),H45/(F45-D45),"—")</f>
        <v/>
      </c>
      <c r="K45" s="49">
        <f>IF(ISNUMBER(J45),(1+0.3^2)/2*J45,"—")</f>
        <v/>
      </c>
      <c r="L45" s="59">
        <f>'Sim Data'!$F$22</f>
        <v/>
      </c>
      <c r="M45" s="54">
        <f>'Sim Data'!$H$22</f>
        <v/>
      </c>
      <c r="N45" s="56">
        <f>D45*L45</f>
        <v/>
      </c>
      <c r="O45" s="49">
        <f>IF(MAX(M45,N45)&lt;0.5,"both ≈ 0",IF(N45=0,"no new arrivals",M45/N45))</f>
        <v/>
      </c>
      <c r="P45" s="48">
        <f>Q44</f>
        <v/>
      </c>
      <c r="Q45" s="48">
        <f>MAX(0,P45+D45*'Assumptions'!$B$47-G45*F45*('Assumptions'!$B$47-'Sim Data'!$L$22))</f>
        <v/>
      </c>
      <c r="R45" s="49">
        <f>(P45+Q45)/2/(G45*F45)</f>
        <v/>
      </c>
      <c r="S45" s="49">
        <f>IF(D45&gt;0,R45+(1+0.3^2)/2*(MIN(D45,0.95*G45*F45)/F45)/(F45-MIN(D45,0.95*G45*F45)),0)</f>
        <v/>
      </c>
      <c r="T45" s="59">
        <f>'Sim Data'!$J$22</f>
        <v/>
      </c>
      <c r="U45" s="14">
        <f>IF(D45=0,IF(P45&gt;0,"No new arrivals: the line left from earlier drains",""),IF(H45&gt;=1,"Over capacity: the line grows by about "&amp;TEXT((D45-G45*F45)*10,"0")&amp;" in 10 min (to "&amp;TEXT(Q45,"0")&amp;")",IF(P45&gt;=1,"Under capacity, but "&amp;TEXT(P45,"0")&amp;" were already in line: it drains to "&amp;TEXT(Q45,"0"),IF(ISNUMBER(O45),IF(ABS(O45-1)&lt;=0.2,"Steady: Little's Law holds",IF(O45&gt;1,"Draining a line left from earlier","Line still building")),"Hardly any line"))))</f>
        <v/>
      </c>
    </row>
    <row r="46" ht="21.95" customHeight="1">
      <c r="A46" s="14" t="inlineStr">
        <is>
          <t>Today (no screens)</t>
        </is>
      </c>
      <c r="B46" s="14" t="inlineStr">
        <is>
          <t>Munch Mess</t>
        </is>
      </c>
      <c r="C46" s="27" t="inlineStr">
        <is>
          <t>11:30</t>
        </is>
      </c>
      <c r="D46" s="54">
        <f>'Sim Data'!$E$95</f>
        <v/>
      </c>
      <c r="E46" s="55">
        <f>'Sim Data'!$G$95</f>
        <v/>
      </c>
      <c r="F46" s="56">
        <f>IF(E46&gt;0,1/E46,60/'Assumptions'!$B$16)</f>
        <v/>
      </c>
      <c r="G46" s="57">
        <f>'Assumptions'!$B$15</f>
        <v/>
      </c>
      <c r="H46" s="58">
        <f>D46/(G46*F46)</f>
        <v/>
      </c>
      <c r="I46" s="27">
        <f>IF(D46=0,"no arrivals",IF(H46&lt;0.85,"stable",IF(H46&lt;1,"near capacity","over capacity")))</f>
        <v/>
      </c>
      <c r="J46" s="49">
        <f>IF(AND(D46&gt;0,H46&lt;1),H46/(F46-D46),"—")</f>
        <v/>
      </c>
      <c r="K46" s="49">
        <f>IF(ISNUMBER(J46),(1+0.3^2)/2*J46,"—")</f>
        <v/>
      </c>
      <c r="L46" s="59">
        <f>'Sim Data'!$F$95</f>
        <v/>
      </c>
      <c r="M46" s="54">
        <f>'Sim Data'!$H$95</f>
        <v/>
      </c>
      <c r="N46" s="56">
        <f>D46*L46</f>
        <v/>
      </c>
      <c r="O46" s="49">
        <f>IF(MAX(M46,N46)&lt;0.5,"both ≈ 0",IF(N46=0,"no new arrivals",M46/N46))</f>
        <v/>
      </c>
      <c r="P46" s="48">
        <f>0</f>
        <v/>
      </c>
      <c r="Q46" s="48">
        <f>MAX(0,P46+D46*'Assumptions'!$B$47-G46*F46*('Assumptions'!$B$47-'Sim Data'!$L$95))</f>
        <v/>
      </c>
      <c r="R46" s="49">
        <f>(P46+Q46)/2/(G46*F46)</f>
        <v/>
      </c>
      <c r="S46" s="49">
        <f>IF(D46&gt;0,R46+(1+0.3^2)/2*(MIN(D46,0.95*G46*F46)/F46)/(F46-MIN(D46,0.95*G46*F46)),0)</f>
        <v/>
      </c>
      <c r="T46" s="59">
        <f>'Sim Data'!$J$95</f>
        <v/>
      </c>
      <c r="U46" s="14">
        <f>IF(D46=0,IF(P46&gt;0,"No new arrivals: the line left from earlier drains",""),IF(H46&gt;=1,"Over capacity: the line grows by about "&amp;TEXT((D46-G46*F46)*10,"0")&amp;" in 10 min (to "&amp;TEXT(Q46,"0")&amp;")",IF(P46&gt;=1,"Under capacity, but "&amp;TEXT(P46,"0")&amp;" were already in line: it drains to "&amp;TEXT(Q46,"0"),IF(ISNUMBER(O46),IF(ABS(O46-1)&lt;=0.2,"Steady: Little's Law holds",IF(O46&gt;1,"Draining a line left from earlier","Line still building")),"Hardly any line"))))</f>
        <v/>
      </c>
    </row>
    <row r="47" ht="21.95" customHeight="1">
      <c r="A47" s="14" t="inlineStr">
        <is>
          <t>Today (no screens)</t>
        </is>
      </c>
      <c r="B47" s="14" t="inlineStr">
        <is>
          <t>Munch Mess</t>
        </is>
      </c>
      <c r="C47" s="27" t="inlineStr">
        <is>
          <t>11:40</t>
        </is>
      </c>
      <c r="D47" s="54">
        <f>'Sim Data'!$E$96</f>
        <v/>
      </c>
      <c r="E47" s="55">
        <f>'Sim Data'!$G$96</f>
        <v/>
      </c>
      <c r="F47" s="56">
        <f>IF(E47&gt;0,1/E47,60/'Assumptions'!$B$16)</f>
        <v/>
      </c>
      <c r="G47" s="57">
        <f>'Assumptions'!$B$15</f>
        <v/>
      </c>
      <c r="H47" s="58">
        <f>D47/(G47*F47)</f>
        <v/>
      </c>
      <c r="I47" s="27">
        <f>IF(D47=0,"no arrivals",IF(H47&lt;0.85,"stable",IF(H47&lt;1,"near capacity","over capacity")))</f>
        <v/>
      </c>
      <c r="J47" s="49">
        <f>IF(AND(D47&gt;0,H47&lt;1),H47/(F47-D47),"—")</f>
        <v/>
      </c>
      <c r="K47" s="49">
        <f>IF(ISNUMBER(J47),(1+0.3^2)/2*J47,"—")</f>
        <v/>
      </c>
      <c r="L47" s="59">
        <f>'Sim Data'!$F$96</f>
        <v/>
      </c>
      <c r="M47" s="54">
        <f>'Sim Data'!$H$96</f>
        <v/>
      </c>
      <c r="N47" s="56">
        <f>D47*L47</f>
        <v/>
      </c>
      <c r="O47" s="49">
        <f>IF(MAX(M47,N47)&lt;0.5,"both ≈ 0",IF(N47=0,"no new arrivals",M47/N47))</f>
        <v/>
      </c>
      <c r="P47" s="48">
        <f>Q46</f>
        <v/>
      </c>
      <c r="Q47" s="48">
        <f>MAX(0,P47+D47*'Assumptions'!$B$47-G47*F47*('Assumptions'!$B$47-'Sim Data'!$L$96))</f>
        <v/>
      </c>
      <c r="R47" s="49">
        <f>(P47+Q47)/2/(G47*F47)</f>
        <v/>
      </c>
      <c r="S47" s="49">
        <f>IF(D47&gt;0,R47+(1+0.3^2)/2*(MIN(D47,0.95*G47*F47)/F47)/(F47-MIN(D47,0.95*G47*F47)),0)</f>
        <v/>
      </c>
      <c r="T47" s="59">
        <f>'Sim Data'!$J$96</f>
        <v/>
      </c>
      <c r="U47" s="14">
        <f>IF(D47=0,IF(P47&gt;0,"No new arrivals: the line left from earlier drains",""),IF(H47&gt;=1,"Over capacity: the line grows by about "&amp;TEXT((D47-G47*F47)*10,"0")&amp;" in 10 min (to "&amp;TEXT(Q47,"0")&amp;")",IF(P47&gt;=1,"Under capacity, but "&amp;TEXT(P47,"0")&amp;" were already in line: it drains to "&amp;TEXT(Q47,"0"),IF(ISNUMBER(O47),IF(ABS(O47-1)&lt;=0.2,"Steady: Little's Law holds",IF(O47&gt;1,"Draining a line left from earlier","Line still building")),"Hardly any line"))))</f>
        <v/>
      </c>
    </row>
    <row r="48" ht="21.95" customHeight="1">
      <c r="A48" s="14" t="inlineStr">
        <is>
          <t>Today (no screens)</t>
        </is>
      </c>
      <c r="B48" s="14" t="inlineStr">
        <is>
          <t>Munch Mess</t>
        </is>
      </c>
      <c r="C48" s="27" t="inlineStr">
        <is>
          <t>11:50</t>
        </is>
      </c>
      <c r="D48" s="54">
        <f>'Sim Data'!$E$97</f>
        <v/>
      </c>
      <c r="E48" s="55">
        <f>'Sim Data'!$G$97</f>
        <v/>
      </c>
      <c r="F48" s="56">
        <f>IF(E48&gt;0,1/E48,60/'Assumptions'!$B$16)</f>
        <v/>
      </c>
      <c r="G48" s="57">
        <f>'Assumptions'!$B$15</f>
        <v/>
      </c>
      <c r="H48" s="58">
        <f>D48/(G48*F48)</f>
        <v/>
      </c>
      <c r="I48" s="27">
        <f>IF(D48=0,"no arrivals",IF(H48&lt;0.85,"stable",IF(H48&lt;1,"near capacity","over capacity")))</f>
        <v/>
      </c>
      <c r="J48" s="49">
        <f>IF(AND(D48&gt;0,H48&lt;1),H48/(F48-D48),"—")</f>
        <v/>
      </c>
      <c r="K48" s="49">
        <f>IF(ISNUMBER(J48),(1+0.3^2)/2*J48,"—")</f>
        <v/>
      </c>
      <c r="L48" s="59">
        <f>'Sim Data'!$F$97</f>
        <v/>
      </c>
      <c r="M48" s="54">
        <f>'Sim Data'!$H$97</f>
        <v/>
      </c>
      <c r="N48" s="56">
        <f>D48*L48</f>
        <v/>
      </c>
      <c r="O48" s="49">
        <f>IF(MAX(M48,N48)&lt;0.5,"both ≈ 0",IF(N48=0,"no new arrivals",M48/N48))</f>
        <v/>
      </c>
      <c r="P48" s="48">
        <f>Q47</f>
        <v/>
      </c>
      <c r="Q48" s="48">
        <f>MAX(0,P48+D48*'Assumptions'!$B$47-G48*F48*('Assumptions'!$B$47-'Sim Data'!$L$97))</f>
        <v/>
      </c>
      <c r="R48" s="49">
        <f>(P48+Q48)/2/(G48*F48)</f>
        <v/>
      </c>
      <c r="S48" s="49">
        <f>IF(D48&gt;0,R48+(1+0.3^2)/2*(MIN(D48,0.95*G48*F48)/F48)/(F48-MIN(D48,0.95*G48*F48)),0)</f>
        <v/>
      </c>
      <c r="T48" s="59">
        <f>'Sim Data'!$J$97</f>
        <v/>
      </c>
      <c r="U48" s="14">
        <f>IF(D48=0,IF(P48&gt;0,"No new arrivals: the line left from earlier drains",""),IF(H48&gt;=1,"Over capacity: the line grows by about "&amp;TEXT((D48-G48*F48)*10,"0")&amp;" in 10 min (to "&amp;TEXT(Q48,"0")&amp;")",IF(P48&gt;=1,"Under capacity, but "&amp;TEXT(P48,"0")&amp;" were already in line: it drains to "&amp;TEXT(Q48,"0"),IF(ISNUMBER(O48),IF(ABS(O48-1)&lt;=0.2,"Steady: Little's Law holds",IF(O48&gt;1,"Draining a line left from earlier","Line still building")),"Hardly any line"))))</f>
        <v/>
      </c>
    </row>
    <row r="49" ht="21.95" customHeight="1">
      <c r="A49" s="14" t="inlineStr">
        <is>
          <t>Today (no screens)</t>
        </is>
      </c>
      <c r="B49" s="14" t="inlineStr">
        <is>
          <t>Munch Mess</t>
        </is>
      </c>
      <c r="C49" s="27" t="inlineStr">
        <is>
          <t>12:00</t>
        </is>
      </c>
      <c r="D49" s="54">
        <f>'Sim Data'!$E$98</f>
        <v/>
      </c>
      <c r="E49" s="55">
        <f>'Sim Data'!$G$98</f>
        <v/>
      </c>
      <c r="F49" s="56">
        <f>IF(E49&gt;0,1/E49,60/'Assumptions'!$B$16)</f>
        <v/>
      </c>
      <c r="G49" s="57">
        <f>'Assumptions'!$B$15</f>
        <v/>
      </c>
      <c r="H49" s="58">
        <f>D49/(G49*F49)</f>
        <v/>
      </c>
      <c r="I49" s="27">
        <f>IF(D49=0,"no arrivals",IF(H49&lt;0.85,"stable",IF(H49&lt;1,"near capacity","over capacity")))</f>
        <v/>
      </c>
      <c r="J49" s="49">
        <f>IF(AND(D49&gt;0,H49&lt;1),H49/(F49-D49),"—")</f>
        <v/>
      </c>
      <c r="K49" s="49">
        <f>IF(ISNUMBER(J49),(1+0.3^2)/2*J49,"—")</f>
        <v/>
      </c>
      <c r="L49" s="59">
        <f>'Sim Data'!$F$98</f>
        <v/>
      </c>
      <c r="M49" s="54">
        <f>'Sim Data'!$H$98</f>
        <v/>
      </c>
      <c r="N49" s="56">
        <f>D49*L49</f>
        <v/>
      </c>
      <c r="O49" s="49">
        <f>IF(MAX(M49,N49)&lt;0.5,"both ≈ 0",IF(N49=0,"no new arrivals",M49/N49))</f>
        <v/>
      </c>
      <c r="P49" s="48">
        <f>Q48</f>
        <v/>
      </c>
      <c r="Q49" s="48">
        <f>MAX(0,P49+D49*'Assumptions'!$B$47-G49*F49*('Assumptions'!$B$47-'Sim Data'!$L$98))</f>
        <v/>
      </c>
      <c r="R49" s="49">
        <f>(P49+Q49)/2/(G49*F49)</f>
        <v/>
      </c>
      <c r="S49" s="49">
        <f>IF(D49&gt;0,R49+(1+0.3^2)/2*(MIN(D49,0.95*G49*F49)/F49)/(F49-MIN(D49,0.95*G49*F49)),0)</f>
        <v/>
      </c>
      <c r="T49" s="59">
        <f>'Sim Data'!$J$98</f>
        <v/>
      </c>
      <c r="U49" s="14">
        <f>IF(D49=0,IF(P49&gt;0,"No new arrivals: the line left from earlier drains",""),IF(H49&gt;=1,"Over capacity: the line grows by about "&amp;TEXT((D49-G49*F49)*10,"0")&amp;" in 10 min (to "&amp;TEXT(Q49,"0")&amp;")",IF(P49&gt;=1,"Under capacity, but "&amp;TEXT(P49,"0")&amp;" were already in line: it drains to "&amp;TEXT(Q49,"0"),IF(ISNUMBER(O49),IF(ABS(O49-1)&lt;=0.2,"Steady: Little's Law holds",IF(O49&gt;1,"Draining a line left from earlier","Line still building")),"Hardly any line"))))</f>
        <v/>
      </c>
    </row>
    <row r="50" ht="21.95" customHeight="1">
      <c r="A50" s="14" t="inlineStr">
        <is>
          <t>Today (no screens)</t>
        </is>
      </c>
      <c r="B50" s="14" t="inlineStr">
        <is>
          <t>Munch Mess</t>
        </is>
      </c>
      <c r="C50" s="27" t="inlineStr">
        <is>
          <t>12:10</t>
        </is>
      </c>
      <c r="D50" s="54">
        <f>'Sim Data'!$E$99</f>
        <v/>
      </c>
      <c r="E50" s="55">
        <f>'Sim Data'!$G$99</f>
        <v/>
      </c>
      <c r="F50" s="56">
        <f>IF(E50&gt;0,1/E50,60/'Assumptions'!$B$16)</f>
        <v/>
      </c>
      <c r="G50" s="57">
        <f>'Assumptions'!$B$15</f>
        <v/>
      </c>
      <c r="H50" s="58">
        <f>D50/(G50*F50)</f>
        <v/>
      </c>
      <c r="I50" s="27">
        <f>IF(D50=0,"no arrivals",IF(H50&lt;0.85,"stable",IF(H50&lt;1,"near capacity","over capacity")))</f>
        <v/>
      </c>
      <c r="J50" s="49">
        <f>IF(AND(D50&gt;0,H50&lt;1),H50/(F50-D50),"—")</f>
        <v/>
      </c>
      <c r="K50" s="49">
        <f>IF(ISNUMBER(J50),(1+0.3^2)/2*J50,"—")</f>
        <v/>
      </c>
      <c r="L50" s="59">
        <f>'Sim Data'!$F$99</f>
        <v/>
      </c>
      <c r="M50" s="54">
        <f>'Sim Data'!$H$99</f>
        <v/>
      </c>
      <c r="N50" s="56">
        <f>D50*L50</f>
        <v/>
      </c>
      <c r="O50" s="49">
        <f>IF(MAX(M50,N50)&lt;0.5,"both ≈ 0",IF(N50=0,"no new arrivals",M50/N50))</f>
        <v/>
      </c>
      <c r="P50" s="48">
        <f>Q49</f>
        <v/>
      </c>
      <c r="Q50" s="48">
        <f>MAX(0,P50+D50*'Assumptions'!$B$47-G50*F50*('Assumptions'!$B$47-'Sim Data'!$L$99))</f>
        <v/>
      </c>
      <c r="R50" s="49">
        <f>(P50+Q50)/2/(G50*F50)</f>
        <v/>
      </c>
      <c r="S50" s="49">
        <f>IF(D50&gt;0,R50+(1+0.3^2)/2*(MIN(D50,0.95*G50*F50)/F50)/(F50-MIN(D50,0.95*G50*F50)),0)</f>
        <v/>
      </c>
      <c r="T50" s="59">
        <f>'Sim Data'!$J$99</f>
        <v/>
      </c>
      <c r="U50" s="14">
        <f>IF(D50=0,IF(P50&gt;0,"No new arrivals: the line left from earlier drains",""),IF(H50&gt;=1,"Over capacity: the line grows by about "&amp;TEXT((D50-G50*F50)*10,"0")&amp;" in 10 min (to "&amp;TEXT(Q50,"0")&amp;")",IF(P50&gt;=1,"Under capacity, but "&amp;TEXT(P50,"0")&amp;" were already in line: it drains to "&amp;TEXT(Q50,"0"),IF(ISNUMBER(O50),IF(ABS(O50-1)&lt;=0.2,"Steady: Little's Law holds",IF(O50&gt;1,"Draining a line left from earlier","Line still building")),"Hardly any line"))))</f>
        <v/>
      </c>
    </row>
    <row r="51" ht="21.95" customHeight="1">
      <c r="A51" s="14" t="inlineStr">
        <is>
          <t>Today (no screens)</t>
        </is>
      </c>
      <c r="B51" s="14" t="inlineStr">
        <is>
          <t>Munch Mess</t>
        </is>
      </c>
      <c r="C51" s="27" t="inlineStr">
        <is>
          <t>12:20</t>
        </is>
      </c>
      <c r="D51" s="54">
        <f>'Sim Data'!$E$100</f>
        <v/>
      </c>
      <c r="E51" s="55">
        <f>'Sim Data'!$G$100</f>
        <v/>
      </c>
      <c r="F51" s="56">
        <f>IF(E51&gt;0,1/E51,60/'Assumptions'!$B$16)</f>
        <v/>
      </c>
      <c r="G51" s="57">
        <f>'Assumptions'!$B$15</f>
        <v/>
      </c>
      <c r="H51" s="58">
        <f>D51/(G51*F51)</f>
        <v/>
      </c>
      <c r="I51" s="27">
        <f>IF(D51=0,"no arrivals",IF(H51&lt;0.85,"stable",IF(H51&lt;1,"near capacity","over capacity")))</f>
        <v/>
      </c>
      <c r="J51" s="49">
        <f>IF(AND(D51&gt;0,H51&lt;1),H51/(F51-D51),"—")</f>
        <v/>
      </c>
      <c r="K51" s="49">
        <f>IF(ISNUMBER(J51),(1+0.3^2)/2*J51,"—")</f>
        <v/>
      </c>
      <c r="L51" s="59">
        <f>'Sim Data'!$F$100</f>
        <v/>
      </c>
      <c r="M51" s="54">
        <f>'Sim Data'!$H$100</f>
        <v/>
      </c>
      <c r="N51" s="56">
        <f>D51*L51</f>
        <v/>
      </c>
      <c r="O51" s="49">
        <f>IF(MAX(M51,N51)&lt;0.5,"both ≈ 0",IF(N51=0,"no new arrivals",M51/N51))</f>
        <v/>
      </c>
      <c r="P51" s="48">
        <f>Q50</f>
        <v/>
      </c>
      <c r="Q51" s="48">
        <f>MAX(0,P51+D51*'Assumptions'!$B$47-G51*F51*('Assumptions'!$B$47-'Sim Data'!$L$100))</f>
        <v/>
      </c>
      <c r="R51" s="49">
        <f>(P51+Q51)/2/(G51*F51)</f>
        <v/>
      </c>
      <c r="S51" s="49">
        <f>IF(D51&gt;0,R51+(1+0.3^2)/2*(MIN(D51,0.95*G51*F51)/F51)/(F51-MIN(D51,0.95*G51*F51)),0)</f>
        <v/>
      </c>
      <c r="T51" s="59">
        <f>'Sim Data'!$J$100</f>
        <v/>
      </c>
      <c r="U51" s="14">
        <f>IF(D51=0,IF(P51&gt;0,"No new arrivals: the line left from earlier drains",""),IF(H51&gt;=1,"Over capacity: the line grows by about "&amp;TEXT((D51-G51*F51)*10,"0")&amp;" in 10 min (to "&amp;TEXT(Q51,"0")&amp;")",IF(P51&gt;=1,"Under capacity, but "&amp;TEXT(P51,"0")&amp;" were already in line: it drains to "&amp;TEXT(Q51,"0"),IF(ISNUMBER(O51),IF(ABS(O51-1)&lt;=0.2,"Steady: Little's Law holds",IF(O51&gt;1,"Draining a line left from earlier","Line still building")),"Hardly any line"))))</f>
        <v/>
      </c>
    </row>
    <row r="52" ht="21.95" customHeight="1">
      <c r="A52" s="14" t="inlineStr">
        <is>
          <t>Today (no screens)</t>
        </is>
      </c>
      <c r="B52" s="14" t="inlineStr">
        <is>
          <t>Munch Mess</t>
        </is>
      </c>
      <c r="C52" s="27" t="inlineStr">
        <is>
          <t>12:30</t>
        </is>
      </c>
      <c r="D52" s="54">
        <f>'Sim Data'!$E$101</f>
        <v/>
      </c>
      <c r="E52" s="55">
        <f>'Sim Data'!$G$101</f>
        <v/>
      </c>
      <c r="F52" s="56">
        <f>IF(E52&gt;0,1/E52,60/'Assumptions'!$B$16)</f>
        <v/>
      </c>
      <c r="G52" s="57">
        <f>'Assumptions'!$B$15</f>
        <v/>
      </c>
      <c r="H52" s="58">
        <f>D52/(G52*F52)</f>
        <v/>
      </c>
      <c r="I52" s="27">
        <f>IF(D52=0,"no arrivals",IF(H52&lt;0.85,"stable",IF(H52&lt;1,"near capacity","over capacity")))</f>
        <v/>
      </c>
      <c r="J52" s="49">
        <f>IF(AND(D52&gt;0,H52&lt;1),H52/(F52-D52),"—")</f>
        <v/>
      </c>
      <c r="K52" s="49">
        <f>IF(ISNUMBER(J52),(1+0.3^2)/2*J52,"—")</f>
        <v/>
      </c>
      <c r="L52" s="59">
        <f>'Sim Data'!$F$101</f>
        <v/>
      </c>
      <c r="M52" s="54">
        <f>'Sim Data'!$H$101</f>
        <v/>
      </c>
      <c r="N52" s="56">
        <f>D52*L52</f>
        <v/>
      </c>
      <c r="O52" s="49">
        <f>IF(MAX(M52,N52)&lt;0.5,"both ≈ 0",IF(N52=0,"no new arrivals",M52/N52))</f>
        <v/>
      </c>
      <c r="P52" s="48">
        <f>Q51</f>
        <v/>
      </c>
      <c r="Q52" s="48">
        <f>MAX(0,P52+D52*'Assumptions'!$B$47-G52*F52*('Assumptions'!$B$47-'Sim Data'!$L$101))</f>
        <v/>
      </c>
      <c r="R52" s="49">
        <f>(P52+Q52)/2/(G52*F52)</f>
        <v/>
      </c>
      <c r="S52" s="49">
        <f>IF(D52&gt;0,R52+(1+0.3^2)/2*(MIN(D52,0.95*G52*F52)/F52)/(F52-MIN(D52,0.95*G52*F52)),0)</f>
        <v/>
      </c>
      <c r="T52" s="59">
        <f>'Sim Data'!$J$101</f>
        <v/>
      </c>
      <c r="U52" s="14">
        <f>IF(D52=0,IF(P52&gt;0,"No new arrivals: the line left from earlier drains",""),IF(H52&gt;=1,"Over capacity: the line grows by about "&amp;TEXT((D52-G52*F52)*10,"0")&amp;" in 10 min (to "&amp;TEXT(Q52,"0")&amp;")",IF(P52&gt;=1,"Under capacity, but "&amp;TEXT(P52,"0")&amp;" were already in line: it drains to "&amp;TEXT(Q52,"0"),IF(ISNUMBER(O52),IF(ABS(O52-1)&lt;=0.2,"Steady: Little's Law holds",IF(O52&gt;1,"Draining a line left from earlier","Line still building")),"Hardly any line"))))</f>
        <v/>
      </c>
    </row>
    <row r="53" ht="21.95" customHeight="1">
      <c r="A53" s="14" t="inlineStr">
        <is>
          <t>Today (no screens)</t>
        </is>
      </c>
      <c r="B53" s="14" t="inlineStr">
        <is>
          <t>Munch Mess</t>
        </is>
      </c>
      <c r="C53" s="27" t="inlineStr">
        <is>
          <t>12:40</t>
        </is>
      </c>
      <c r="D53" s="54">
        <f>'Sim Data'!$E$102</f>
        <v/>
      </c>
      <c r="E53" s="55">
        <f>'Sim Data'!$G$102</f>
        <v/>
      </c>
      <c r="F53" s="56">
        <f>IF(E53&gt;0,1/E53,60/'Assumptions'!$B$16)</f>
        <v/>
      </c>
      <c r="G53" s="57">
        <f>'Assumptions'!$B$15</f>
        <v/>
      </c>
      <c r="H53" s="58">
        <f>D53/(G53*F53)</f>
        <v/>
      </c>
      <c r="I53" s="27">
        <f>IF(D53=0,"no arrivals",IF(H53&lt;0.85,"stable",IF(H53&lt;1,"near capacity","over capacity")))</f>
        <v/>
      </c>
      <c r="J53" s="49">
        <f>IF(AND(D53&gt;0,H53&lt;1),H53/(F53-D53),"—")</f>
        <v/>
      </c>
      <c r="K53" s="49">
        <f>IF(ISNUMBER(J53),(1+0.3^2)/2*J53,"—")</f>
        <v/>
      </c>
      <c r="L53" s="59">
        <f>'Sim Data'!$F$102</f>
        <v/>
      </c>
      <c r="M53" s="54">
        <f>'Sim Data'!$H$102</f>
        <v/>
      </c>
      <c r="N53" s="56">
        <f>D53*L53</f>
        <v/>
      </c>
      <c r="O53" s="49">
        <f>IF(MAX(M53,N53)&lt;0.5,"both ≈ 0",IF(N53=0,"no new arrivals",M53/N53))</f>
        <v/>
      </c>
      <c r="P53" s="48">
        <f>Q52</f>
        <v/>
      </c>
      <c r="Q53" s="48">
        <f>MAX(0,P53+D53*'Assumptions'!$B$47-G53*F53*('Assumptions'!$B$47-'Sim Data'!$L$102))</f>
        <v/>
      </c>
      <c r="R53" s="49">
        <f>(P53+Q53)/2/(G53*F53)</f>
        <v/>
      </c>
      <c r="S53" s="49">
        <f>IF(D53&gt;0,R53+(1+0.3^2)/2*(MIN(D53,0.95*G53*F53)/F53)/(F53-MIN(D53,0.95*G53*F53)),0)</f>
        <v/>
      </c>
      <c r="T53" s="59">
        <f>'Sim Data'!$J$102</f>
        <v/>
      </c>
      <c r="U53" s="14">
        <f>IF(D53=0,IF(P53&gt;0,"No new arrivals: the line left from earlier drains",""),IF(H53&gt;=1,"Over capacity: the line grows by about "&amp;TEXT((D53-G53*F53)*10,"0")&amp;" in 10 min (to "&amp;TEXT(Q53,"0")&amp;")",IF(P53&gt;=1,"Under capacity, but "&amp;TEXT(P53,"0")&amp;" were already in line: it drains to "&amp;TEXT(Q53,"0"),IF(ISNUMBER(O53),IF(ABS(O53-1)&lt;=0.2,"Steady: Little's Law holds",IF(O53&gt;1,"Draining a line left from earlier","Line still building")),"Hardly any line"))))</f>
        <v/>
      </c>
    </row>
    <row r="54" ht="21.95" customHeight="1">
      <c r="A54" s="14" t="inlineStr">
        <is>
          <t>Today (no screens)</t>
        </is>
      </c>
      <c r="B54" s="14" t="inlineStr">
        <is>
          <t>Munch Mess</t>
        </is>
      </c>
      <c r="C54" s="27" t="inlineStr">
        <is>
          <t>12:50</t>
        </is>
      </c>
      <c r="D54" s="54">
        <f>'Sim Data'!$E$103</f>
        <v/>
      </c>
      <c r="E54" s="55">
        <f>'Sim Data'!$G$103</f>
        <v/>
      </c>
      <c r="F54" s="56">
        <f>IF(E54&gt;0,1/E54,60/'Assumptions'!$B$16)</f>
        <v/>
      </c>
      <c r="G54" s="57">
        <f>'Assumptions'!$B$15</f>
        <v/>
      </c>
      <c r="H54" s="58">
        <f>D54/(G54*F54)</f>
        <v/>
      </c>
      <c r="I54" s="27">
        <f>IF(D54=0,"no arrivals",IF(H54&lt;0.85,"stable",IF(H54&lt;1,"near capacity","over capacity")))</f>
        <v/>
      </c>
      <c r="J54" s="49">
        <f>IF(AND(D54&gt;0,H54&lt;1),H54/(F54-D54),"—")</f>
        <v/>
      </c>
      <c r="K54" s="49">
        <f>IF(ISNUMBER(J54),(1+0.3^2)/2*J54,"—")</f>
        <v/>
      </c>
      <c r="L54" s="59">
        <f>'Sim Data'!$F$103</f>
        <v/>
      </c>
      <c r="M54" s="54">
        <f>'Sim Data'!$H$103</f>
        <v/>
      </c>
      <c r="N54" s="56">
        <f>D54*L54</f>
        <v/>
      </c>
      <c r="O54" s="49">
        <f>IF(MAX(M54,N54)&lt;0.5,"both ≈ 0",IF(N54=0,"no new arrivals",M54/N54))</f>
        <v/>
      </c>
      <c r="P54" s="48">
        <f>Q53</f>
        <v/>
      </c>
      <c r="Q54" s="48">
        <f>MAX(0,P54+D54*'Assumptions'!$B$47-G54*F54*('Assumptions'!$B$47-'Sim Data'!$L$103))</f>
        <v/>
      </c>
      <c r="R54" s="49">
        <f>(P54+Q54)/2/(G54*F54)</f>
        <v/>
      </c>
      <c r="S54" s="49">
        <f>IF(D54&gt;0,R54+(1+0.3^2)/2*(MIN(D54,0.95*G54*F54)/F54)/(F54-MIN(D54,0.95*G54*F54)),0)</f>
        <v/>
      </c>
      <c r="T54" s="59">
        <f>'Sim Data'!$J$103</f>
        <v/>
      </c>
      <c r="U54" s="14">
        <f>IF(D54=0,IF(P54&gt;0,"No new arrivals: the line left from earlier drains",""),IF(H54&gt;=1,"Over capacity: the line grows by about "&amp;TEXT((D54-G54*F54)*10,"0")&amp;" in 10 min (to "&amp;TEXT(Q54,"0")&amp;")",IF(P54&gt;=1,"Under capacity, but "&amp;TEXT(P54,"0")&amp;" were already in line: it drains to "&amp;TEXT(Q54,"0"),IF(ISNUMBER(O54),IF(ABS(O54-1)&lt;=0.2,"Steady: Little's Law holds",IF(O54&gt;1,"Draining a line left from earlier","Line still building")),"Hardly any line"))))</f>
        <v/>
      </c>
    </row>
    <row r="55" ht="21.95" customHeight="1">
      <c r="A55" s="14" t="inlineStr">
        <is>
          <t>Today (no screens)</t>
        </is>
      </c>
      <c r="B55" s="14" t="inlineStr">
        <is>
          <t>Munch Mess</t>
        </is>
      </c>
      <c r="C55" s="27" t="inlineStr">
        <is>
          <t>13:00</t>
        </is>
      </c>
      <c r="D55" s="54">
        <f>'Sim Data'!$E$104</f>
        <v/>
      </c>
      <c r="E55" s="55">
        <f>'Sim Data'!$G$104</f>
        <v/>
      </c>
      <c r="F55" s="56">
        <f>IF(E55&gt;0,1/E55,60/'Assumptions'!$B$16)</f>
        <v/>
      </c>
      <c r="G55" s="57">
        <f>'Assumptions'!$B$15</f>
        <v/>
      </c>
      <c r="H55" s="58">
        <f>D55/(G55*F55)</f>
        <v/>
      </c>
      <c r="I55" s="27">
        <f>IF(D55=0,"no arrivals",IF(H55&lt;0.85,"stable",IF(H55&lt;1,"near capacity","over capacity")))</f>
        <v/>
      </c>
      <c r="J55" s="49">
        <f>IF(AND(D55&gt;0,H55&lt;1),H55/(F55-D55),"—")</f>
        <v/>
      </c>
      <c r="K55" s="49">
        <f>IF(ISNUMBER(J55),(1+0.3^2)/2*J55,"—")</f>
        <v/>
      </c>
      <c r="L55" s="59">
        <f>'Sim Data'!$F$104</f>
        <v/>
      </c>
      <c r="M55" s="54">
        <f>'Sim Data'!$H$104</f>
        <v/>
      </c>
      <c r="N55" s="56">
        <f>D55*L55</f>
        <v/>
      </c>
      <c r="O55" s="49">
        <f>IF(MAX(M55,N55)&lt;0.5,"both ≈ 0",IF(N55=0,"no new arrivals",M55/N55))</f>
        <v/>
      </c>
      <c r="P55" s="48">
        <f>Q54</f>
        <v/>
      </c>
      <c r="Q55" s="48">
        <f>MAX(0,P55+D55*'Assumptions'!$B$47-G55*F55*('Assumptions'!$B$47-'Sim Data'!$L$104))</f>
        <v/>
      </c>
      <c r="R55" s="49">
        <f>(P55+Q55)/2/(G55*F55)</f>
        <v/>
      </c>
      <c r="S55" s="49">
        <f>IF(D55&gt;0,R55+(1+0.3^2)/2*(MIN(D55,0.95*G55*F55)/F55)/(F55-MIN(D55,0.95*G55*F55)),0)</f>
        <v/>
      </c>
      <c r="T55" s="59">
        <f>'Sim Data'!$J$104</f>
        <v/>
      </c>
      <c r="U55" s="14">
        <f>IF(D55=0,IF(P55&gt;0,"No new arrivals: the line left from earlier drains",""),IF(H55&gt;=1,"Over capacity: the line grows by about "&amp;TEXT((D55-G55*F55)*10,"0")&amp;" in 10 min (to "&amp;TEXT(Q55,"0")&amp;")",IF(P55&gt;=1,"Under capacity, but "&amp;TEXT(P55,"0")&amp;" were already in line: it drains to "&amp;TEXT(Q55,"0"),IF(ISNUMBER(O55),IF(ABS(O55-1)&lt;=0.2,"Steady: Little's Law holds",IF(O55&gt;1,"Draining a line left from earlier","Line still building")),"Hardly any line"))))</f>
        <v/>
      </c>
    </row>
    <row r="56" ht="21.95" customHeight="1">
      <c r="A56" s="14" t="inlineStr">
        <is>
          <t>Today (no screens)</t>
        </is>
      </c>
      <c r="B56" s="14" t="inlineStr">
        <is>
          <t>Munch Mess</t>
        </is>
      </c>
      <c r="C56" s="27" t="inlineStr">
        <is>
          <t>13:10</t>
        </is>
      </c>
      <c r="D56" s="54">
        <f>'Sim Data'!$E$105</f>
        <v/>
      </c>
      <c r="E56" s="55">
        <f>'Sim Data'!$G$105</f>
        <v/>
      </c>
      <c r="F56" s="56">
        <f>IF(E56&gt;0,1/E56,60/'Assumptions'!$B$16)</f>
        <v/>
      </c>
      <c r="G56" s="57">
        <f>'Assumptions'!$B$15</f>
        <v/>
      </c>
      <c r="H56" s="58">
        <f>D56/(G56*F56)</f>
        <v/>
      </c>
      <c r="I56" s="27">
        <f>IF(D56=0,"no arrivals",IF(H56&lt;0.85,"stable",IF(H56&lt;1,"near capacity","over capacity")))</f>
        <v/>
      </c>
      <c r="J56" s="49">
        <f>IF(AND(D56&gt;0,H56&lt;1),H56/(F56-D56),"—")</f>
        <v/>
      </c>
      <c r="K56" s="49">
        <f>IF(ISNUMBER(J56),(1+0.3^2)/2*J56,"—")</f>
        <v/>
      </c>
      <c r="L56" s="59">
        <f>'Sim Data'!$F$105</f>
        <v/>
      </c>
      <c r="M56" s="54">
        <f>'Sim Data'!$H$105</f>
        <v/>
      </c>
      <c r="N56" s="56">
        <f>D56*L56</f>
        <v/>
      </c>
      <c r="O56" s="49">
        <f>IF(MAX(M56,N56)&lt;0.5,"both ≈ 0",IF(N56=0,"no new arrivals",M56/N56))</f>
        <v/>
      </c>
      <c r="P56" s="48">
        <f>Q55</f>
        <v/>
      </c>
      <c r="Q56" s="48">
        <f>MAX(0,P56+D56*'Assumptions'!$B$47-G56*F56*('Assumptions'!$B$47-'Sim Data'!$L$105))</f>
        <v/>
      </c>
      <c r="R56" s="49">
        <f>(P56+Q56)/2/(G56*F56)</f>
        <v/>
      </c>
      <c r="S56" s="49">
        <f>IF(D56&gt;0,R56+(1+0.3^2)/2*(MIN(D56,0.95*G56*F56)/F56)/(F56-MIN(D56,0.95*G56*F56)),0)</f>
        <v/>
      </c>
      <c r="T56" s="59">
        <f>'Sim Data'!$J$105</f>
        <v/>
      </c>
      <c r="U56" s="14">
        <f>IF(D56=0,IF(P56&gt;0,"No new arrivals: the line left from earlier drains",""),IF(H56&gt;=1,"Over capacity: the line grows by about "&amp;TEXT((D56-G56*F56)*10,"0")&amp;" in 10 min (to "&amp;TEXT(Q56,"0")&amp;")",IF(P56&gt;=1,"Under capacity, but "&amp;TEXT(P56,"0")&amp;" were already in line: it drains to "&amp;TEXT(Q56,"0"),IF(ISNUMBER(O56),IF(ABS(O56-1)&lt;=0.2,"Steady: Little's Law holds",IF(O56&gt;1,"Draining a line left from earlier","Line still building")),"Hardly any line"))))</f>
        <v/>
      </c>
    </row>
    <row r="57" ht="21.95" customHeight="1">
      <c r="A57" s="14" t="inlineStr">
        <is>
          <t>Today (no screens)</t>
        </is>
      </c>
      <c r="B57" s="14" t="inlineStr">
        <is>
          <t>Munch Mess</t>
        </is>
      </c>
      <c r="C57" s="27" t="inlineStr">
        <is>
          <t>13:20</t>
        </is>
      </c>
      <c r="D57" s="54">
        <f>'Sim Data'!$E$106</f>
        <v/>
      </c>
      <c r="E57" s="55">
        <f>'Sim Data'!$G$106</f>
        <v/>
      </c>
      <c r="F57" s="56">
        <f>IF(E57&gt;0,1/E57,60/'Assumptions'!$B$16)</f>
        <v/>
      </c>
      <c r="G57" s="57">
        <f>'Assumptions'!$B$15</f>
        <v/>
      </c>
      <c r="H57" s="58">
        <f>D57/(G57*F57)</f>
        <v/>
      </c>
      <c r="I57" s="27">
        <f>IF(D57=0,"no arrivals",IF(H57&lt;0.85,"stable",IF(H57&lt;1,"near capacity","over capacity")))</f>
        <v/>
      </c>
      <c r="J57" s="49">
        <f>IF(AND(D57&gt;0,H57&lt;1),H57/(F57-D57),"—")</f>
        <v/>
      </c>
      <c r="K57" s="49">
        <f>IF(ISNUMBER(J57),(1+0.3^2)/2*J57,"—")</f>
        <v/>
      </c>
      <c r="L57" s="59">
        <f>'Sim Data'!$F$106</f>
        <v/>
      </c>
      <c r="M57" s="54">
        <f>'Sim Data'!$H$106</f>
        <v/>
      </c>
      <c r="N57" s="56">
        <f>D57*L57</f>
        <v/>
      </c>
      <c r="O57" s="49">
        <f>IF(MAX(M57,N57)&lt;0.5,"both ≈ 0",IF(N57=0,"no new arrivals",M57/N57))</f>
        <v/>
      </c>
      <c r="P57" s="48">
        <f>Q56</f>
        <v/>
      </c>
      <c r="Q57" s="48">
        <f>MAX(0,P57+D57*'Assumptions'!$B$47-G57*F57*('Assumptions'!$B$47-'Sim Data'!$L$106))</f>
        <v/>
      </c>
      <c r="R57" s="49">
        <f>(P57+Q57)/2/(G57*F57)</f>
        <v/>
      </c>
      <c r="S57" s="49">
        <f>IF(D57&gt;0,R57+(1+0.3^2)/2*(MIN(D57,0.95*G57*F57)/F57)/(F57-MIN(D57,0.95*G57*F57)),0)</f>
        <v/>
      </c>
      <c r="T57" s="59">
        <f>'Sim Data'!$J$106</f>
        <v/>
      </c>
      <c r="U57" s="14">
        <f>IF(D57=0,IF(P57&gt;0,"No new arrivals: the line left from earlier drains",""),IF(H57&gt;=1,"Over capacity: the line grows by about "&amp;TEXT((D57-G57*F57)*10,"0")&amp;" in 10 min (to "&amp;TEXT(Q57,"0")&amp;")",IF(P57&gt;=1,"Under capacity, but "&amp;TEXT(P57,"0")&amp;" were already in line: it drains to "&amp;TEXT(Q57,"0"),IF(ISNUMBER(O57),IF(ABS(O57-1)&lt;=0.2,"Steady: Little's Law holds",IF(O57&gt;1,"Draining a line left from earlier","Line still building")),"Hardly any line"))))</f>
        <v/>
      </c>
    </row>
    <row r="58" ht="21.95" customHeight="1">
      <c r="A58" s="14" t="inlineStr">
        <is>
          <t>Today (no screens)</t>
        </is>
      </c>
      <c r="B58" s="14" t="inlineStr">
        <is>
          <t>Munch Mess</t>
        </is>
      </c>
      <c r="C58" s="27" t="inlineStr">
        <is>
          <t>13:30</t>
        </is>
      </c>
      <c r="D58" s="54">
        <f>'Sim Data'!$E$107</f>
        <v/>
      </c>
      <c r="E58" s="55">
        <f>'Sim Data'!$G$107</f>
        <v/>
      </c>
      <c r="F58" s="56">
        <f>IF(E58&gt;0,1/E58,60/'Assumptions'!$B$16)</f>
        <v/>
      </c>
      <c r="G58" s="57">
        <f>'Assumptions'!$B$15</f>
        <v/>
      </c>
      <c r="H58" s="58">
        <f>D58/(G58*F58)</f>
        <v/>
      </c>
      <c r="I58" s="27">
        <f>IF(D58=0,"no arrivals",IF(H58&lt;0.85,"stable",IF(H58&lt;1,"near capacity","over capacity")))</f>
        <v/>
      </c>
      <c r="J58" s="49">
        <f>IF(AND(D58&gt;0,H58&lt;1),H58/(F58-D58),"—")</f>
        <v/>
      </c>
      <c r="K58" s="49">
        <f>IF(ISNUMBER(J58),(1+0.3^2)/2*J58,"—")</f>
        <v/>
      </c>
      <c r="L58" s="59">
        <f>'Sim Data'!$F$107</f>
        <v/>
      </c>
      <c r="M58" s="54">
        <f>'Sim Data'!$H$107</f>
        <v/>
      </c>
      <c r="N58" s="56">
        <f>D58*L58</f>
        <v/>
      </c>
      <c r="O58" s="49">
        <f>IF(MAX(M58,N58)&lt;0.5,"both ≈ 0",IF(N58=0,"no new arrivals",M58/N58))</f>
        <v/>
      </c>
      <c r="P58" s="48">
        <f>Q57</f>
        <v/>
      </c>
      <c r="Q58" s="48">
        <f>MAX(0,P58+D58*'Assumptions'!$B$47-G58*F58*('Assumptions'!$B$47-'Sim Data'!$L$107))</f>
        <v/>
      </c>
      <c r="R58" s="49">
        <f>(P58+Q58)/2/(G58*F58)</f>
        <v/>
      </c>
      <c r="S58" s="49">
        <f>IF(D58&gt;0,R58+(1+0.3^2)/2*(MIN(D58,0.95*G58*F58)/F58)/(F58-MIN(D58,0.95*G58*F58)),0)</f>
        <v/>
      </c>
      <c r="T58" s="59">
        <f>'Sim Data'!$J$107</f>
        <v/>
      </c>
      <c r="U58" s="14">
        <f>IF(D58=0,IF(P58&gt;0,"No new arrivals: the line left from earlier drains",""),IF(H58&gt;=1,"Over capacity: the line grows by about "&amp;TEXT((D58-G58*F58)*10,"0")&amp;" in 10 min (to "&amp;TEXT(Q58,"0")&amp;")",IF(P58&gt;=1,"Under capacity, but "&amp;TEXT(P58,"0")&amp;" were already in line: it drains to "&amp;TEXT(Q58,"0"),IF(ISNUMBER(O58),IF(ABS(O58-1)&lt;=0.2,"Steady: Little's Law holds",IF(O58&gt;1,"Draining a line left from earlier","Line still building")),"Hardly any line"))))</f>
        <v/>
      </c>
    </row>
    <row r="59" ht="21.95" customHeight="1">
      <c r="A59" s="14" t="inlineStr">
        <is>
          <t>Today (no screens)</t>
        </is>
      </c>
      <c r="B59" s="14" t="inlineStr">
        <is>
          <t>Munch Mess</t>
        </is>
      </c>
      <c r="C59" s="27" t="inlineStr">
        <is>
          <t>13:40</t>
        </is>
      </c>
      <c r="D59" s="54">
        <f>'Sim Data'!$E$108</f>
        <v/>
      </c>
      <c r="E59" s="55">
        <f>'Sim Data'!$G$108</f>
        <v/>
      </c>
      <c r="F59" s="56">
        <f>IF(E59&gt;0,1/E59,60/'Assumptions'!$B$16)</f>
        <v/>
      </c>
      <c r="G59" s="57">
        <f>'Assumptions'!$B$15</f>
        <v/>
      </c>
      <c r="H59" s="58">
        <f>D59/(G59*F59)</f>
        <v/>
      </c>
      <c r="I59" s="27">
        <f>IF(D59=0,"no arrivals",IF(H59&lt;0.85,"stable",IF(H59&lt;1,"near capacity","over capacity")))</f>
        <v/>
      </c>
      <c r="J59" s="49">
        <f>IF(AND(D59&gt;0,H59&lt;1),H59/(F59-D59),"—")</f>
        <v/>
      </c>
      <c r="K59" s="49">
        <f>IF(ISNUMBER(J59),(1+0.3^2)/2*J59,"—")</f>
        <v/>
      </c>
      <c r="L59" s="59">
        <f>'Sim Data'!$F$108</f>
        <v/>
      </c>
      <c r="M59" s="54">
        <f>'Sim Data'!$H$108</f>
        <v/>
      </c>
      <c r="N59" s="56">
        <f>D59*L59</f>
        <v/>
      </c>
      <c r="O59" s="49">
        <f>IF(MAX(M59,N59)&lt;0.5,"both ≈ 0",IF(N59=0,"no new arrivals",M59/N59))</f>
        <v/>
      </c>
      <c r="P59" s="48">
        <f>Q58</f>
        <v/>
      </c>
      <c r="Q59" s="48">
        <f>MAX(0,P59+D59*'Assumptions'!$B$47-G59*F59*('Assumptions'!$B$47-'Sim Data'!$L$108))</f>
        <v/>
      </c>
      <c r="R59" s="49">
        <f>(P59+Q59)/2/(G59*F59)</f>
        <v/>
      </c>
      <c r="S59" s="49">
        <f>IF(D59&gt;0,R59+(1+0.3^2)/2*(MIN(D59,0.95*G59*F59)/F59)/(F59-MIN(D59,0.95*G59*F59)),0)</f>
        <v/>
      </c>
      <c r="T59" s="59">
        <f>'Sim Data'!$J$108</f>
        <v/>
      </c>
      <c r="U59" s="14">
        <f>IF(D59=0,IF(P59&gt;0,"No new arrivals: the line left from earlier drains",""),IF(H59&gt;=1,"Over capacity: the line grows by about "&amp;TEXT((D59-G59*F59)*10,"0")&amp;" in 10 min (to "&amp;TEXT(Q59,"0")&amp;")",IF(P59&gt;=1,"Under capacity, but "&amp;TEXT(P59,"0")&amp;" were already in line: it drains to "&amp;TEXT(Q59,"0"),IF(ISNUMBER(O59),IF(ABS(O59-1)&lt;=0.2,"Steady: Little's Law holds",IF(O59&gt;1,"Draining a line left from earlier","Line still building")),"Hardly any line"))))</f>
        <v/>
      </c>
    </row>
    <row r="60" ht="21.95" customHeight="1">
      <c r="A60" s="14" t="inlineStr">
        <is>
          <t>Today (no screens)</t>
        </is>
      </c>
      <c r="B60" s="14" t="inlineStr">
        <is>
          <t>Munch Mess</t>
        </is>
      </c>
      <c r="C60" s="27" t="inlineStr">
        <is>
          <t>13:50</t>
        </is>
      </c>
      <c r="D60" s="54">
        <f>'Sim Data'!$E$109</f>
        <v/>
      </c>
      <c r="E60" s="55">
        <f>'Sim Data'!$G$109</f>
        <v/>
      </c>
      <c r="F60" s="56">
        <f>IF(E60&gt;0,1/E60,60/'Assumptions'!$B$16)</f>
        <v/>
      </c>
      <c r="G60" s="57">
        <f>'Assumptions'!$B$15</f>
        <v/>
      </c>
      <c r="H60" s="58">
        <f>D60/(G60*F60)</f>
        <v/>
      </c>
      <c r="I60" s="27">
        <f>IF(D60=0,"no arrivals",IF(H60&lt;0.85,"stable",IF(H60&lt;1,"near capacity","over capacity")))</f>
        <v/>
      </c>
      <c r="J60" s="49">
        <f>IF(AND(D60&gt;0,H60&lt;1),H60/(F60-D60),"—")</f>
        <v/>
      </c>
      <c r="K60" s="49">
        <f>IF(ISNUMBER(J60),(1+0.3^2)/2*J60,"—")</f>
        <v/>
      </c>
      <c r="L60" s="59">
        <f>'Sim Data'!$F$109</f>
        <v/>
      </c>
      <c r="M60" s="54">
        <f>'Sim Data'!$H$109</f>
        <v/>
      </c>
      <c r="N60" s="56">
        <f>D60*L60</f>
        <v/>
      </c>
      <c r="O60" s="49">
        <f>IF(MAX(M60,N60)&lt;0.5,"both ≈ 0",IF(N60=0,"no new arrivals",M60/N60))</f>
        <v/>
      </c>
      <c r="P60" s="48">
        <f>Q59</f>
        <v/>
      </c>
      <c r="Q60" s="48">
        <f>MAX(0,P60+D60*'Assumptions'!$B$47-G60*F60*('Assumptions'!$B$47-'Sim Data'!$L$109))</f>
        <v/>
      </c>
      <c r="R60" s="49">
        <f>(P60+Q60)/2/(G60*F60)</f>
        <v/>
      </c>
      <c r="S60" s="49">
        <f>IF(D60&gt;0,R60+(1+0.3^2)/2*(MIN(D60,0.95*G60*F60)/F60)/(F60-MIN(D60,0.95*G60*F60)),0)</f>
        <v/>
      </c>
      <c r="T60" s="59">
        <f>'Sim Data'!$J$109</f>
        <v/>
      </c>
      <c r="U60" s="14">
        <f>IF(D60=0,IF(P60&gt;0,"No new arrivals: the line left from earlier drains",""),IF(H60&gt;=1,"Over capacity: the line grows by about "&amp;TEXT((D60-G60*F60)*10,"0")&amp;" in 10 min (to "&amp;TEXT(Q60,"0")&amp;")",IF(P60&gt;=1,"Under capacity, but "&amp;TEXT(P60,"0")&amp;" were already in line: it drains to "&amp;TEXT(Q60,"0"),IF(ISNUMBER(O60),IF(ABS(O60-1)&lt;=0.2,"Steady: Little's Law holds",IF(O60&gt;1,"Draining a line left from earlier","Line still building")),"Hardly any line"))))</f>
        <v/>
      </c>
    </row>
    <row r="61" ht="21.95" customHeight="1">
      <c r="A61" s="14" t="inlineStr">
        <is>
          <t>Today (no screens)</t>
        </is>
      </c>
      <c r="B61" s="14" t="inlineStr">
        <is>
          <t>Munch Mess</t>
        </is>
      </c>
      <c r="C61" s="27" t="inlineStr">
        <is>
          <t>14:00</t>
        </is>
      </c>
      <c r="D61" s="54">
        <f>'Sim Data'!$E$110</f>
        <v/>
      </c>
      <c r="E61" s="55">
        <f>'Sim Data'!$G$110</f>
        <v/>
      </c>
      <c r="F61" s="56">
        <f>IF(E61&gt;0,1/E61,60/'Assumptions'!$B$16)</f>
        <v/>
      </c>
      <c r="G61" s="57">
        <f>'Assumptions'!$B$15</f>
        <v/>
      </c>
      <c r="H61" s="58">
        <f>D61/(G61*F61)</f>
        <v/>
      </c>
      <c r="I61" s="27">
        <f>IF(D61=0,"no arrivals",IF(H61&lt;0.85,"stable",IF(H61&lt;1,"near capacity","over capacity")))</f>
        <v/>
      </c>
      <c r="J61" s="49">
        <f>IF(AND(D61&gt;0,H61&lt;1),H61/(F61-D61),"—")</f>
        <v/>
      </c>
      <c r="K61" s="49">
        <f>IF(ISNUMBER(J61),(1+0.3^2)/2*J61,"—")</f>
        <v/>
      </c>
      <c r="L61" s="59">
        <f>'Sim Data'!$F$110</f>
        <v/>
      </c>
      <c r="M61" s="54">
        <f>'Sim Data'!$H$110</f>
        <v/>
      </c>
      <c r="N61" s="56">
        <f>D61*L61</f>
        <v/>
      </c>
      <c r="O61" s="49">
        <f>IF(MAX(M61,N61)&lt;0.5,"both ≈ 0",IF(N61=0,"no new arrivals",M61/N61))</f>
        <v/>
      </c>
      <c r="P61" s="48">
        <f>Q60</f>
        <v/>
      </c>
      <c r="Q61" s="48">
        <f>MAX(0,P61+D61*'Assumptions'!$B$47-G61*F61*('Assumptions'!$B$47-'Sim Data'!$L$110))</f>
        <v/>
      </c>
      <c r="R61" s="49">
        <f>(P61+Q61)/2/(G61*F61)</f>
        <v/>
      </c>
      <c r="S61" s="49">
        <f>IF(D61&gt;0,R61+(1+0.3^2)/2*(MIN(D61,0.95*G61*F61)/F61)/(F61-MIN(D61,0.95*G61*F61)),0)</f>
        <v/>
      </c>
      <c r="T61" s="59">
        <f>'Sim Data'!$J$110</f>
        <v/>
      </c>
      <c r="U61" s="14">
        <f>IF(D61=0,IF(P61&gt;0,"No new arrivals: the line left from earlier drains",""),IF(H61&gt;=1,"Over capacity: the line grows by about "&amp;TEXT((D61-G61*F61)*10,"0")&amp;" in 10 min (to "&amp;TEXT(Q61,"0")&amp;")",IF(P61&gt;=1,"Under capacity, but "&amp;TEXT(P61,"0")&amp;" were already in line: it drains to "&amp;TEXT(Q61,"0"),IF(ISNUMBER(O61),IF(ABS(O61-1)&lt;=0.2,"Steady: Little's Law holds",IF(O61&gt;1,"Draining a line left from earlier","Line still building")),"Hardly any line"))))</f>
        <v/>
      </c>
    </row>
    <row r="62" ht="21.95" customHeight="1">
      <c r="A62" s="14" t="inlineStr">
        <is>
          <t>Today (no screens)</t>
        </is>
      </c>
      <c r="B62" s="14" t="inlineStr">
        <is>
          <t>Munch Mess</t>
        </is>
      </c>
      <c r="C62" s="27" t="inlineStr">
        <is>
          <t>14:10</t>
        </is>
      </c>
      <c r="D62" s="54">
        <f>'Sim Data'!$E$111</f>
        <v/>
      </c>
      <c r="E62" s="55">
        <f>'Sim Data'!$G$111</f>
        <v/>
      </c>
      <c r="F62" s="56">
        <f>IF(E62&gt;0,1/E62,60/'Assumptions'!$B$16)</f>
        <v/>
      </c>
      <c r="G62" s="57">
        <f>'Assumptions'!$B$15</f>
        <v/>
      </c>
      <c r="H62" s="58">
        <f>D62/(G62*F62)</f>
        <v/>
      </c>
      <c r="I62" s="27">
        <f>IF(D62=0,"no arrivals",IF(H62&lt;0.85,"stable",IF(H62&lt;1,"near capacity","over capacity")))</f>
        <v/>
      </c>
      <c r="J62" s="49">
        <f>IF(AND(D62&gt;0,H62&lt;1),H62/(F62-D62),"—")</f>
        <v/>
      </c>
      <c r="K62" s="49">
        <f>IF(ISNUMBER(J62),(1+0.3^2)/2*J62,"—")</f>
        <v/>
      </c>
      <c r="L62" s="59">
        <f>'Sim Data'!$F$111</f>
        <v/>
      </c>
      <c r="M62" s="54">
        <f>'Sim Data'!$H$111</f>
        <v/>
      </c>
      <c r="N62" s="56">
        <f>D62*L62</f>
        <v/>
      </c>
      <c r="O62" s="49">
        <f>IF(MAX(M62,N62)&lt;0.5,"both ≈ 0",IF(N62=0,"no new arrivals",M62/N62))</f>
        <v/>
      </c>
      <c r="P62" s="48">
        <f>Q61</f>
        <v/>
      </c>
      <c r="Q62" s="48">
        <f>MAX(0,P62+D62*'Assumptions'!$B$47-G62*F62*('Assumptions'!$B$47-'Sim Data'!$L$111))</f>
        <v/>
      </c>
      <c r="R62" s="49">
        <f>(P62+Q62)/2/(G62*F62)</f>
        <v/>
      </c>
      <c r="S62" s="49">
        <f>IF(D62&gt;0,R62+(1+0.3^2)/2*(MIN(D62,0.95*G62*F62)/F62)/(F62-MIN(D62,0.95*G62*F62)),0)</f>
        <v/>
      </c>
      <c r="T62" s="59">
        <f>'Sim Data'!$J$111</f>
        <v/>
      </c>
      <c r="U62" s="14">
        <f>IF(D62=0,IF(P62&gt;0,"No new arrivals: the line left from earlier drains",""),IF(H62&gt;=1,"Over capacity: the line grows by about "&amp;TEXT((D62-G62*F62)*10,"0")&amp;" in 10 min (to "&amp;TEXT(Q62,"0")&amp;")",IF(P62&gt;=1,"Under capacity, but "&amp;TEXT(P62,"0")&amp;" were already in line: it drains to "&amp;TEXT(Q62,"0"),IF(ISNUMBER(O62),IF(ABS(O62-1)&lt;=0.2,"Steady: Little's Law holds",IF(O62&gt;1,"Draining a line left from earlier","Line still building")),"Hardly any line"))))</f>
        <v/>
      </c>
    </row>
    <row r="63" ht="21.95" customHeight="1">
      <c r="A63" s="14" t="inlineStr">
        <is>
          <t>Today (no screens)</t>
        </is>
      </c>
      <c r="B63" s="14" t="inlineStr">
        <is>
          <t>Munch Mess</t>
        </is>
      </c>
      <c r="C63" s="27" t="inlineStr">
        <is>
          <t>14:20</t>
        </is>
      </c>
      <c r="D63" s="54">
        <f>'Sim Data'!$E$112</f>
        <v/>
      </c>
      <c r="E63" s="55">
        <f>'Sim Data'!$G$112</f>
        <v/>
      </c>
      <c r="F63" s="56">
        <f>IF(E63&gt;0,1/E63,60/'Assumptions'!$B$16)</f>
        <v/>
      </c>
      <c r="G63" s="57">
        <f>'Assumptions'!$B$15</f>
        <v/>
      </c>
      <c r="H63" s="58">
        <f>D63/(G63*F63)</f>
        <v/>
      </c>
      <c r="I63" s="27">
        <f>IF(D63=0,"no arrivals",IF(H63&lt;0.85,"stable",IF(H63&lt;1,"near capacity","over capacity")))</f>
        <v/>
      </c>
      <c r="J63" s="49">
        <f>IF(AND(D63&gt;0,H63&lt;1),H63/(F63-D63),"—")</f>
        <v/>
      </c>
      <c r="K63" s="49">
        <f>IF(ISNUMBER(J63),(1+0.3^2)/2*J63,"—")</f>
        <v/>
      </c>
      <c r="L63" s="59">
        <f>'Sim Data'!$F$112</f>
        <v/>
      </c>
      <c r="M63" s="54">
        <f>'Sim Data'!$H$112</f>
        <v/>
      </c>
      <c r="N63" s="56">
        <f>D63*L63</f>
        <v/>
      </c>
      <c r="O63" s="49">
        <f>IF(MAX(M63,N63)&lt;0.5,"both ≈ 0",IF(N63=0,"no new arrivals",M63/N63))</f>
        <v/>
      </c>
      <c r="P63" s="48">
        <f>Q62</f>
        <v/>
      </c>
      <c r="Q63" s="48">
        <f>MAX(0,P63+D63*'Assumptions'!$B$47-G63*F63*('Assumptions'!$B$47-'Sim Data'!$L$112))</f>
        <v/>
      </c>
      <c r="R63" s="49">
        <f>(P63+Q63)/2/(G63*F63)</f>
        <v/>
      </c>
      <c r="S63" s="49">
        <f>IF(D63&gt;0,R63+(1+0.3^2)/2*(MIN(D63,0.95*G63*F63)/F63)/(F63-MIN(D63,0.95*G63*F63)),0)</f>
        <v/>
      </c>
      <c r="T63" s="59">
        <f>'Sim Data'!$J$112</f>
        <v/>
      </c>
      <c r="U63" s="14">
        <f>IF(D63=0,IF(P63&gt;0,"No new arrivals: the line left from earlier drains",""),IF(H63&gt;=1,"Over capacity: the line grows by about "&amp;TEXT((D63-G63*F63)*10,"0")&amp;" in 10 min (to "&amp;TEXT(Q63,"0")&amp;")",IF(P63&gt;=1,"Under capacity, but "&amp;TEXT(P63,"0")&amp;" were already in line: it drains to "&amp;TEXT(Q63,"0"),IF(ISNUMBER(O63),IF(ABS(O63-1)&lt;=0.2,"Steady: Little's Law holds",IF(O63&gt;1,"Draining a line left from earlier","Line still building")),"Hardly any line"))))</f>
        <v/>
      </c>
    </row>
    <row r="64" ht="21.95" customHeight="1">
      <c r="A64" s="14" t="inlineStr">
        <is>
          <t>With Smart Scan screens</t>
        </is>
      </c>
      <c r="B64" s="14" t="inlineStr">
        <is>
          <t>Central CT</t>
        </is>
      </c>
      <c r="C64" s="27" t="inlineStr">
        <is>
          <t>11:30</t>
        </is>
      </c>
      <c r="D64" s="54">
        <f>'Sim Data'!$E$185</f>
        <v/>
      </c>
      <c r="E64" s="55">
        <f>'Sim Data'!$G$185</f>
        <v/>
      </c>
      <c r="F64" s="56">
        <f>IF(E64&gt;0,1/E64,60/'Assumptions'!$B$16)</f>
        <v/>
      </c>
      <c r="G64" s="57">
        <f>'Assumptions'!$B$15</f>
        <v/>
      </c>
      <c r="H64" s="58">
        <f>D64/(G64*F64)</f>
        <v/>
      </c>
      <c r="I64" s="27">
        <f>IF(D64=0,"no arrivals",IF(H64&lt;0.85,"stable",IF(H64&lt;1,"near capacity","over capacity")))</f>
        <v/>
      </c>
      <c r="J64" s="49">
        <f>IF(AND(D64&gt;0,H64&lt;1),H64/(F64-D64),"—")</f>
        <v/>
      </c>
      <c r="K64" s="49">
        <f>IF(ISNUMBER(J64),(1+0.3^2)/2*J64,"—")</f>
        <v/>
      </c>
      <c r="L64" s="59">
        <f>'Sim Data'!$F$185</f>
        <v/>
      </c>
      <c r="M64" s="54">
        <f>'Sim Data'!$H$185</f>
        <v/>
      </c>
      <c r="N64" s="56">
        <f>D64*L64</f>
        <v/>
      </c>
      <c r="O64" s="49">
        <f>IF(MAX(M64,N64)&lt;0.5,"both ≈ 0",IF(N64=0,"no new arrivals",M64/N64))</f>
        <v/>
      </c>
      <c r="P64" s="48">
        <f>0</f>
        <v/>
      </c>
      <c r="Q64" s="48">
        <f>MAX(0,P64+D64*'Assumptions'!$B$47-G64*F64*('Assumptions'!$B$47-'Sim Data'!$L$185))</f>
        <v/>
      </c>
      <c r="R64" s="49">
        <f>(P64+Q64)/2/(G64*F64)</f>
        <v/>
      </c>
      <c r="S64" s="49">
        <f>IF(D64&gt;0,R64+(1+0.3^2)/2*(MIN(D64,0.95*G64*F64)/F64)/(F64-MIN(D64,0.95*G64*F64)),0)</f>
        <v/>
      </c>
      <c r="T64" s="59">
        <f>'Sim Data'!$J$185</f>
        <v/>
      </c>
      <c r="U64" s="14">
        <f>IF(D64=0,IF(P64&gt;0,"No new arrivals: the line left from earlier drains",""),IF(H64&gt;=1,"Over capacity: the line grows by about "&amp;TEXT((D64-G64*F64)*10,"0")&amp;" in 10 min (to "&amp;TEXT(Q64,"0")&amp;")",IF(P64&gt;=1,"Under capacity, but "&amp;TEXT(P64,"0")&amp;" were already in line: it drains to "&amp;TEXT(Q64,"0"),IF(ISNUMBER(O64),IF(ABS(O64-1)&lt;=0.2,"Steady: Little's Law holds",IF(O64&gt;1,"Draining a line left from earlier","Line still building")),"Hardly any line"))))</f>
        <v/>
      </c>
    </row>
    <row r="65" ht="21.95" customHeight="1">
      <c r="A65" s="14" t="inlineStr">
        <is>
          <t>With Smart Scan screens</t>
        </is>
      </c>
      <c r="B65" s="14" t="inlineStr">
        <is>
          <t>Central CT</t>
        </is>
      </c>
      <c r="C65" s="27" t="inlineStr">
        <is>
          <t>11:40</t>
        </is>
      </c>
      <c r="D65" s="54">
        <f>'Sim Data'!$E$186</f>
        <v/>
      </c>
      <c r="E65" s="55">
        <f>'Sim Data'!$G$186</f>
        <v/>
      </c>
      <c r="F65" s="56">
        <f>IF(E65&gt;0,1/E65,60/'Assumptions'!$B$16)</f>
        <v/>
      </c>
      <c r="G65" s="57">
        <f>'Assumptions'!$B$15</f>
        <v/>
      </c>
      <c r="H65" s="58">
        <f>D65/(G65*F65)</f>
        <v/>
      </c>
      <c r="I65" s="27">
        <f>IF(D65=0,"no arrivals",IF(H65&lt;0.85,"stable",IF(H65&lt;1,"near capacity","over capacity")))</f>
        <v/>
      </c>
      <c r="J65" s="49">
        <f>IF(AND(D65&gt;0,H65&lt;1),H65/(F65-D65),"—")</f>
        <v/>
      </c>
      <c r="K65" s="49">
        <f>IF(ISNUMBER(J65),(1+0.3^2)/2*J65,"—")</f>
        <v/>
      </c>
      <c r="L65" s="59">
        <f>'Sim Data'!$F$186</f>
        <v/>
      </c>
      <c r="M65" s="54">
        <f>'Sim Data'!$H$186</f>
        <v/>
      </c>
      <c r="N65" s="56">
        <f>D65*L65</f>
        <v/>
      </c>
      <c r="O65" s="49">
        <f>IF(MAX(M65,N65)&lt;0.5,"both ≈ 0",IF(N65=0,"no new arrivals",M65/N65))</f>
        <v/>
      </c>
      <c r="P65" s="48">
        <f>Q64</f>
        <v/>
      </c>
      <c r="Q65" s="48">
        <f>MAX(0,P65+D65*'Assumptions'!$B$47-G65*F65*('Assumptions'!$B$47-'Sim Data'!$L$186))</f>
        <v/>
      </c>
      <c r="R65" s="49">
        <f>(P65+Q65)/2/(G65*F65)</f>
        <v/>
      </c>
      <c r="S65" s="49">
        <f>IF(D65&gt;0,R65+(1+0.3^2)/2*(MIN(D65,0.95*G65*F65)/F65)/(F65-MIN(D65,0.95*G65*F65)),0)</f>
        <v/>
      </c>
      <c r="T65" s="59">
        <f>'Sim Data'!$J$186</f>
        <v/>
      </c>
      <c r="U65" s="14">
        <f>IF(D65=0,IF(P65&gt;0,"No new arrivals: the line left from earlier drains",""),IF(H65&gt;=1,"Over capacity: the line grows by about "&amp;TEXT((D65-G65*F65)*10,"0")&amp;" in 10 min (to "&amp;TEXT(Q65,"0")&amp;")",IF(P65&gt;=1,"Under capacity, but "&amp;TEXT(P65,"0")&amp;" were already in line: it drains to "&amp;TEXT(Q65,"0"),IF(ISNUMBER(O65),IF(ABS(O65-1)&lt;=0.2,"Steady: Little's Law holds",IF(O65&gt;1,"Draining a line left from earlier","Line still building")),"Hardly any line"))))</f>
        <v/>
      </c>
    </row>
    <row r="66" ht="21.95" customHeight="1">
      <c r="A66" s="14" t="inlineStr">
        <is>
          <t>With Smart Scan screens</t>
        </is>
      </c>
      <c r="B66" s="14" t="inlineStr">
        <is>
          <t>Central CT</t>
        </is>
      </c>
      <c r="C66" s="27" t="inlineStr">
        <is>
          <t>11:50</t>
        </is>
      </c>
      <c r="D66" s="54">
        <f>'Sim Data'!$E$187</f>
        <v/>
      </c>
      <c r="E66" s="55">
        <f>'Sim Data'!$G$187</f>
        <v/>
      </c>
      <c r="F66" s="56">
        <f>IF(E66&gt;0,1/E66,60/'Assumptions'!$B$16)</f>
        <v/>
      </c>
      <c r="G66" s="57">
        <f>'Assumptions'!$B$15</f>
        <v/>
      </c>
      <c r="H66" s="58">
        <f>D66/(G66*F66)</f>
        <v/>
      </c>
      <c r="I66" s="27">
        <f>IF(D66=0,"no arrivals",IF(H66&lt;0.85,"stable",IF(H66&lt;1,"near capacity","over capacity")))</f>
        <v/>
      </c>
      <c r="J66" s="49">
        <f>IF(AND(D66&gt;0,H66&lt;1),H66/(F66-D66),"—")</f>
        <v/>
      </c>
      <c r="K66" s="49">
        <f>IF(ISNUMBER(J66),(1+0.3^2)/2*J66,"—")</f>
        <v/>
      </c>
      <c r="L66" s="59">
        <f>'Sim Data'!$F$187</f>
        <v/>
      </c>
      <c r="M66" s="54">
        <f>'Sim Data'!$H$187</f>
        <v/>
      </c>
      <c r="N66" s="56">
        <f>D66*L66</f>
        <v/>
      </c>
      <c r="O66" s="49">
        <f>IF(MAX(M66,N66)&lt;0.5,"both ≈ 0",IF(N66=0,"no new arrivals",M66/N66))</f>
        <v/>
      </c>
      <c r="P66" s="48">
        <f>Q65</f>
        <v/>
      </c>
      <c r="Q66" s="48">
        <f>MAX(0,P66+D66*'Assumptions'!$B$47-G66*F66*('Assumptions'!$B$47-'Sim Data'!$L$187))</f>
        <v/>
      </c>
      <c r="R66" s="49">
        <f>(P66+Q66)/2/(G66*F66)</f>
        <v/>
      </c>
      <c r="S66" s="49">
        <f>IF(D66&gt;0,R66+(1+0.3^2)/2*(MIN(D66,0.95*G66*F66)/F66)/(F66-MIN(D66,0.95*G66*F66)),0)</f>
        <v/>
      </c>
      <c r="T66" s="59">
        <f>'Sim Data'!$J$187</f>
        <v/>
      </c>
      <c r="U66" s="14">
        <f>IF(D66=0,IF(P66&gt;0,"No new arrivals: the line left from earlier drains",""),IF(H66&gt;=1,"Over capacity: the line grows by about "&amp;TEXT((D66-G66*F66)*10,"0")&amp;" in 10 min (to "&amp;TEXT(Q66,"0")&amp;")",IF(P66&gt;=1,"Under capacity, but "&amp;TEXT(P66,"0")&amp;" were already in line: it drains to "&amp;TEXT(Q66,"0"),IF(ISNUMBER(O66),IF(ABS(O66-1)&lt;=0.2,"Steady: Little's Law holds",IF(O66&gt;1,"Draining a line left from earlier","Line still building")),"Hardly any line"))))</f>
        <v/>
      </c>
    </row>
    <row r="67" ht="21.95" customHeight="1">
      <c r="A67" s="14" t="inlineStr">
        <is>
          <t>With Smart Scan screens</t>
        </is>
      </c>
      <c r="B67" s="14" t="inlineStr">
        <is>
          <t>Central CT</t>
        </is>
      </c>
      <c r="C67" s="27" t="inlineStr">
        <is>
          <t>12:00</t>
        </is>
      </c>
      <c r="D67" s="54">
        <f>'Sim Data'!$E$188</f>
        <v/>
      </c>
      <c r="E67" s="55">
        <f>'Sim Data'!$G$188</f>
        <v/>
      </c>
      <c r="F67" s="56">
        <f>IF(E67&gt;0,1/E67,60/'Assumptions'!$B$16)</f>
        <v/>
      </c>
      <c r="G67" s="57">
        <f>'Assumptions'!$B$15</f>
        <v/>
      </c>
      <c r="H67" s="58">
        <f>D67/(G67*F67)</f>
        <v/>
      </c>
      <c r="I67" s="27">
        <f>IF(D67=0,"no arrivals",IF(H67&lt;0.85,"stable",IF(H67&lt;1,"near capacity","over capacity")))</f>
        <v/>
      </c>
      <c r="J67" s="49">
        <f>IF(AND(D67&gt;0,H67&lt;1),H67/(F67-D67),"—")</f>
        <v/>
      </c>
      <c r="K67" s="49">
        <f>IF(ISNUMBER(J67),(1+0.3^2)/2*J67,"—")</f>
        <v/>
      </c>
      <c r="L67" s="59">
        <f>'Sim Data'!$F$188</f>
        <v/>
      </c>
      <c r="M67" s="54">
        <f>'Sim Data'!$H$188</f>
        <v/>
      </c>
      <c r="N67" s="56">
        <f>D67*L67</f>
        <v/>
      </c>
      <c r="O67" s="49">
        <f>IF(MAX(M67,N67)&lt;0.5,"both ≈ 0",IF(N67=0,"no new arrivals",M67/N67))</f>
        <v/>
      </c>
      <c r="P67" s="48">
        <f>Q66</f>
        <v/>
      </c>
      <c r="Q67" s="48">
        <f>MAX(0,P67+D67*'Assumptions'!$B$47-G67*F67*('Assumptions'!$B$47-'Sim Data'!$L$188))</f>
        <v/>
      </c>
      <c r="R67" s="49">
        <f>(P67+Q67)/2/(G67*F67)</f>
        <v/>
      </c>
      <c r="S67" s="49">
        <f>IF(D67&gt;0,R67+(1+0.3^2)/2*(MIN(D67,0.95*G67*F67)/F67)/(F67-MIN(D67,0.95*G67*F67)),0)</f>
        <v/>
      </c>
      <c r="T67" s="59">
        <f>'Sim Data'!$J$188</f>
        <v/>
      </c>
      <c r="U67" s="14">
        <f>IF(D67=0,IF(P67&gt;0,"No new arrivals: the line left from earlier drains",""),IF(H67&gt;=1,"Over capacity: the line grows by about "&amp;TEXT((D67-G67*F67)*10,"0")&amp;" in 10 min (to "&amp;TEXT(Q67,"0")&amp;")",IF(P67&gt;=1,"Under capacity, but "&amp;TEXT(P67,"0")&amp;" were already in line: it drains to "&amp;TEXT(Q67,"0"),IF(ISNUMBER(O67),IF(ABS(O67-1)&lt;=0.2,"Steady: Little's Law holds",IF(O67&gt;1,"Draining a line left from earlier","Line still building")),"Hardly any line"))))</f>
        <v/>
      </c>
    </row>
    <row r="68" ht="21.95" customHeight="1">
      <c r="A68" s="14" t="inlineStr">
        <is>
          <t>With Smart Scan screens</t>
        </is>
      </c>
      <c r="B68" s="14" t="inlineStr">
        <is>
          <t>Central CT</t>
        </is>
      </c>
      <c r="C68" s="27" t="inlineStr">
        <is>
          <t>12:10</t>
        </is>
      </c>
      <c r="D68" s="54">
        <f>'Sim Data'!$E$189</f>
        <v/>
      </c>
      <c r="E68" s="55">
        <f>'Sim Data'!$G$189</f>
        <v/>
      </c>
      <c r="F68" s="56">
        <f>IF(E68&gt;0,1/E68,60/'Assumptions'!$B$16)</f>
        <v/>
      </c>
      <c r="G68" s="57">
        <f>'Assumptions'!$B$15</f>
        <v/>
      </c>
      <c r="H68" s="58">
        <f>D68/(G68*F68)</f>
        <v/>
      </c>
      <c r="I68" s="27">
        <f>IF(D68=0,"no arrivals",IF(H68&lt;0.85,"stable",IF(H68&lt;1,"near capacity","over capacity")))</f>
        <v/>
      </c>
      <c r="J68" s="49">
        <f>IF(AND(D68&gt;0,H68&lt;1),H68/(F68-D68),"—")</f>
        <v/>
      </c>
      <c r="K68" s="49">
        <f>IF(ISNUMBER(J68),(1+0.3^2)/2*J68,"—")</f>
        <v/>
      </c>
      <c r="L68" s="59">
        <f>'Sim Data'!$F$189</f>
        <v/>
      </c>
      <c r="M68" s="54">
        <f>'Sim Data'!$H$189</f>
        <v/>
      </c>
      <c r="N68" s="56">
        <f>D68*L68</f>
        <v/>
      </c>
      <c r="O68" s="49">
        <f>IF(MAX(M68,N68)&lt;0.5,"both ≈ 0",IF(N68=0,"no new arrivals",M68/N68))</f>
        <v/>
      </c>
      <c r="P68" s="48">
        <f>Q67</f>
        <v/>
      </c>
      <c r="Q68" s="48">
        <f>MAX(0,P68+D68*'Assumptions'!$B$47-G68*F68*('Assumptions'!$B$47-'Sim Data'!$L$189))</f>
        <v/>
      </c>
      <c r="R68" s="49">
        <f>(P68+Q68)/2/(G68*F68)</f>
        <v/>
      </c>
      <c r="S68" s="49">
        <f>IF(D68&gt;0,R68+(1+0.3^2)/2*(MIN(D68,0.95*G68*F68)/F68)/(F68-MIN(D68,0.95*G68*F68)),0)</f>
        <v/>
      </c>
      <c r="T68" s="59">
        <f>'Sim Data'!$J$189</f>
        <v/>
      </c>
      <c r="U68" s="14">
        <f>IF(D68=0,IF(P68&gt;0,"No new arrivals: the line left from earlier drains",""),IF(H68&gt;=1,"Over capacity: the line grows by about "&amp;TEXT((D68-G68*F68)*10,"0")&amp;" in 10 min (to "&amp;TEXT(Q68,"0")&amp;")",IF(P68&gt;=1,"Under capacity, but "&amp;TEXT(P68,"0")&amp;" were already in line: it drains to "&amp;TEXT(Q68,"0"),IF(ISNUMBER(O68),IF(ABS(O68-1)&lt;=0.2,"Steady: Little's Law holds",IF(O68&gt;1,"Draining a line left from earlier","Line still building")),"Hardly any line"))))</f>
        <v/>
      </c>
    </row>
    <row r="69" ht="21.95" customHeight="1">
      <c r="A69" s="14" t="inlineStr">
        <is>
          <t>With Smart Scan screens</t>
        </is>
      </c>
      <c r="B69" s="14" t="inlineStr">
        <is>
          <t>Central CT</t>
        </is>
      </c>
      <c r="C69" s="27" t="inlineStr">
        <is>
          <t>12:20</t>
        </is>
      </c>
      <c r="D69" s="54">
        <f>'Sim Data'!$E$190</f>
        <v/>
      </c>
      <c r="E69" s="55">
        <f>'Sim Data'!$G$190</f>
        <v/>
      </c>
      <c r="F69" s="56">
        <f>IF(E69&gt;0,1/E69,60/'Assumptions'!$B$16)</f>
        <v/>
      </c>
      <c r="G69" s="57">
        <f>'Assumptions'!$B$15</f>
        <v/>
      </c>
      <c r="H69" s="58">
        <f>D69/(G69*F69)</f>
        <v/>
      </c>
      <c r="I69" s="27">
        <f>IF(D69=0,"no arrivals",IF(H69&lt;0.85,"stable",IF(H69&lt;1,"near capacity","over capacity")))</f>
        <v/>
      </c>
      <c r="J69" s="49">
        <f>IF(AND(D69&gt;0,H69&lt;1),H69/(F69-D69),"—")</f>
        <v/>
      </c>
      <c r="K69" s="49">
        <f>IF(ISNUMBER(J69),(1+0.3^2)/2*J69,"—")</f>
        <v/>
      </c>
      <c r="L69" s="59">
        <f>'Sim Data'!$F$190</f>
        <v/>
      </c>
      <c r="M69" s="54">
        <f>'Sim Data'!$H$190</f>
        <v/>
      </c>
      <c r="N69" s="56">
        <f>D69*L69</f>
        <v/>
      </c>
      <c r="O69" s="49">
        <f>IF(MAX(M69,N69)&lt;0.5,"both ≈ 0",IF(N69=0,"no new arrivals",M69/N69))</f>
        <v/>
      </c>
      <c r="P69" s="48">
        <f>Q68</f>
        <v/>
      </c>
      <c r="Q69" s="48">
        <f>MAX(0,P69+D69*'Assumptions'!$B$47-G69*F69*('Assumptions'!$B$47-'Sim Data'!$L$190))</f>
        <v/>
      </c>
      <c r="R69" s="49">
        <f>(P69+Q69)/2/(G69*F69)</f>
        <v/>
      </c>
      <c r="S69" s="49">
        <f>IF(D69&gt;0,R69+(1+0.3^2)/2*(MIN(D69,0.95*G69*F69)/F69)/(F69-MIN(D69,0.95*G69*F69)),0)</f>
        <v/>
      </c>
      <c r="T69" s="59">
        <f>'Sim Data'!$J$190</f>
        <v/>
      </c>
      <c r="U69" s="14">
        <f>IF(D69=0,IF(P69&gt;0,"No new arrivals: the line left from earlier drains",""),IF(H69&gt;=1,"Over capacity: the line grows by about "&amp;TEXT((D69-G69*F69)*10,"0")&amp;" in 10 min (to "&amp;TEXT(Q69,"0")&amp;")",IF(P69&gt;=1,"Under capacity, but "&amp;TEXT(P69,"0")&amp;" were already in line: it drains to "&amp;TEXT(Q69,"0"),IF(ISNUMBER(O69),IF(ABS(O69-1)&lt;=0.2,"Steady: Little's Law holds",IF(O69&gt;1,"Draining a line left from earlier","Line still building")),"Hardly any line"))))</f>
        <v/>
      </c>
    </row>
    <row r="70" ht="21.95" customHeight="1">
      <c r="A70" s="14" t="inlineStr">
        <is>
          <t>With Smart Scan screens</t>
        </is>
      </c>
      <c r="B70" s="14" t="inlineStr">
        <is>
          <t>Central CT</t>
        </is>
      </c>
      <c r="C70" s="27" t="inlineStr">
        <is>
          <t>12:30</t>
        </is>
      </c>
      <c r="D70" s="54">
        <f>'Sim Data'!$E$191</f>
        <v/>
      </c>
      <c r="E70" s="55">
        <f>'Sim Data'!$G$191</f>
        <v/>
      </c>
      <c r="F70" s="56">
        <f>IF(E70&gt;0,1/E70,60/'Assumptions'!$B$16)</f>
        <v/>
      </c>
      <c r="G70" s="57">
        <f>'Assumptions'!$B$15</f>
        <v/>
      </c>
      <c r="H70" s="58">
        <f>D70/(G70*F70)</f>
        <v/>
      </c>
      <c r="I70" s="27">
        <f>IF(D70=0,"no arrivals",IF(H70&lt;0.85,"stable",IF(H70&lt;1,"near capacity","over capacity")))</f>
        <v/>
      </c>
      <c r="J70" s="49">
        <f>IF(AND(D70&gt;0,H70&lt;1),H70/(F70-D70),"—")</f>
        <v/>
      </c>
      <c r="K70" s="49">
        <f>IF(ISNUMBER(J70),(1+0.3^2)/2*J70,"—")</f>
        <v/>
      </c>
      <c r="L70" s="59">
        <f>'Sim Data'!$F$191</f>
        <v/>
      </c>
      <c r="M70" s="54">
        <f>'Sim Data'!$H$191</f>
        <v/>
      </c>
      <c r="N70" s="56">
        <f>D70*L70</f>
        <v/>
      </c>
      <c r="O70" s="49">
        <f>IF(MAX(M70,N70)&lt;0.5,"both ≈ 0",IF(N70=0,"no new arrivals",M70/N70))</f>
        <v/>
      </c>
      <c r="P70" s="48">
        <f>Q69</f>
        <v/>
      </c>
      <c r="Q70" s="48">
        <f>MAX(0,P70+D70*'Assumptions'!$B$47-G70*F70*('Assumptions'!$B$47-'Sim Data'!$L$191))</f>
        <v/>
      </c>
      <c r="R70" s="49">
        <f>(P70+Q70)/2/(G70*F70)</f>
        <v/>
      </c>
      <c r="S70" s="49">
        <f>IF(D70&gt;0,R70+(1+0.3^2)/2*(MIN(D70,0.95*G70*F70)/F70)/(F70-MIN(D70,0.95*G70*F70)),0)</f>
        <v/>
      </c>
      <c r="T70" s="59">
        <f>'Sim Data'!$J$191</f>
        <v/>
      </c>
      <c r="U70" s="14">
        <f>IF(D70=0,IF(P70&gt;0,"No new arrivals: the line left from earlier drains",""),IF(H70&gt;=1,"Over capacity: the line grows by about "&amp;TEXT((D70-G70*F70)*10,"0")&amp;" in 10 min (to "&amp;TEXT(Q70,"0")&amp;")",IF(P70&gt;=1,"Under capacity, but "&amp;TEXT(P70,"0")&amp;" were already in line: it drains to "&amp;TEXT(Q70,"0"),IF(ISNUMBER(O70),IF(ABS(O70-1)&lt;=0.2,"Steady: Little's Law holds",IF(O70&gt;1,"Draining a line left from earlier","Line still building")),"Hardly any line"))))</f>
        <v/>
      </c>
    </row>
    <row r="71" ht="21.95" customHeight="1">
      <c r="A71" s="14" t="inlineStr">
        <is>
          <t>With Smart Scan screens</t>
        </is>
      </c>
      <c r="B71" s="14" t="inlineStr">
        <is>
          <t>Central CT</t>
        </is>
      </c>
      <c r="C71" s="27" t="inlineStr">
        <is>
          <t>12:40</t>
        </is>
      </c>
      <c r="D71" s="54">
        <f>'Sim Data'!$E$192</f>
        <v/>
      </c>
      <c r="E71" s="55">
        <f>'Sim Data'!$G$192</f>
        <v/>
      </c>
      <c r="F71" s="56">
        <f>IF(E71&gt;0,1/E71,60/'Assumptions'!$B$16)</f>
        <v/>
      </c>
      <c r="G71" s="57">
        <f>'Assumptions'!$B$15</f>
        <v/>
      </c>
      <c r="H71" s="58">
        <f>D71/(G71*F71)</f>
        <v/>
      </c>
      <c r="I71" s="27">
        <f>IF(D71=0,"no arrivals",IF(H71&lt;0.85,"stable",IF(H71&lt;1,"near capacity","over capacity")))</f>
        <v/>
      </c>
      <c r="J71" s="49">
        <f>IF(AND(D71&gt;0,H71&lt;1),H71/(F71-D71),"—")</f>
        <v/>
      </c>
      <c r="K71" s="49">
        <f>IF(ISNUMBER(J71),(1+0.3^2)/2*J71,"—")</f>
        <v/>
      </c>
      <c r="L71" s="59">
        <f>'Sim Data'!$F$192</f>
        <v/>
      </c>
      <c r="M71" s="54">
        <f>'Sim Data'!$H$192</f>
        <v/>
      </c>
      <c r="N71" s="56">
        <f>D71*L71</f>
        <v/>
      </c>
      <c r="O71" s="49">
        <f>IF(MAX(M71,N71)&lt;0.5,"both ≈ 0",IF(N71=0,"no new arrivals",M71/N71))</f>
        <v/>
      </c>
      <c r="P71" s="48">
        <f>Q70</f>
        <v/>
      </c>
      <c r="Q71" s="48">
        <f>MAX(0,P71+D71*'Assumptions'!$B$47-G71*F71*('Assumptions'!$B$47-'Sim Data'!$L$192))</f>
        <v/>
      </c>
      <c r="R71" s="49">
        <f>(P71+Q71)/2/(G71*F71)</f>
        <v/>
      </c>
      <c r="S71" s="49">
        <f>IF(D71&gt;0,R71+(1+0.3^2)/2*(MIN(D71,0.95*G71*F71)/F71)/(F71-MIN(D71,0.95*G71*F71)),0)</f>
        <v/>
      </c>
      <c r="T71" s="59">
        <f>'Sim Data'!$J$192</f>
        <v/>
      </c>
      <c r="U71" s="14">
        <f>IF(D71=0,IF(P71&gt;0,"No new arrivals: the line left from earlier drains",""),IF(H71&gt;=1,"Over capacity: the line grows by about "&amp;TEXT((D71-G71*F71)*10,"0")&amp;" in 10 min (to "&amp;TEXT(Q71,"0")&amp;")",IF(P71&gt;=1,"Under capacity, but "&amp;TEXT(P71,"0")&amp;" were already in line: it drains to "&amp;TEXT(Q71,"0"),IF(ISNUMBER(O71),IF(ABS(O71-1)&lt;=0.2,"Steady: Little's Law holds",IF(O71&gt;1,"Draining a line left from earlier","Line still building")),"Hardly any line"))))</f>
        <v/>
      </c>
    </row>
    <row r="72" ht="21.95" customHeight="1">
      <c r="A72" s="14" t="inlineStr">
        <is>
          <t>With Smart Scan screens</t>
        </is>
      </c>
      <c r="B72" s="14" t="inlineStr">
        <is>
          <t>Central CT</t>
        </is>
      </c>
      <c r="C72" s="27" t="inlineStr">
        <is>
          <t>12:50</t>
        </is>
      </c>
      <c r="D72" s="54">
        <f>'Sim Data'!$E$193</f>
        <v/>
      </c>
      <c r="E72" s="55">
        <f>'Sim Data'!$G$193</f>
        <v/>
      </c>
      <c r="F72" s="56">
        <f>IF(E72&gt;0,1/E72,60/'Assumptions'!$B$16)</f>
        <v/>
      </c>
      <c r="G72" s="57">
        <f>'Assumptions'!$B$15</f>
        <v/>
      </c>
      <c r="H72" s="58">
        <f>D72/(G72*F72)</f>
        <v/>
      </c>
      <c r="I72" s="27">
        <f>IF(D72=0,"no arrivals",IF(H72&lt;0.85,"stable",IF(H72&lt;1,"near capacity","over capacity")))</f>
        <v/>
      </c>
      <c r="J72" s="49">
        <f>IF(AND(D72&gt;0,H72&lt;1),H72/(F72-D72),"—")</f>
        <v/>
      </c>
      <c r="K72" s="49">
        <f>IF(ISNUMBER(J72),(1+0.3^2)/2*J72,"—")</f>
        <v/>
      </c>
      <c r="L72" s="59">
        <f>'Sim Data'!$F$193</f>
        <v/>
      </c>
      <c r="M72" s="54">
        <f>'Sim Data'!$H$193</f>
        <v/>
      </c>
      <c r="N72" s="56">
        <f>D72*L72</f>
        <v/>
      </c>
      <c r="O72" s="49">
        <f>IF(MAX(M72,N72)&lt;0.5,"both ≈ 0",IF(N72=0,"no new arrivals",M72/N72))</f>
        <v/>
      </c>
      <c r="P72" s="48">
        <f>Q71</f>
        <v/>
      </c>
      <c r="Q72" s="48">
        <f>MAX(0,P72+D72*'Assumptions'!$B$47-G72*F72*('Assumptions'!$B$47-'Sim Data'!$L$193))</f>
        <v/>
      </c>
      <c r="R72" s="49">
        <f>(P72+Q72)/2/(G72*F72)</f>
        <v/>
      </c>
      <c r="S72" s="49">
        <f>IF(D72&gt;0,R72+(1+0.3^2)/2*(MIN(D72,0.95*G72*F72)/F72)/(F72-MIN(D72,0.95*G72*F72)),0)</f>
        <v/>
      </c>
      <c r="T72" s="59">
        <f>'Sim Data'!$J$193</f>
        <v/>
      </c>
      <c r="U72" s="14">
        <f>IF(D72=0,IF(P72&gt;0,"No new arrivals: the line left from earlier drains",""),IF(H72&gt;=1,"Over capacity: the line grows by about "&amp;TEXT((D72-G72*F72)*10,"0")&amp;" in 10 min (to "&amp;TEXT(Q72,"0")&amp;")",IF(P72&gt;=1,"Under capacity, but "&amp;TEXT(P72,"0")&amp;" were already in line: it drains to "&amp;TEXT(Q72,"0"),IF(ISNUMBER(O72),IF(ABS(O72-1)&lt;=0.2,"Steady: Little's Law holds",IF(O72&gt;1,"Draining a line left from earlier","Line still building")),"Hardly any line"))))</f>
        <v/>
      </c>
    </row>
    <row r="73" ht="21.95" customHeight="1">
      <c r="A73" s="14" t="inlineStr">
        <is>
          <t>With Smart Scan screens</t>
        </is>
      </c>
      <c r="B73" s="14" t="inlineStr">
        <is>
          <t>Central CT</t>
        </is>
      </c>
      <c r="C73" s="27" t="inlineStr">
        <is>
          <t>13:00</t>
        </is>
      </c>
      <c r="D73" s="54">
        <f>'Sim Data'!$E$194</f>
        <v/>
      </c>
      <c r="E73" s="55">
        <f>'Sim Data'!$G$194</f>
        <v/>
      </c>
      <c r="F73" s="56">
        <f>IF(E73&gt;0,1/E73,60/'Assumptions'!$B$16)</f>
        <v/>
      </c>
      <c r="G73" s="57">
        <f>'Assumptions'!$B$15</f>
        <v/>
      </c>
      <c r="H73" s="58">
        <f>D73/(G73*F73)</f>
        <v/>
      </c>
      <c r="I73" s="27">
        <f>IF(D73=0,"no arrivals",IF(H73&lt;0.85,"stable",IF(H73&lt;1,"near capacity","over capacity")))</f>
        <v/>
      </c>
      <c r="J73" s="49">
        <f>IF(AND(D73&gt;0,H73&lt;1),H73/(F73-D73),"—")</f>
        <v/>
      </c>
      <c r="K73" s="49">
        <f>IF(ISNUMBER(J73),(1+0.3^2)/2*J73,"—")</f>
        <v/>
      </c>
      <c r="L73" s="59">
        <f>'Sim Data'!$F$194</f>
        <v/>
      </c>
      <c r="M73" s="54">
        <f>'Sim Data'!$H$194</f>
        <v/>
      </c>
      <c r="N73" s="56">
        <f>D73*L73</f>
        <v/>
      </c>
      <c r="O73" s="49">
        <f>IF(MAX(M73,N73)&lt;0.5,"both ≈ 0",IF(N73=0,"no new arrivals",M73/N73))</f>
        <v/>
      </c>
      <c r="P73" s="48">
        <f>Q72</f>
        <v/>
      </c>
      <c r="Q73" s="48">
        <f>MAX(0,P73+D73*'Assumptions'!$B$47-G73*F73*('Assumptions'!$B$47-'Sim Data'!$L$194))</f>
        <v/>
      </c>
      <c r="R73" s="49">
        <f>(P73+Q73)/2/(G73*F73)</f>
        <v/>
      </c>
      <c r="S73" s="49">
        <f>IF(D73&gt;0,R73+(1+0.3^2)/2*(MIN(D73,0.95*G73*F73)/F73)/(F73-MIN(D73,0.95*G73*F73)),0)</f>
        <v/>
      </c>
      <c r="T73" s="59">
        <f>'Sim Data'!$J$194</f>
        <v/>
      </c>
      <c r="U73" s="14">
        <f>IF(D73=0,IF(P73&gt;0,"No new arrivals: the line left from earlier drains",""),IF(H73&gt;=1,"Over capacity: the line grows by about "&amp;TEXT((D73-G73*F73)*10,"0")&amp;" in 10 min (to "&amp;TEXT(Q73,"0")&amp;")",IF(P73&gt;=1,"Under capacity, but "&amp;TEXT(P73,"0")&amp;" were already in line: it drains to "&amp;TEXT(Q73,"0"),IF(ISNUMBER(O73),IF(ABS(O73-1)&lt;=0.2,"Steady: Little's Law holds",IF(O73&gt;1,"Draining a line left from earlier","Line still building")),"Hardly any line"))))</f>
        <v/>
      </c>
    </row>
    <row r="74" ht="21.95" customHeight="1">
      <c r="A74" s="14" t="inlineStr">
        <is>
          <t>With Smart Scan screens</t>
        </is>
      </c>
      <c r="B74" s="14" t="inlineStr">
        <is>
          <t>Central CT</t>
        </is>
      </c>
      <c r="C74" s="27" t="inlineStr">
        <is>
          <t>13:10</t>
        </is>
      </c>
      <c r="D74" s="54">
        <f>'Sim Data'!$E$195</f>
        <v/>
      </c>
      <c r="E74" s="55">
        <f>'Sim Data'!$G$195</f>
        <v/>
      </c>
      <c r="F74" s="56">
        <f>IF(E74&gt;0,1/E74,60/'Assumptions'!$B$16)</f>
        <v/>
      </c>
      <c r="G74" s="57">
        <f>'Assumptions'!$B$15</f>
        <v/>
      </c>
      <c r="H74" s="58">
        <f>D74/(G74*F74)</f>
        <v/>
      </c>
      <c r="I74" s="27">
        <f>IF(D74=0,"no arrivals",IF(H74&lt;0.85,"stable",IF(H74&lt;1,"near capacity","over capacity")))</f>
        <v/>
      </c>
      <c r="J74" s="49">
        <f>IF(AND(D74&gt;0,H74&lt;1),H74/(F74-D74),"—")</f>
        <v/>
      </c>
      <c r="K74" s="49">
        <f>IF(ISNUMBER(J74),(1+0.3^2)/2*J74,"—")</f>
        <v/>
      </c>
      <c r="L74" s="59">
        <f>'Sim Data'!$F$195</f>
        <v/>
      </c>
      <c r="M74" s="54">
        <f>'Sim Data'!$H$195</f>
        <v/>
      </c>
      <c r="N74" s="56">
        <f>D74*L74</f>
        <v/>
      </c>
      <c r="O74" s="49">
        <f>IF(MAX(M74,N74)&lt;0.5,"both ≈ 0",IF(N74=0,"no new arrivals",M74/N74))</f>
        <v/>
      </c>
      <c r="P74" s="48">
        <f>Q73</f>
        <v/>
      </c>
      <c r="Q74" s="48">
        <f>MAX(0,P74+D74*'Assumptions'!$B$47-G74*F74*('Assumptions'!$B$47-'Sim Data'!$L$195))</f>
        <v/>
      </c>
      <c r="R74" s="49">
        <f>(P74+Q74)/2/(G74*F74)</f>
        <v/>
      </c>
      <c r="S74" s="49">
        <f>IF(D74&gt;0,R74+(1+0.3^2)/2*(MIN(D74,0.95*G74*F74)/F74)/(F74-MIN(D74,0.95*G74*F74)),0)</f>
        <v/>
      </c>
      <c r="T74" s="59">
        <f>'Sim Data'!$J$195</f>
        <v/>
      </c>
      <c r="U74" s="14">
        <f>IF(D74=0,IF(P74&gt;0,"No new arrivals: the line left from earlier drains",""),IF(H74&gt;=1,"Over capacity: the line grows by about "&amp;TEXT((D74-G74*F74)*10,"0")&amp;" in 10 min (to "&amp;TEXT(Q74,"0")&amp;")",IF(P74&gt;=1,"Under capacity, but "&amp;TEXT(P74,"0")&amp;" were already in line: it drains to "&amp;TEXT(Q74,"0"),IF(ISNUMBER(O74),IF(ABS(O74-1)&lt;=0.2,"Steady: Little's Law holds",IF(O74&gt;1,"Draining a line left from earlier","Line still building")),"Hardly any line"))))</f>
        <v/>
      </c>
    </row>
    <row r="75" ht="21.95" customHeight="1">
      <c r="A75" s="14" t="inlineStr">
        <is>
          <t>With Smart Scan screens</t>
        </is>
      </c>
      <c r="B75" s="14" t="inlineStr">
        <is>
          <t>Central CT</t>
        </is>
      </c>
      <c r="C75" s="27" t="inlineStr">
        <is>
          <t>13:20</t>
        </is>
      </c>
      <c r="D75" s="54">
        <f>'Sim Data'!$E$196</f>
        <v/>
      </c>
      <c r="E75" s="55">
        <f>'Sim Data'!$G$196</f>
        <v/>
      </c>
      <c r="F75" s="56">
        <f>IF(E75&gt;0,1/E75,60/'Assumptions'!$B$16)</f>
        <v/>
      </c>
      <c r="G75" s="57">
        <f>'Assumptions'!$B$15</f>
        <v/>
      </c>
      <c r="H75" s="58">
        <f>D75/(G75*F75)</f>
        <v/>
      </c>
      <c r="I75" s="27">
        <f>IF(D75=0,"no arrivals",IF(H75&lt;0.85,"stable",IF(H75&lt;1,"near capacity","over capacity")))</f>
        <v/>
      </c>
      <c r="J75" s="49">
        <f>IF(AND(D75&gt;0,H75&lt;1),H75/(F75-D75),"—")</f>
        <v/>
      </c>
      <c r="K75" s="49">
        <f>IF(ISNUMBER(J75),(1+0.3^2)/2*J75,"—")</f>
        <v/>
      </c>
      <c r="L75" s="59">
        <f>'Sim Data'!$F$196</f>
        <v/>
      </c>
      <c r="M75" s="54">
        <f>'Sim Data'!$H$196</f>
        <v/>
      </c>
      <c r="N75" s="56">
        <f>D75*L75</f>
        <v/>
      </c>
      <c r="O75" s="49">
        <f>IF(MAX(M75,N75)&lt;0.5,"both ≈ 0",IF(N75=0,"no new arrivals",M75/N75))</f>
        <v/>
      </c>
      <c r="P75" s="48">
        <f>Q74</f>
        <v/>
      </c>
      <c r="Q75" s="48">
        <f>MAX(0,P75+D75*'Assumptions'!$B$47-G75*F75*('Assumptions'!$B$47-'Sim Data'!$L$196))</f>
        <v/>
      </c>
      <c r="R75" s="49">
        <f>(P75+Q75)/2/(G75*F75)</f>
        <v/>
      </c>
      <c r="S75" s="49">
        <f>IF(D75&gt;0,R75+(1+0.3^2)/2*(MIN(D75,0.95*G75*F75)/F75)/(F75-MIN(D75,0.95*G75*F75)),0)</f>
        <v/>
      </c>
      <c r="T75" s="59">
        <f>'Sim Data'!$J$196</f>
        <v/>
      </c>
      <c r="U75" s="14">
        <f>IF(D75=0,IF(P75&gt;0,"No new arrivals: the line left from earlier drains",""),IF(H75&gt;=1,"Over capacity: the line grows by about "&amp;TEXT((D75-G75*F75)*10,"0")&amp;" in 10 min (to "&amp;TEXT(Q75,"0")&amp;")",IF(P75&gt;=1,"Under capacity, but "&amp;TEXT(P75,"0")&amp;" were already in line: it drains to "&amp;TEXT(Q75,"0"),IF(ISNUMBER(O75),IF(ABS(O75-1)&lt;=0.2,"Steady: Little's Law holds",IF(O75&gt;1,"Draining a line left from earlier","Line still building")),"Hardly any line"))))</f>
        <v/>
      </c>
    </row>
    <row r="76" ht="21.95" customHeight="1">
      <c r="A76" s="14" t="inlineStr">
        <is>
          <t>With Smart Scan screens</t>
        </is>
      </c>
      <c r="B76" s="14" t="inlineStr">
        <is>
          <t>Central CT</t>
        </is>
      </c>
      <c r="C76" s="27" t="inlineStr">
        <is>
          <t>13:30</t>
        </is>
      </c>
      <c r="D76" s="54">
        <f>'Sim Data'!$E$197</f>
        <v/>
      </c>
      <c r="E76" s="55">
        <f>'Sim Data'!$G$197</f>
        <v/>
      </c>
      <c r="F76" s="56">
        <f>IF(E76&gt;0,1/E76,60/'Assumptions'!$B$16)</f>
        <v/>
      </c>
      <c r="G76" s="57">
        <f>'Assumptions'!$B$15</f>
        <v/>
      </c>
      <c r="H76" s="58">
        <f>D76/(G76*F76)</f>
        <v/>
      </c>
      <c r="I76" s="27">
        <f>IF(D76=0,"no arrivals",IF(H76&lt;0.85,"stable",IF(H76&lt;1,"near capacity","over capacity")))</f>
        <v/>
      </c>
      <c r="J76" s="49">
        <f>IF(AND(D76&gt;0,H76&lt;1),H76/(F76-D76),"—")</f>
        <v/>
      </c>
      <c r="K76" s="49">
        <f>IF(ISNUMBER(J76),(1+0.3^2)/2*J76,"—")</f>
        <v/>
      </c>
      <c r="L76" s="59">
        <f>'Sim Data'!$F$197</f>
        <v/>
      </c>
      <c r="M76" s="54">
        <f>'Sim Data'!$H$197</f>
        <v/>
      </c>
      <c r="N76" s="56">
        <f>D76*L76</f>
        <v/>
      </c>
      <c r="O76" s="49">
        <f>IF(MAX(M76,N76)&lt;0.5,"both ≈ 0",IF(N76=0,"no new arrivals",M76/N76))</f>
        <v/>
      </c>
      <c r="P76" s="48">
        <f>Q75</f>
        <v/>
      </c>
      <c r="Q76" s="48">
        <f>MAX(0,P76+D76*'Assumptions'!$B$47-G76*F76*('Assumptions'!$B$47-'Sim Data'!$L$197))</f>
        <v/>
      </c>
      <c r="R76" s="49">
        <f>(P76+Q76)/2/(G76*F76)</f>
        <v/>
      </c>
      <c r="S76" s="49">
        <f>IF(D76&gt;0,R76+(1+0.3^2)/2*(MIN(D76,0.95*G76*F76)/F76)/(F76-MIN(D76,0.95*G76*F76)),0)</f>
        <v/>
      </c>
      <c r="T76" s="59">
        <f>'Sim Data'!$J$197</f>
        <v/>
      </c>
      <c r="U76" s="14">
        <f>IF(D76=0,IF(P76&gt;0,"No new arrivals: the line left from earlier drains",""),IF(H76&gt;=1,"Over capacity: the line grows by about "&amp;TEXT((D76-G76*F76)*10,"0")&amp;" in 10 min (to "&amp;TEXT(Q76,"0")&amp;")",IF(P76&gt;=1,"Under capacity, but "&amp;TEXT(P76,"0")&amp;" were already in line: it drains to "&amp;TEXT(Q76,"0"),IF(ISNUMBER(O76),IF(ABS(O76-1)&lt;=0.2,"Steady: Little's Law holds",IF(O76&gt;1,"Draining a line left from earlier","Line still building")),"Hardly any line"))))</f>
        <v/>
      </c>
    </row>
    <row r="77" ht="21.95" customHeight="1">
      <c r="A77" s="14" t="inlineStr">
        <is>
          <t>With Smart Scan screens</t>
        </is>
      </c>
      <c r="B77" s="14" t="inlineStr">
        <is>
          <t>Central CT</t>
        </is>
      </c>
      <c r="C77" s="27" t="inlineStr">
        <is>
          <t>13:40</t>
        </is>
      </c>
      <c r="D77" s="54">
        <f>'Sim Data'!$E$198</f>
        <v/>
      </c>
      <c r="E77" s="55">
        <f>'Sim Data'!$G$198</f>
        <v/>
      </c>
      <c r="F77" s="56">
        <f>IF(E77&gt;0,1/E77,60/'Assumptions'!$B$16)</f>
        <v/>
      </c>
      <c r="G77" s="57">
        <f>'Assumptions'!$B$15</f>
        <v/>
      </c>
      <c r="H77" s="58">
        <f>D77/(G77*F77)</f>
        <v/>
      </c>
      <c r="I77" s="27">
        <f>IF(D77=0,"no arrivals",IF(H77&lt;0.85,"stable",IF(H77&lt;1,"near capacity","over capacity")))</f>
        <v/>
      </c>
      <c r="J77" s="49">
        <f>IF(AND(D77&gt;0,H77&lt;1),H77/(F77-D77),"—")</f>
        <v/>
      </c>
      <c r="K77" s="49">
        <f>IF(ISNUMBER(J77),(1+0.3^2)/2*J77,"—")</f>
        <v/>
      </c>
      <c r="L77" s="59">
        <f>'Sim Data'!$F$198</f>
        <v/>
      </c>
      <c r="M77" s="54">
        <f>'Sim Data'!$H$198</f>
        <v/>
      </c>
      <c r="N77" s="56">
        <f>D77*L77</f>
        <v/>
      </c>
      <c r="O77" s="49">
        <f>IF(MAX(M77,N77)&lt;0.5,"both ≈ 0",IF(N77=0,"no new arrivals",M77/N77))</f>
        <v/>
      </c>
      <c r="P77" s="48">
        <f>Q76</f>
        <v/>
      </c>
      <c r="Q77" s="48">
        <f>MAX(0,P77+D77*'Assumptions'!$B$47-G77*F77*('Assumptions'!$B$47-'Sim Data'!$L$198))</f>
        <v/>
      </c>
      <c r="R77" s="49">
        <f>(P77+Q77)/2/(G77*F77)</f>
        <v/>
      </c>
      <c r="S77" s="49">
        <f>IF(D77&gt;0,R77+(1+0.3^2)/2*(MIN(D77,0.95*G77*F77)/F77)/(F77-MIN(D77,0.95*G77*F77)),0)</f>
        <v/>
      </c>
      <c r="T77" s="59">
        <f>'Sim Data'!$J$198</f>
        <v/>
      </c>
      <c r="U77" s="14">
        <f>IF(D77=0,IF(P77&gt;0,"No new arrivals: the line left from earlier drains",""),IF(H77&gt;=1,"Over capacity: the line grows by about "&amp;TEXT((D77-G77*F77)*10,"0")&amp;" in 10 min (to "&amp;TEXT(Q77,"0")&amp;")",IF(P77&gt;=1,"Under capacity, but "&amp;TEXT(P77,"0")&amp;" were already in line: it drains to "&amp;TEXT(Q77,"0"),IF(ISNUMBER(O77),IF(ABS(O77-1)&lt;=0.2,"Steady: Little's Law holds",IF(O77&gt;1,"Draining a line left from earlier","Line still building")),"Hardly any line"))))</f>
        <v/>
      </c>
    </row>
    <row r="78" ht="21.95" customHeight="1">
      <c r="A78" s="14" t="inlineStr">
        <is>
          <t>With Smart Scan screens</t>
        </is>
      </c>
      <c r="B78" s="14" t="inlineStr">
        <is>
          <t>Central CT</t>
        </is>
      </c>
      <c r="C78" s="27" t="inlineStr">
        <is>
          <t>13:50</t>
        </is>
      </c>
      <c r="D78" s="54">
        <f>'Sim Data'!$E$199</f>
        <v/>
      </c>
      <c r="E78" s="55">
        <f>'Sim Data'!$G$199</f>
        <v/>
      </c>
      <c r="F78" s="56">
        <f>IF(E78&gt;0,1/E78,60/'Assumptions'!$B$16)</f>
        <v/>
      </c>
      <c r="G78" s="57">
        <f>'Assumptions'!$B$15</f>
        <v/>
      </c>
      <c r="H78" s="58">
        <f>D78/(G78*F78)</f>
        <v/>
      </c>
      <c r="I78" s="27">
        <f>IF(D78=0,"no arrivals",IF(H78&lt;0.85,"stable",IF(H78&lt;1,"near capacity","over capacity")))</f>
        <v/>
      </c>
      <c r="J78" s="49">
        <f>IF(AND(D78&gt;0,H78&lt;1),H78/(F78-D78),"—")</f>
        <v/>
      </c>
      <c r="K78" s="49">
        <f>IF(ISNUMBER(J78),(1+0.3^2)/2*J78,"—")</f>
        <v/>
      </c>
      <c r="L78" s="59">
        <f>'Sim Data'!$F$199</f>
        <v/>
      </c>
      <c r="M78" s="54">
        <f>'Sim Data'!$H$199</f>
        <v/>
      </c>
      <c r="N78" s="56">
        <f>D78*L78</f>
        <v/>
      </c>
      <c r="O78" s="49">
        <f>IF(MAX(M78,N78)&lt;0.5,"both ≈ 0",IF(N78=0,"no new arrivals",M78/N78))</f>
        <v/>
      </c>
      <c r="P78" s="48">
        <f>Q77</f>
        <v/>
      </c>
      <c r="Q78" s="48">
        <f>MAX(0,P78+D78*'Assumptions'!$B$47-G78*F78*('Assumptions'!$B$47-'Sim Data'!$L$199))</f>
        <v/>
      </c>
      <c r="R78" s="49">
        <f>(P78+Q78)/2/(G78*F78)</f>
        <v/>
      </c>
      <c r="S78" s="49">
        <f>IF(D78&gt;0,R78+(1+0.3^2)/2*(MIN(D78,0.95*G78*F78)/F78)/(F78-MIN(D78,0.95*G78*F78)),0)</f>
        <v/>
      </c>
      <c r="T78" s="59">
        <f>'Sim Data'!$J$199</f>
        <v/>
      </c>
      <c r="U78" s="14">
        <f>IF(D78=0,IF(P78&gt;0,"No new arrivals: the line left from earlier drains",""),IF(H78&gt;=1,"Over capacity: the line grows by about "&amp;TEXT((D78-G78*F78)*10,"0")&amp;" in 10 min (to "&amp;TEXT(Q78,"0")&amp;")",IF(P78&gt;=1,"Under capacity, but "&amp;TEXT(P78,"0")&amp;" were already in line: it drains to "&amp;TEXT(Q78,"0"),IF(ISNUMBER(O78),IF(ABS(O78-1)&lt;=0.2,"Steady: Little's Law holds",IF(O78&gt;1,"Draining a line left from earlier","Line still building")),"Hardly any line"))))</f>
        <v/>
      </c>
    </row>
    <row r="79" ht="21.95" customHeight="1">
      <c r="A79" s="14" t="inlineStr">
        <is>
          <t>With Smart Scan screens</t>
        </is>
      </c>
      <c r="B79" s="14" t="inlineStr">
        <is>
          <t>Central CT</t>
        </is>
      </c>
      <c r="C79" s="27" t="inlineStr">
        <is>
          <t>14:00</t>
        </is>
      </c>
      <c r="D79" s="54">
        <f>'Sim Data'!$E$200</f>
        <v/>
      </c>
      <c r="E79" s="55">
        <f>'Sim Data'!$G$200</f>
        <v/>
      </c>
      <c r="F79" s="56">
        <f>IF(E79&gt;0,1/E79,60/'Assumptions'!$B$16)</f>
        <v/>
      </c>
      <c r="G79" s="57">
        <f>'Assumptions'!$B$15</f>
        <v/>
      </c>
      <c r="H79" s="58">
        <f>D79/(G79*F79)</f>
        <v/>
      </c>
      <c r="I79" s="27">
        <f>IF(D79=0,"no arrivals",IF(H79&lt;0.85,"stable",IF(H79&lt;1,"near capacity","over capacity")))</f>
        <v/>
      </c>
      <c r="J79" s="49">
        <f>IF(AND(D79&gt;0,H79&lt;1),H79/(F79-D79),"—")</f>
        <v/>
      </c>
      <c r="K79" s="49">
        <f>IF(ISNUMBER(J79),(1+0.3^2)/2*J79,"—")</f>
        <v/>
      </c>
      <c r="L79" s="59">
        <f>'Sim Data'!$F$200</f>
        <v/>
      </c>
      <c r="M79" s="54">
        <f>'Sim Data'!$H$200</f>
        <v/>
      </c>
      <c r="N79" s="56">
        <f>D79*L79</f>
        <v/>
      </c>
      <c r="O79" s="49">
        <f>IF(MAX(M79,N79)&lt;0.5,"both ≈ 0",IF(N79=0,"no new arrivals",M79/N79))</f>
        <v/>
      </c>
      <c r="P79" s="48">
        <f>Q78</f>
        <v/>
      </c>
      <c r="Q79" s="48">
        <f>MAX(0,P79+D79*'Assumptions'!$B$47-G79*F79*('Assumptions'!$B$47-'Sim Data'!$L$200))</f>
        <v/>
      </c>
      <c r="R79" s="49">
        <f>(P79+Q79)/2/(G79*F79)</f>
        <v/>
      </c>
      <c r="S79" s="49">
        <f>IF(D79&gt;0,R79+(1+0.3^2)/2*(MIN(D79,0.95*G79*F79)/F79)/(F79-MIN(D79,0.95*G79*F79)),0)</f>
        <v/>
      </c>
      <c r="T79" s="59">
        <f>'Sim Data'!$J$200</f>
        <v/>
      </c>
      <c r="U79" s="14">
        <f>IF(D79=0,IF(P79&gt;0,"No new arrivals: the line left from earlier drains",""),IF(H79&gt;=1,"Over capacity: the line grows by about "&amp;TEXT((D79-G79*F79)*10,"0")&amp;" in 10 min (to "&amp;TEXT(Q79,"0")&amp;")",IF(P79&gt;=1,"Under capacity, but "&amp;TEXT(P79,"0")&amp;" were already in line: it drains to "&amp;TEXT(Q79,"0"),IF(ISNUMBER(O79),IF(ABS(O79-1)&lt;=0.2,"Steady: Little's Law holds",IF(O79&gt;1,"Draining a line left from earlier","Line still building")),"Hardly any line"))))</f>
        <v/>
      </c>
    </row>
    <row r="80" ht="21.95" customHeight="1">
      <c r="A80" s="14" t="inlineStr">
        <is>
          <t>With Smart Scan screens</t>
        </is>
      </c>
      <c r="B80" s="14" t="inlineStr">
        <is>
          <t>Central CT</t>
        </is>
      </c>
      <c r="C80" s="27" t="inlineStr">
        <is>
          <t>14:10</t>
        </is>
      </c>
      <c r="D80" s="54">
        <f>'Sim Data'!$E$201</f>
        <v/>
      </c>
      <c r="E80" s="55">
        <f>'Sim Data'!$G$201</f>
        <v/>
      </c>
      <c r="F80" s="56">
        <f>IF(E80&gt;0,1/E80,60/'Assumptions'!$B$16)</f>
        <v/>
      </c>
      <c r="G80" s="57">
        <f>'Assumptions'!$B$15</f>
        <v/>
      </c>
      <c r="H80" s="58">
        <f>D80/(G80*F80)</f>
        <v/>
      </c>
      <c r="I80" s="27">
        <f>IF(D80=0,"no arrivals",IF(H80&lt;0.85,"stable",IF(H80&lt;1,"near capacity","over capacity")))</f>
        <v/>
      </c>
      <c r="J80" s="49">
        <f>IF(AND(D80&gt;0,H80&lt;1),H80/(F80-D80),"—")</f>
        <v/>
      </c>
      <c r="K80" s="49">
        <f>IF(ISNUMBER(J80),(1+0.3^2)/2*J80,"—")</f>
        <v/>
      </c>
      <c r="L80" s="59">
        <f>'Sim Data'!$F$201</f>
        <v/>
      </c>
      <c r="M80" s="54">
        <f>'Sim Data'!$H$201</f>
        <v/>
      </c>
      <c r="N80" s="56">
        <f>D80*L80</f>
        <v/>
      </c>
      <c r="O80" s="49">
        <f>IF(MAX(M80,N80)&lt;0.5,"both ≈ 0",IF(N80=0,"no new arrivals",M80/N80))</f>
        <v/>
      </c>
      <c r="P80" s="48">
        <f>Q79</f>
        <v/>
      </c>
      <c r="Q80" s="48">
        <f>MAX(0,P80+D80*'Assumptions'!$B$47-G80*F80*('Assumptions'!$B$47-'Sim Data'!$L$201))</f>
        <v/>
      </c>
      <c r="R80" s="49">
        <f>(P80+Q80)/2/(G80*F80)</f>
        <v/>
      </c>
      <c r="S80" s="49">
        <f>IF(D80&gt;0,R80+(1+0.3^2)/2*(MIN(D80,0.95*G80*F80)/F80)/(F80-MIN(D80,0.95*G80*F80)),0)</f>
        <v/>
      </c>
      <c r="T80" s="59">
        <f>'Sim Data'!$J$201</f>
        <v/>
      </c>
      <c r="U80" s="14">
        <f>IF(D80=0,IF(P80&gt;0,"No new arrivals: the line left from earlier drains",""),IF(H80&gt;=1,"Over capacity: the line grows by about "&amp;TEXT((D80-G80*F80)*10,"0")&amp;" in 10 min (to "&amp;TEXT(Q80,"0")&amp;")",IF(P80&gt;=1,"Under capacity, but "&amp;TEXT(P80,"0")&amp;" were already in line: it drains to "&amp;TEXT(Q80,"0"),IF(ISNUMBER(O80),IF(ABS(O80-1)&lt;=0.2,"Steady: Little's Law holds",IF(O80&gt;1,"Draining a line left from earlier","Line still building")),"Hardly any line"))))</f>
        <v/>
      </c>
    </row>
    <row r="81" ht="21.95" customHeight="1">
      <c r="A81" s="14" t="inlineStr">
        <is>
          <t>With Smart Scan screens</t>
        </is>
      </c>
      <c r="B81" s="14" t="inlineStr">
        <is>
          <t>Central CT</t>
        </is>
      </c>
      <c r="C81" s="27" t="inlineStr">
        <is>
          <t>14:20</t>
        </is>
      </c>
      <c r="D81" s="54">
        <f>'Sim Data'!$E$202</f>
        <v/>
      </c>
      <c r="E81" s="55">
        <f>'Sim Data'!$G$202</f>
        <v/>
      </c>
      <c r="F81" s="56">
        <f>IF(E81&gt;0,1/E81,60/'Assumptions'!$B$16)</f>
        <v/>
      </c>
      <c r="G81" s="57">
        <f>'Assumptions'!$B$15</f>
        <v/>
      </c>
      <c r="H81" s="58">
        <f>D81/(G81*F81)</f>
        <v/>
      </c>
      <c r="I81" s="27">
        <f>IF(D81=0,"no arrivals",IF(H81&lt;0.85,"stable",IF(H81&lt;1,"near capacity","over capacity")))</f>
        <v/>
      </c>
      <c r="J81" s="49">
        <f>IF(AND(D81&gt;0,H81&lt;1),H81/(F81-D81),"—")</f>
        <v/>
      </c>
      <c r="K81" s="49">
        <f>IF(ISNUMBER(J81),(1+0.3^2)/2*J81,"—")</f>
        <v/>
      </c>
      <c r="L81" s="59">
        <f>'Sim Data'!$F$202</f>
        <v/>
      </c>
      <c r="M81" s="54">
        <f>'Sim Data'!$H$202</f>
        <v/>
      </c>
      <c r="N81" s="56">
        <f>D81*L81</f>
        <v/>
      </c>
      <c r="O81" s="49">
        <f>IF(MAX(M81,N81)&lt;0.5,"both ≈ 0",IF(N81=0,"no new arrivals",M81/N81))</f>
        <v/>
      </c>
      <c r="P81" s="48">
        <f>Q80</f>
        <v/>
      </c>
      <c r="Q81" s="48">
        <f>MAX(0,P81+D81*'Assumptions'!$B$47-G81*F81*('Assumptions'!$B$47-'Sim Data'!$L$202))</f>
        <v/>
      </c>
      <c r="R81" s="49">
        <f>(P81+Q81)/2/(G81*F81)</f>
        <v/>
      </c>
      <c r="S81" s="49">
        <f>IF(D81&gt;0,R81+(1+0.3^2)/2*(MIN(D81,0.95*G81*F81)/F81)/(F81-MIN(D81,0.95*G81*F81)),0)</f>
        <v/>
      </c>
      <c r="T81" s="59">
        <f>'Sim Data'!$J$202</f>
        <v/>
      </c>
      <c r="U81" s="14">
        <f>IF(D81=0,IF(P81&gt;0,"No new arrivals: the line left from earlier drains",""),IF(H81&gt;=1,"Over capacity: the line grows by about "&amp;TEXT((D81-G81*F81)*10,"0")&amp;" in 10 min (to "&amp;TEXT(Q81,"0")&amp;")",IF(P81&gt;=1,"Under capacity, but "&amp;TEXT(P81,"0")&amp;" were already in line: it drains to "&amp;TEXT(Q81,"0"),IF(ISNUMBER(O81),IF(ABS(O81-1)&lt;=0.2,"Steady: Little's Law holds",IF(O81&gt;1,"Draining a line left from earlier","Line still building")),"Hardly any line"))))</f>
        <v/>
      </c>
    </row>
    <row r="82" ht="21.95" customHeight="1">
      <c r="A82" s="14" t="inlineStr">
        <is>
          <t>With Smart Scan screens</t>
        </is>
      </c>
      <c r="B82" s="14" t="inlineStr">
        <is>
          <t>Munch Mess</t>
        </is>
      </c>
      <c r="C82" s="27" t="inlineStr">
        <is>
          <t>11:30</t>
        </is>
      </c>
      <c r="D82" s="54">
        <f>'Sim Data'!$E$275</f>
        <v/>
      </c>
      <c r="E82" s="55">
        <f>'Sim Data'!$G$275</f>
        <v/>
      </c>
      <c r="F82" s="56">
        <f>IF(E82&gt;0,1/E82,60/'Assumptions'!$B$16)</f>
        <v/>
      </c>
      <c r="G82" s="57">
        <f>'Assumptions'!$B$15</f>
        <v/>
      </c>
      <c r="H82" s="58">
        <f>D82/(G82*F82)</f>
        <v/>
      </c>
      <c r="I82" s="27">
        <f>IF(D82=0,"no arrivals",IF(H82&lt;0.85,"stable",IF(H82&lt;1,"near capacity","over capacity")))</f>
        <v/>
      </c>
      <c r="J82" s="49">
        <f>IF(AND(D82&gt;0,H82&lt;1),H82/(F82-D82),"—")</f>
        <v/>
      </c>
      <c r="K82" s="49">
        <f>IF(ISNUMBER(J82),(1+0.3^2)/2*J82,"—")</f>
        <v/>
      </c>
      <c r="L82" s="59">
        <f>'Sim Data'!$F$275</f>
        <v/>
      </c>
      <c r="M82" s="54">
        <f>'Sim Data'!$H$275</f>
        <v/>
      </c>
      <c r="N82" s="56">
        <f>D82*L82</f>
        <v/>
      </c>
      <c r="O82" s="49">
        <f>IF(MAX(M82,N82)&lt;0.5,"both ≈ 0",IF(N82=0,"no new arrivals",M82/N82))</f>
        <v/>
      </c>
      <c r="P82" s="48">
        <f>0</f>
        <v/>
      </c>
      <c r="Q82" s="48">
        <f>MAX(0,P82+D82*'Assumptions'!$B$47-G82*F82*('Assumptions'!$B$47-'Sim Data'!$L$275))</f>
        <v/>
      </c>
      <c r="R82" s="49">
        <f>(P82+Q82)/2/(G82*F82)</f>
        <v/>
      </c>
      <c r="S82" s="49">
        <f>IF(D82&gt;0,R82+(1+0.3^2)/2*(MIN(D82,0.95*G82*F82)/F82)/(F82-MIN(D82,0.95*G82*F82)),0)</f>
        <v/>
      </c>
      <c r="T82" s="59">
        <f>'Sim Data'!$J$275</f>
        <v/>
      </c>
      <c r="U82" s="14">
        <f>IF(D82=0,IF(P82&gt;0,"No new arrivals: the line left from earlier drains",""),IF(H82&gt;=1,"Over capacity: the line grows by about "&amp;TEXT((D82-G82*F82)*10,"0")&amp;" in 10 min (to "&amp;TEXT(Q82,"0")&amp;")",IF(P82&gt;=1,"Under capacity, but "&amp;TEXT(P82,"0")&amp;" were already in line: it drains to "&amp;TEXT(Q82,"0"),IF(ISNUMBER(O82),IF(ABS(O82-1)&lt;=0.2,"Steady: Little's Law holds",IF(O82&gt;1,"Draining a line left from earlier","Line still building")),"Hardly any line"))))</f>
        <v/>
      </c>
    </row>
    <row r="83" ht="21.95" customHeight="1">
      <c r="A83" s="14" t="inlineStr">
        <is>
          <t>With Smart Scan screens</t>
        </is>
      </c>
      <c r="B83" s="14" t="inlineStr">
        <is>
          <t>Munch Mess</t>
        </is>
      </c>
      <c r="C83" s="27" t="inlineStr">
        <is>
          <t>11:40</t>
        </is>
      </c>
      <c r="D83" s="54">
        <f>'Sim Data'!$E$276</f>
        <v/>
      </c>
      <c r="E83" s="55">
        <f>'Sim Data'!$G$276</f>
        <v/>
      </c>
      <c r="F83" s="56">
        <f>IF(E83&gt;0,1/E83,60/'Assumptions'!$B$16)</f>
        <v/>
      </c>
      <c r="G83" s="57">
        <f>'Assumptions'!$B$15</f>
        <v/>
      </c>
      <c r="H83" s="58">
        <f>D83/(G83*F83)</f>
        <v/>
      </c>
      <c r="I83" s="27">
        <f>IF(D83=0,"no arrivals",IF(H83&lt;0.85,"stable",IF(H83&lt;1,"near capacity","over capacity")))</f>
        <v/>
      </c>
      <c r="J83" s="49">
        <f>IF(AND(D83&gt;0,H83&lt;1),H83/(F83-D83),"—")</f>
        <v/>
      </c>
      <c r="K83" s="49">
        <f>IF(ISNUMBER(J83),(1+0.3^2)/2*J83,"—")</f>
        <v/>
      </c>
      <c r="L83" s="59">
        <f>'Sim Data'!$F$276</f>
        <v/>
      </c>
      <c r="M83" s="54">
        <f>'Sim Data'!$H$276</f>
        <v/>
      </c>
      <c r="N83" s="56">
        <f>D83*L83</f>
        <v/>
      </c>
      <c r="O83" s="49">
        <f>IF(MAX(M83,N83)&lt;0.5,"both ≈ 0",IF(N83=0,"no new arrivals",M83/N83))</f>
        <v/>
      </c>
      <c r="P83" s="48">
        <f>Q82</f>
        <v/>
      </c>
      <c r="Q83" s="48">
        <f>MAX(0,P83+D83*'Assumptions'!$B$47-G83*F83*('Assumptions'!$B$47-'Sim Data'!$L$276))</f>
        <v/>
      </c>
      <c r="R83" s="49">
        <f>(P83+Q83)/2/(G83*F83)</f>
        <v/>
      </c>
      <c r="S83" s="49">
        <f>IF(D83&gt;0,R83+(1+0.3^2)/2*(MIN(D83,0.95*G83*F83)/F83)/(F83-MIN(D83,0.95*G83*F83)),0)</f>
        <v/>
      </c>
      <c r="T83" s="59">
        <f>'Sim Data'!$J$276</f>
        <v/>
      </c>
      <c r="U83" s="14">
        <f>IF(D83=0,IF(P83&gt;0,"No new arrivals: the line left from earlier drains",""),IF(H83&gt;=1,"Over capacity: the line grows by about "&amp;TEXT((D83-G83*F83)*10,"0")&amp;" in 10 min (to "&amp;TEXT(Q83,"0")&amp;")",IF(P83&gt;=1,"Under capacity, but "&amp;TEXT(P83,"0")&amp;" were already in line: it drains to "&amp;TEXT(Q83,"0"),IF(ISNUMBER(O83),IF(ABS(O83-1)&lt;=0.2,"Steady: Little's Law holds",IF(O83&gt;1,"Draining a line left from earlier","Line still building")),"Hardly any line"))))</f>
        <v/>
      </c>
    </row>
    <row r="84" ht="21.95" customHeight="1">
      <c r="A84" s="14" t="inlineStr">
        <is>
          <t>With Smart Scan screens</t>
        </is>
      </c>
      <c r="B84" s="14" t="inlineStr">
        <is>
          <t>Munch Mess</t>
        </is>
      </c>
      <c r="C84" s="27" t="inlineStr">
        <is>
          <t>11:50</t>
        </is>
      </c>
      <c r="D84" s="54">
        <f>'Sim Data'!$E$277</f>
        <v/>
      </c>
      <c r="E84" s="55">
        <f>'Sim Data'!$G$277</f>
        <v/>
      </c>
      <c r="F84" s="56">
        <f>IF(E84&gt;0,1/E84,60/'Assumptions'!$B$16)</f>
        <v/>
      </c>
      <c r="G84" s="57">
        <f>'Assumptions'!$B$15</f>
        <v/>
      </c>
      <c r="H84" s="58">
        <f>D84/(G84*F84)</f>
        <v/>
      </c>
      <c r="I84" s="27">
        <f>IF(D84=0,"no arrivals",IF(H84&lt;0.85,"stable",IF(H84&lt;1,"near capacity","over capacity")))</f>
        <v/>
      </c>
      <c r="J84" s="49">
        <f>IF(AND(D84&gt;0,H84&lt;1),H84/(F84-D84),"—")</f>
        <v/>
      </c>
      <c r="K84" s="49">
        <f>IF(ISNUMBER(J84),(1+0.3^2)/2*J84,"—")</f>
        <v/>
      </c>
      <c r="L84" s="59">
        <f>'Sim Data'!$F$277</f>
        <v/>
      </c>
      <c r="M84" s="54">
        <f>'Sim Data'!$H$277</f>
        <v/>
      </c>
      <c r="N84" s="56">
        <f>D84*L84</f>
        <v/>
      </c>
      <c r="O84" s="49">
        <f>IF(MAX(M84,N84)&lt;0.5,"both ≈ 0",IF(N84=0,"no new arrivals",M84/N84))</f>
        <v/>
      </c>
      <c r="P84" s="48">
        <f>Q83</f>
        <v/>
      </c>
      <c r="Q84" s="48">
        <f>MAX(0,P84+D84*'Assumptions'!$B$47-G84*F84*('Assumptions'!$B$47-'Sim Data'!$L$277))</f>
        <v/>
      </c>
      <c r="R84" s="49">
        <f>(P84+Q84)/2/(G84*F84)</f>
        <v/>
      </c>
      <c r="S84" s="49">
        <f>IF(D84&gt;0,R84+(1+0.3^2)/2*(MIN(D84,0.95*G84*F84)/F84)/(F84-MIN(D84,0.95*G84*F84)),0)</f>
        <v/>
      </c>
      <c r="T84" s="59">
        <f>'Sim Data'!$J$277</f>
        <v/>
      </c>
      <c r="U84" s="14">
        <f>IF(D84=0,IF(P84&gt;0,"No new arrivals: the line left from earlier drains",""),IF(H84&gt;=1,"Over capacity: the line grows by about "&amp;TEXT((D84-G84*F84)*10,"0")&amp;" in 10 min (to "&amp;TEXT(Q84,"0")&amp;")",IF(P84&gt;=1,"Under capacity, but "&amp;TEXT(P84,"0")&amp;" were already in line: it drains to "&amp;TEXT(Q84,"0"),IF(ISNUMBER(O84),IF(ABS(O84-1)&lt;=0.2,"Steady: Little's Law holds",IF(O84&gt;1,"Draining a line left from earlier","Line still building")),"Hardly any line"))))</f>
        <v/>
      </c>
    </row>
    <row r="85" ht="21.95" customHeight="1">
      <c r="A85" s="14" t="inlineStr">
        <is>
          <t>With Smart Scan screens</t>
        </is>
      </c>
      <c r="B85" s="14" t="inlineStr">
        <is>
          <t>Munch Mess</t>
        </is>
      </c>
      <c r="C85" s="27" t="inlineStr">
        <is>
          <t>12:00</t>
        </is>
      </c>
      <c r="D85" s="54">
        <f>'Sim Data'!$E$278</f>
        <v/>
      </c>
      <c r="E85" s="55">
        <f>'Sim Data'!$G$278</f>
        <v/>
      </c>
      <c r="F85" s="56">
        <f>IF(E85&gt;0,1/E85,60/'Assumptions'!$B$16)</f>
        <v/>
      </c>
      <c r="G85" s="57">
        <f>'Assumptions'!$B$15</f>
        <v/>
      </c>
      <c r="H85" s="58">
        <f>D85/(G85*F85)</f>
        <v/>
      </c>
      <c r="I85" s="27">
        <f>IF(D85=0,"no arrivals",IF(H85&lt;0.85,"stable",IF(H85&lt;1,"near capacity","over capacity")))</f>
        <v/>
      </c>
      <c r="J85" s="49">
        <f>IF(AND(D85&gt;0,H85&lt;1),H85/(F85-D85),"—")</f>
        <v/>
      </c>
      <c r="K85" s="49">
        <f>IF(ISNUMBER(J85),(1+0.3^2)/2*J85,"—")</f>
        <v/>
      </c>
      <c r="L85" s="59">
        <f>'Sim Data'!$F$278</f>
        <v/>
      </c>
      <c r="M85" s="54">
        <f>'Sim Data'!$H$278</f>
        <v/>
      </c>
      <c r="N85" s="56">
        <f>D85*L85</f>
        <v/>
      </c>
      <c r="O85" s="49">
        <f>IF(MAX(M85,N85)&lt;0.5,"both ≈ 0",IF(N85=0,"no new arrivals",M85/N85))</f>
        <v/>
      </c>
      <c r="P85" s="48">
        <f>Q84</f>
        <v/>
      </c>
      <c r="Q85" s="48">
        <f>MAX(0,P85+D85*'Assumptions'!$B$47-G85*F85*('Assumptions'!$B$47-'Sim Data'!$L$278))</f>
        <v/>
      </c>
      <c r="R85" s="49">
        <f>(P85+Q85)/2/(G85*F85)</f>
        <v/>
      </c>
      <c r="S85" s="49">
        <f>IF(D85&gt;0,R85+(1+0.3^2)/2*(MIN(D85,0.95*G85*F85)/F85)/(F85-MIN(D85,0.95*G85*F85)),0)</f>
        <v/>
      </c>
      <c r="T85" s="59">
        <f>'Sim Data'!$J$278</f>
        <v/>
      </c>
      <c r="U85" s="14">
        <f>IF(D85=0,IF(P85&gt;0,"No new arrivals: the line left from earlier drains",""),IF(H85&gt;=1,"Over capacity: the line grows by about "&amp;TEXT((D85-G85*F85)*10,"0")&amp;" in 10 min (to "&amp;TEXT(Q85,"0")&amp;")",IF(P85&gt;=1,"Under capacity, but "&amp;TEXT(P85,"0")&amp;" were already in line: it drains to "&amp;TEXT(Q85,"0"),IF(ISNUMBER(O85),IF(ABS(O85-1)&lt;=0.2,"Steady: Little's Law holds",IF(O85&gt;1,"Draining a line left from earlier","Line still building")),"Hardly any line"))))</f>
        <v/>
      </c>
    </row>
    <row r="86" ht="21.95" customHeight="1">
      <c r="A86" s="14" t="inlineStr">
        <is>
          <t>With Smart Scan screens</t>
        </is>
      </c>
      <c r="B86" s="14" t="inlineStr">
        <is>
          <t>Munch Mess</t>
        </is>
      </c>
      <c r="C86" s="27" t="inlineStr">
        <is>
          <t>12:10</t>
        </is>
      </c>
      <c r="D86" s="54">
        <f>'Sim Data'!$E$279</f>
        <v/>
      </c>
      <c r="E86" s="55">
        <f>'Sim Data'!$G$279</f>
        <v/>
      </c>
      <c r="F86" s="56">
        <f>IF(E86&gt;0,1/E86,60/'Assumptions'!$B$16)</f>
        <v/>
      </c>
      <c r="G86" s="57">
        <f>'Assumptions'!$B$15</f>
        <v/>
      </c>
      <c r="H86" s="58">
        <f>D86/(G86*F86)</f>
        <v/>
      </c>
      <c r="I86" s="27">
        <f>IF(D86=0,"no arrivals",IF(H86&lt;0.85,"stable",IF(H86&lt;1,"near capacity","over capacity")))</f>
        <v/>
      </c>
      <c r="J86" s="49">
        <f>IF(AND(D86&gt;0,H86&lt;1),H86/(F86-D86),"—")</f>
        <v/>
      </c>
      <c r="K86" s="49">
        <f>IF(ISNUMBER(J86),(1+0.3^2)/2*J86,"—")</f>
        <v/>
      </c>
      <c r="L86" s="59">
        <f>'Sim Data'!$F$279</f>
        <v/>
      </c>
      <c r="M86" s="54">
        <f>'Sim Data'!$H$279</f>
        <v/>
      </c>
      <c r="N86" s="56">
        <f>D86*L86</f>
        <v/>
      </c>
      <c r="O86" s="49">
        <f>IF(MAX(M86,N86)&lt;0.5,"both ≈ 0",IF(N86=0,"no new arrivals",M86/N86))</f>
        <v/>
      </c>
      <c r="P86" s="48">
        <f>Q85</f>
        <v/>
      </c>
      <c r="Q86" s="48">
        <f>MAX(0,P86+D86*'Assumptions'!$B$47-G86*F86*('Assumptions'!$B$47-'Sim Data'!$L$279))</f>
        <v/>
      </c>
      <c r="R86" s="49">
        <f>(P86+Q86)/2/(G86*F86)</f>
        <v/>
      </c>
      <c r="S86" s="49">
        <f>IF(D86&gt;0,R86+(1+0.3^2)/2*(MIN(D86,0.95*G86*F86)/F86)/(F86-MIN(D86,0.95*G86*F86)),0)</f>
        <v/>
      </c>
      <c r="T86" s="59">
        <f>'Sim Data'!$J$279</f>
        <v/>
      </c>
      <c r="U86" s="14">
        <f>IF(D86=0,IF(P86&gt;0,"No new arrivals: the line left from earlier drains",""),IF(H86&gt;=1,"Over capacity: the line grows by about "&amp;TEXT((D86-G86*F86)*10,"0")&amp;" in 10 min (to "&amp;TEXT(Q86,"0")&amp;")",IF(P86&gt;=1,"Under capacity, but "&amp;TEXT(P86,"0")&amp;" were already in line: it drains to "&amp;TEXT(Q86,"0"),IF(ISNUMBER(O86),IF(ABS(O86-1)&lt;=0.2,"Steady: Little's Law holds",IF(O86&gt;1,"Draining a line left from earlier","Line still building")),"Hardly any line"))))</f>
        <v/>
      </c>
    </row>
    <row r="87" ht="21.95" customHeight="1">
      <c r="A87" s="14" t="inlineStr">
        <is>
          <t>With Smart Scan screens</t>
        </is>
      </c>
      <c r="B87" s="14" t="inlineStr">
        <is>
          <t>Munch Mess</t>
        </is>
      </c>
      <c r="C87" s="27" t="inlineStr">
        <is>
          <t>12:20</t>
        </is>
      </c>
      <c r="D87" s="54">
        <f>'Sim Data'!$E$280</f>
        <v/>
      </c>
      <c r="E87" s="55">
        <f>'Sim Data'!$G$280</f>
        <v/>
      </c>
      <c r="F87" s="56">
        <f>IF(E87&gt;0,1/E87,60/'Assumptions'!$B$16)</f>
        <v/>
      </c>
      <c r="G87" s="57">
        <f>'Assumptions'!$B$15</f>
        <v/>
      </c>
      <c r="H87" s="58">
        <f>D87/(G87*F87)</f>
        <v/>
      </c>
      <c r="I87" s="27">
        <f>IF(D87=0,"no arrivals",IF(H87&lt;0.85,"stable",IF(H87&lt;1,"near capacity","over capacity")))</f>
        <v/>
      </c>
      <c r="J87" s="49">
        <f>IF(AND(D87&gt;0,H87&lt;1),H87/(F87-D87),"—")</f>
        <v/>
      </c>
      <c r="K87" s="49">
        <f>IF(ISNUMBER(J87),(1+0.3^2)/2*J87,"—")</f>
        <v/>
      </c>
      <c r="L87" s="59">
        <f>'Sim Data'!$F$280</f>
        <v/>
      </c>
      <c r="M87" s="54">
        <f>'Sim Data'!$H$280</f>
        <v/>
      </c>
      <c r="N87" s="56">
        <f>D87*L87</f>
        <v/>
      </c>
      <c r="O87" s="49">
        <f>IF(MAX(M87,N87)&lt;0.5,"both ≈ 0",IF(N87=0,"no new arrivals",M87/N87))</f>
        <v/>
      </c>
      <c r="P87" s="48">
        <f>Q86</f>
        <v/>
      </c>
      <c r="Q87" s="48">
        <f>MAX(0,P87+D87*'Assumptions'!$B$47-G87*F87*('Assumptions'!$B$47-'Sim Data'!$L$280))</f>
        <v/>
      </c>
      <c r="R87" s="49">
        <f>(P87+Q87)/2/(G87*F87)</f>
        <v/>
      </c>
      <c r="S87" s="49">
        <f>IF(D87&gt;0,R87+(1+0.3^2)/2*(MIN(D87,0.95*G87*F87)/F87)/(F87-MIN(D87,0.95*G87*F87)),0)</f>
        <v/>
      </c>
      <c r="T87" s="59">
        <f>'Sim Data'!$J$280</f>
        <v/>
      </c>
      <c r="U87" s="14">
        <f>IF(D87=0,IF(P87&gt;0,"No new arrivals: the line left from earlier drains",""),IF(H87&gt;=1,"Over capacity: the line grows by about "&amp;TEXT((D87-G87*F87)*10,"0")&amp;" in 10 min (to "&amp;TEXT(Q87,"0")&amp;")",IF(P87&gt;=1,"Under capacity, but "&amp;TEXT(P87,"0")&amp;" were already in line: it drains to "&amp;TEXT(Q87,"0"),IF(ISNUMBER(O87),IF(ABS(O87-1)&lt;=0.2,"Steady: Little's Law holds",IF(O87&gt;1,"Draining a line left from earlier","Line still building")),"Hardly any line"))))</f>
        <v/>
      </c>
    </row>
    <row r="88" ht="21.95" customHeight="1">
      <c r="A88" s="14" t="inlineStr">
        <is>
          <t>With Smart Scan screens</t>
        </is>
      </c>
      <c r="B88" s="14" t="inlineStr">
        <is>
          <t>Munch Mess</t>
        </is>
      </c>
      <c r="C88" s="27" t="inlineStr">
        <is>
          <t>12:30</t>
        </is>
      </c>
      <c r="D88" s="54">
        <f>'Sim Data'!$E$281</f>
        <v/>
      </c>
      <c r="E88" s="55">
        <f>'Sim Data'!$G$281</f>
        <v/>
      </c>
      <c r="F88" s="56">
        <f>IF(E88&gt;0,1/E88,60/'Assumptions'!$B$16)</f>
        <v/>
      </c>
      <c r="G88" s="57">
        <f>'Assumptions'!$B$15</f>
        <v/>
      </c>
      <c r="H88" s="58">
        <f>D88/(G88*F88)</f>
        <v/>
      </c>
      <c r="I88" s="27">
        <f>IF(D88=0,"no arrivals",IF(H88&lt;0.85,"stable",IF(H88&lt;1,"near capacity","over capacity")))</f>
        <v/>
      </c>
      <c r="J88" s="49">
        <f>IF(AND(D88&gt;0,H88&lt;1),H88/(F88-D88),"—")</f>
        <v/>
      </c>
      <c r="K88" s="49">
        <f>IF(ISNUMBER(J88),(1+0.3^2)/2*J88,"—")</f>
        <v/>
      </c>
      <c r="L88" s="59">
        <f>'Sim Data'!$F$281</f>
        <v/>
      </c>
      <c r="M88" s="54">
        <f>'Sim Data'!$H$281</f>
        <v/>
      </c>
      <c r="N88" s="56">
        <f>D88*L88</f>
        <v/>
      </c>
      <c r="O88" s="49">
        <f>IF(MAX(M88,N88)&lt;0.5,"both ≈ 0",IF(N88=0,"no new arrivals",M88/N88))</f>
        <v/>
      </c>
      <c r="P88" s="48">
        <f>Q87</f>
        <v/>
      </c>
      <c r="Q88" s="48">
        <f>MAX(0,P88+D88*'Assumptions'!$B$47-G88*F88*('Assumptions'!$B$47-'Sim Data'!$L$281))</f>
        <v/>
      </c>
      <c r="R88" s="49">
        <f>(P88+Q88)/2/(G88*F88)</f>
        <v/>
      </c>
      <c r="S88" s="49">
        <f>IF(D88&gt;0,R88+(1+0.3^2)/2*(MIN(D88,0.95*G88*F88)/F88)/(F88-MIN(D88,0.95*G88*F88)),0)</f>
        <v/>
      </c>
      <c r="T88" s="59">
        <f>'Sim Data'!$J$281</f>
        <v/>
      </c>
      <c r="U88" s="14">
        <f>IF(D88=0,IF(P88&gt;0,"No new arrivals: the line left from earlier drains",""),IF(H88&gt;=1,"Over capacity: the line grows by about "&amp;TEXT((D88-G88*F88)*10,"0")&amp;" in 10 min (to "&amp;TEXT(Q88,"0")&amp;")",IF(P88&gt;=1,"Under capacity, but "&amp;TEXT(P88,"0")&amp;" were already in line: it drains to "&amp;TEXT(Q88,"0"),IF(ISNUMBER(O88),IF(ABS(O88-1)&lt;=0.2,"Steady: Little's Law holds",IF(O88&gt;1,"Draining a line left from earlier","Line still building")),"Hardly any line"))))</f>
        <v/>
      </c>
    </row>
    <row r="89" ht="21.95" customHeight="1">
      <c r="A89" s="14" t="inlineStr">
        <is>
          <t>With Smart Scan screens</t>
        </is>
      </c>
      <c r="B89" s="14" t="inlineStr">
        <is>
          <t>Munch Mess</t>
        </is>
      </c>
      <c r="C89" s="27" t="inlineStr">
        <is>
          <t>12:40</t>
        </is>
      </c>
      <c r="D89" s="54">
        <f>'Sim Data'!$E$282</f>
        <v/>
      </c>
      <c r="E89" s="55">
        <f>'Sim Data'!$G$282</f>
        <v/>
      </c>
      <c r="F89" s="56">
        <f>IF(E89&gt;0,1/E89,60/'Assumptions'!$B$16)</f>
        <v/>
      </c>
      <c r="G89" s="57">
        <f>'Assumptions'!$B$15</f>
        <v/>
      </c>
      <c r="H89" s="58">
        <f>D89/(G89*F89)</f>
        <v/>
      </c>
      <c r="I89" s="27">
        <f>IF(D89=0,"no arrivals",IF(H89&lt;0.85,"stable",IF(H89&lt;1,"near capacity","over capacity")))</f>
        <v/>
      </c>
      <c r="J89" s="49">
        <f>IF(AND(D89&gt;0,H89&lt;1),H89/(F89-D89),"—")</f>
        <v/>
      </c>
      <c r="K89" s="49">
        <f>IF(ISNUMBER(J89),(1+0.3^2)/2*J89,"—")</f>
        <v/>
      </c>
      <c r="L89" s="59">
        <f>'Sim Data'!$F$282</f>
        <v/>
      </c>
      <c r="M89" s="54">
        <f>'Sim Data'!$H$282</f>
        <v/>
      </c>
      <c r="N89" s="56">
        <f>D89*L89</f>
        <v/>
      </c>
      <c r="O89" s="49">
        <f>IF(MAX(M89,N89)&lt;0.5,"both ≈ 0",IF(N89=0,"no new arrivals",M89/N89))</f>
        <v/>
      </c>
      <c r="P89" s="48">
        <f>Q88</f>
        <v/>
      </c>
      <c r="Q89" s="48">
        <f>MAX(0,P89+D89*'Assumptions'!$B$47-G89*F89*('Assumptions'!$B$47-'Sim Data'!$L$282))</f>
        <v/>
      </c>
      <c r="R89" s="49">
        <f>(P89+Q89)/2/(G89*F89)</f>
        <v/>
      </c>
      <c r="S89" s="49">
        <f>IF(D89&gt;0,R89+(1+0.3^2)/2*(MIN(D89,0.95*G89*F89)/F89)/(F89-MIN(D89,0.95*G89*F89)),0)</f>
        <v/>
      </c>
      <c r="T89" s="59">
        <f>'Sim Data'!$J$282</f>
        <v/>
      </c>
      <c r="U89" s="14">
        <f>IF(D89=0,IF(P89&gt;0,"No new arrivals: the line left from earlier drains",""),IF(H89&gt;=1,"Over capacity: the line grows by about "&amp;TEXT((D89-G89*F89)*10,"0")&amp;" in 10 min (to "&amp;TEXT(Q89,"0")&amp;")",IF(P89&gt;=1,"Under capacity, but "&amp;TEXT(P89,"0")&amp;" were already in line: it drains to "&amp;TEXT(Q89,"0"),IF(ISNUMBER(O89),IF(ABS(O89-1)&lt;=0.2,"Steady: Little's Law holds",IF(O89&gt;1,"Draining a line left from earlier","Line still building")),"Hardly any line"))))</f>
        <v/>
      </c>
    </row>
    <row r="90" ht="21.95" customHeight="1">
      <c r="A90" s="14" t="inlineStr">
        <is>
          <t>With Smart Scan screens</t>
        </is>
      </c>
      <c r="B90" s="14" t="inlineStr">
        <is>
          <t>Munch Mess</t>
        </is>
      </c>
      <c r="C90" s="27" t="inlineStr">
        <is>
          <t>12:50</t>
        </is>
      </c>
      <c r="D90" s="54">
        <f>'Sim Data'!$E$283</f>
        <v/>
      </c>
      <c r="E90" s="55">
        <f>'Sim Data'!$G$283</f>
        <v/>
      </c>
      <c r="F90" s="56">
        <f>IF(E90&gt;0,1/E90,60/'Assumptions'!$B$16)</f>
        <v/>
      </c>
      <c r="G90" s="57">
        <f>'Assumptions'!$B$15</f>
        <v/>
      </c>
      <c r="H90" s="58">
        <f>D90/(G90*F90)</f>
        <v/>
      </c>
      <c r="I90" s="27">
        <f>IF(D90=0,"no arrivals",IF(H90&lt;0.85,"stable",IF(H90&lt;1,"near capacity","over capacity")))</f>
        <v/>
      </c>
      <c r="J90" s="49">
        <f>IF(AND(D90&gt;0,H90&lt;1),H90/(F90-D90),"—")</f>
        <v/>
      </c>
      <c r="K90" s="49">
        <f>IF(ISNUMBER(J90),(1+0.3^2)/2*J90,"—")</f>
        <v/>
      </c>
      <c r="L90" s="59">
        <f>'Sim Data'!$F$283</f>
        <v/>
      </c>
      <c r="M90" s="54">
        <f>'Sim Data'!$H$283</f>
        <v/>
      </c>
      <c r="N90" s="56">
        <f>D90*L90</f>
        <v/>
      </c>
      <c r="O90" s="49">
        <f>IF(MAX(M90,N90)&lt;0.5,"both ≈ 0",IF(N90=0,"no new arrivals",M90/N90))</f>
        <v/>
      </c>
      <c r="P90" s="48">
        <f>Q89</f>
        <v/>
      </c>
      <c r="Q90" s="48">
        <f>MAX(0,P90+D90*'Assumptions'!$B$47-G90*F90*('Assumptions'!$B$47-'Sim Data'!$L$283))</f>
        <v/>
      </c>
      <c r="R90" s="49">
        <f>(P90+Q90)/2/(G90*F90)</f>
        <v/>
      </c>
      <c r="S90" s="49">
        <f>IF(D90&gt;0,R90+(1+0.3^2)/2*(MIN(D90,0.95*G90*F90)/F90)/(F90-MIN(D90,0.95*G90*F90)),0)</f>
        <v/>
      </c>
      <c r="T90" s="59">
        <f>'Sim Data'!$J$283</f>
        <v/>
      </c>
      <c r="U90" s="14">
        <f>IF(D90=0,IF(P90&gt;0,"No new arrivals: the line left from earlier drains",""),IF(H90&gt;=1,"Over capacity: the line grows by about "&amp;TEXT((D90-G90*F90)*10,"0")&amp;" in 10 min (to "&amp;TEXT(Q90,"0")&amp;")",IF(P90&gt;=1,"Under capacity, but "&amp;TEXT(P90,"0")&amp;" were already in line: it drains to "&amp;TEXT(Q90,"0"),IF(ISNUMBER(O90),IF(ABS(O90-1)&lt;=0.2,"Steady: Little's Law holds",IF(O90&gt;1,"Draining a line left from earlier","Line still building")),"Hardly any line"))))</f>
        <v/>
      </c>
    </row>
    <row r="91" ht="21.95" customHeight="1">
      <c r="A91" s="14" t="inlineStr">
        <is>
          <t>With Smart Scan screens</t>
        </is>
      </c>
      <c r="B91" s="14" t="inlineStr">
        <is>
          <t>Munch Mess</t>
        </is>
      </c>
      <c r="C91" s="27" t="inlineStr">
        <is>
          <t>13:00</t>
        </is>
      </c>
      <c r="D91" s="54">
        <f>'Sim Data'!$E$284</f>
        <v/>
      </c>
      <c r="E91" s="55">
        <f>'Sim Data'!$G$284</f>
        <v/>
      </c>
      <c r="F91" s="56">
        <f>IF(E91&gt;0,1/E91,60/'Assumptions'!$B$16)</f>
        <v/>
      </c>
      <c r="G91" s="57">
        <f>'Assumptions'!$B$15</f>
        <v/>
      </c>
      <c r="H91" s="58">
        <f>D91/(G91*F91)</f>
        <v/>
      </c>
      <c r="I91" s="27">
        <f>IF(D91=0,"no arrivals",IF(H91&lt;0.85,"stable",IF(H91&lt;1,"near capacity","over capacity")))</f>
        <v/>
      </c>
      <c r="J91" s="49">
        <f>IF(AND(D91&gt;0,H91&lt;1),H91/(F91-D91),"—")</f>
        <v/>
      </c>
      <c r="K91" s="49">
        <f>IF(ISNUMBER(J91),(1+0.3^2)/2*J91,"—")</f>
        <v/>
      </c>
      <c r="L91" s="59">
        <f>'Sim Data'!$F$284</f>
        <v/>
      </c>
      <c r="M91" s="54">
        <f>'Sim Data'!$H$284</f>
        <v/>
      </c>
      <c r="N91" s="56">
        <f>D91*L91</f>
        <v/>
      </c>
      <c r="O91" s="49">
        <f>IF(MAX(M91,N91)&lt;0.5,"both ≈ 0",IF(N91=0,"no new arrivals",M91/N91))</f>
        <v/>
      </c>
      <c r="P91" s="48">
        <f>Q90</f>
        <v/>
      </c>
      <c r="Q91" s="48">
        <f>MAX(0,P91+D91*'Assumptions'!$B$47-G91*F91*('Assumptions'!$B$47-'Sim Data'!$L$284))</f>
        <v/>
      </c>
      <c r="R91" s="49">
        <f>(P91+Q91)/2/(G91*F91)</f>
        <v/>
      </c>
      <c r="S91" s="49">
        <f>IF(D91&gt;0,R91+(1+0.3^2)/2*(MIN(D91,0.95*G91*F91)/F91)/(F91-MIN(D91,0.95*G91*F91)),0)</f>
        <v/>
      </c>
      <c r="T91" s="59">
        <f>'Sim Data'!$J$284</f>
        <v/>
      </c>
      <c r="U91" s="14">
        <f>IF(D91=0,IF(P91&gt;0,"No new arrivals: the line left from earlier drains",""),IF(H91&gt;=1,"Over capacity: the line grows by about "&amp;TEXT((D91-G91*F91)*10,"0")&amp;" in 10 min (to "&amp;TEXT(Q91,"0")&amp;")",IF(P91&gt;=1,"Under capacity, but "&amp;TEXT(P91,"0")&amp;" were already in line: it drains to "&amp;TEXT(Q91,"0"),IF(ISNUMBER(O91),IF(ABS(O91-1)&lt;=0.2,"Steady: Little's Law holds",IF(O91&gt;1,"Draining a line left from earlier","Line still building")),"Hardly any line"))))</f>
        <v/>
      </c>
    </row>
    <row r="92" ht="21.95" customHeight="1">
      <c r="A92" s="14" t="inlineStr">
        <is>
          <t>With Smart Scan screens</t>
        </is>
      </c>
      <c r="B92" s="14" t="inlineStr">
        <is>
          <t>Munch Mess</t>
        </is>
      </c>
      <c r="C92" s="27" t="inlineStr">
        <is>
          <t>13:10</t>
        </is>
      </c>
      <c r="D92" s="54">
        <f>'Sim Data'!$E$285</f>
        <v/>
      </c>
      <c r="E92" s="55">
        <f>'Sim Data'!$G$285</f>
        <v/>
      </c>
      <c r="F92" s="56">
        <f>IF(E92&gt;0,1/E92,60/'Assumptions'!$B$16)</f>
        <v/>
      </c>
      <c r="G92" s="57">
        <f>'Assumptions'!$B$15</f>
        <v/>
      </c>
      <c r="H92" s="58">
        <f>D92/(G92*F92)</f>
        <v/>
      </c>
      <c r="I92" s="27">
        <f>IF(D92=0,"no arrivals",IF(H92&lt;0.85,"stable",IF(H92&lt;1,"near capacity","over capacity")))</f>
        <v/>
      </c>
      <c r="J92" s="49">
        <f>IF(AND(D92&gt;0,H92&lt;1),H92/(F92-D92),"—")</f>
        <v/>
      </c>
      <c r="K92" s="49">
        <f>IF(ISNUMBER(J92),(1+0.3^2)/2*J92,"—")</f>
        <v/>
      </c>
      <c r="L92" s="59">
        <f>'Sim Data'!$F$285</f>
        <v/>
      </c>
      <c r="M92" s="54">
        <f>'Sim Data'!$H$285</f>
        <v/>
      </c>
      <c r="N92" s="56">
        <f>D92*L92</f>
        <v/>
      </c>
      <c r="O92" s="49">
        <f>IF(MAX(M92,N92)&lt;0.5,"both ≈ 0",IF(N92=0,"no new arrivals",M92/N92))</f>
        <v/>
      </c>
      <c r="P92" s="48">
        <f>Q91</f>
        <v/>
      </c>
      <c r="Q92" s="48">
        <f>MAX(0,P92+D92*'Assumptions'!$B$47-G92*F92*('Assumptions'!$B$47-'Sim Data'!$L$285))</f>
        <v/>
      </c>
      <c r="R92" s="49">
        <f>(P92+Q92)/2/(G92*F92)</f>
        <v/>
      </c>
      <c r="S92" s="49">
        <f>IF(D92&gt;0,R92+(1+0.3^2)/2*(MIN(D92,0.95*G92*F92)/F92)/(F92-MIN(D92,0.95*G92*F92)),0)</f>
        <v/>
      </c>
      <c r="T92" s="59">
        <f>'Sim Data'!$J$285</f>
        <v/>
      </c>
      <c r="U92" s="14">
        <f>IF(D92=0,IF(P92&gt;0,"No new arrivals: the line left from earlier drains",""),IF(H92&gt;=1,"Over capacity: the line grows by about "&amp;TEXT((D92-G92*F92)*10,"0")&amp;" in 10 min (to "&amp;TEXT(Q92,"0")&amp;")",IF(P92&gt;=1,"Under capacity, but "&amp;TEXT(P92,"0")&amp;" were already in line: it drains to "&amp;TEXT(Q92,"0"),IF(ISNUMBER(O92),IF(ABS(O92-1)&lt;=0.2,"Steady: Little's Law holds",IF(O92&gt;1,"Draining a line left from earlier","Line still building")),"Hardly any line"))))</f>
        <v/>
      </c>
    </row>
    <row r="93" ht="21.95" customHeight="1">
      <c r="A93" s="14" t="inlineStr">
        <is>
          <t>With Smart Scan screens</t>
        </is>
      </c>
      <c r="B93" s="14" t="inlineStr">
        <is>
          <t>Munch Mess</t>
        </is>
      </c>
      <c r="C93" s="27" t="inlineStr">
        <is>
          <t>13:20</t>
        </is>
      </c>
      <c r="D93" s="54">
        <f>'Sim Data'!$E$286</f>
        <v/>
      </c>
      <c r="E93" s="55">
        <f>'Sim Data'!$G$286</f>
        <v/>
      </c>
      <c r="F93" s="56">
        <f>IF(E93&gt;0,1/E93,60/'Assumptions'!$B$16)</f>
        <v/>
      </c>
      <c r="G93" s="57">
        <f>'Assumptions'!$B$15</f>
        <v/>
      </c>
      <c r="H93" s="58">
        <f>D93/(G93*F93)</f>
        <v/>
      </c>
      <c r="I93" s="27">
        <f>IF(D93=0,"no arrivals",IF(H93&lt;0.85,"stable",IF(H93&lt;1,"near capacity","over capacity")))</f>
        <v/>
      </c>
      <c r="J93" s="49">
        <f>IF(AND(D93&gt;0,H93&lt;1),H93/(F93-D93),"—")</f>
        <v/>
      </c>
      <c r="K93" s="49">
        <f>IF(ISNUMBER(J93),(1+0.3^2)/2*J93,"—")</f>
        <v/>
      </c>
      <c r="L93" s="59">
        <f>'Sim Data'!$F$286</f>
        <v/>
      </c>
      <c r="M93" s="54">
        <f>'Sim Data'!$H$286</f>
        <v/>
      </c>
      <c r="N93" s="56">
        <f>D93*L93</f>
        <v/>
      </c>
      <c r="O93" s="49">
        <f>IF(MAX(M93,N93)&lt;0.5,"both ≈ 0",IF(N93=0,"no new arrivals",M93/N93))</f>
        <v/>
      </c>
      <c r="P93" s="48">
        <f>Q92</f>
        <v/>
      </c>
      <c r="Q93" s="48">
        <f>MAX(0,P93+D93*'Assumptions'!$B$47-G93*F93*('Assumptions'!$B$47-'Sim Data'!$L$286))</f>
        <v/>
      </c>
      <c r="R93" s="49">
        <f>(P93+Q93)/2/(G93*F93)</f>
        <v/>
      </c>
      <c r="S93" s="49">
        <f>IF(D93&gt;0,R93+(1+0.3^2)/2*(MIN(D93,0.95*G93*F93)/F93)/(F93-MIN(D93,0.95*G93*F93)),0)</f>
        <v/>
      </c>
      <c r="T93" s="59">
        <f>'Sim Data'!$J$286</f>
        <v/>
      </c>
      <c r="U93" s="14">
        <f>IF(D93=0,IF(P93&gt;0,"No new arrivals: the line left from earlier drains",""),IF(H93&gt;=1,"Over capacity: the line grows by about "&amp;TEXT((D93-G93*F93)*10,"0")&amp;" in 10 min (to "&amp;TEXT(Q93,"0")&amp;")",IF(P93&gt;=1,"Under capacity, but "&amp;TEXT(P93,"0")&amp;" were already in line: it drains to "&amp;TEXT(Q93,"0"),IF(ISNUMBER(O93),IF(ABS(O93-1)&lt;=0.2,"Steady: Little's Law holds",IF(O93&gt;1,"Draining a line left from earlier","Line still building")),"Hardly any line"))))</f>
        <v/>
      </c>
    </row>
    <row r="94" ht="21.95" customHeight="1">
      <c r="A94" s="14" t="inlineStr">
        <is>
          <t>With Smart Scan screens</t>
        </is>
      </c>
      <c r="B94" s="14" t="inlineStr">
        <is>
          <t>Munch Mess</t>
        </is>
      </c>
      <c r="C94" s="27" t="inlineStr">
        <is>
          <t>13:30</t>
        </is>
      </c>
      <c r="D94" s="54">
        <f>'Sim Data'!$E$287</f>
        <v/>
      </c>
      <c r="E94" s="55">
        <f>'Sim Data'!$G$287</f>
        <v/>
      </c>
      <c r="F94" s="56">
        <f>IF(E94&gt;0,1/E94,60/'Assumptions'!$B$16)</f>
        <v/>
      </c>
      <c r="G94" s="57">
        <f>'Assumptions'!$B$15</f>
        <v/>
      </c>
      <c r="H94" s="58">
        <f>D94/(G94*F94)</f>
        <v/>
      </c>
      <c r="I94" s="27">
        <f>IF(D94=0,"no arrivals",IF(H94&lt;0.85,"stable",IF(H94&lt;1,"near capacity","over capacity")))</f>
        <v/>
      </c>
      <c r="J94" s="49">
        <f>IF(AND(D94&gt;0,H94&lt;1),H94/(F94-D94),"—")</f>
        <v/>
      </c>
      <c r="K94" s="49">
        <f>IF(ISNUMBER(J94),(1+0.3^2)/2*J94,"—")</f>
        <v/>
      </c>
      <c r="L94" s="59">
        <f>'Sim Data'!$F$287</f>
        <v/>
      </c>
      <c r="M94" s="54">
        <f>'Sim Data'!$H$287</f>
        <v/>
      </c>
      <c r="N94" s="56">
        <f>D94*L94</f>
        <v/>
      </c>
      <c r="O94" s="49">
        <f>IF(MAX(M94,N94)&lt;0.5,"both ≈ 0",IF(N94=0,"no new arrivals",M94/N94))</f>
        <v/>
      </c>
      <c r="P94" s="48">
        <f>Q93</f>
        <v/>
      </c>
      <c r="Q94" s="48">
        <f>MAX(0,P94+D94*'Assumptions'!$B$47-G94*F94*('Assumptions'!$B$47-'Sim Data'!$L$287))</f>
        <v/>
      </c>
      <c r="R94" s="49">
        <f>(P94+Q94)/2/(G94*F94)</f>
        <v/>
      </c>
      <c r="S94" s="49">
        <f>IF(D94&gt;0,R94+(1+0.3^2)/2*(MIN(D94,0.95*G94*F94)/F94)/(F94-MIN(D94,0.95*G94*F94)),0)</f>
        <v/>
      </c>
      <c r="T94" s="59">
        <f>'Sim Data'!$J$287</f>
        <v/>
      </c>
      <c r="U94" s="14">
        <f>IF(D94=0,IF(P94&gt;0,"No new arrivals: the line left from earlier drains",""),IF(H94&gt;=1,"Over capacity: the line grows by about "&amp;TEXT((D94-G94*F94)*10,"0")&amp;" in 10 min (to "&amp;TEXT(Q94,"0")&amp;")",IF(P94&gt;=1,"Under capacity, but "&amp;TEXT(P94,"0")&amp;" were already in line: it drains to "&amp;TEXT(Q94,"0"),IF(ISNUMBER(O94),IF(ABS(O94-1)&lt;=0.2,"Steady: Little's Law holds",IF(O94&gt;1,"Draining a line left from earlier","Line still building")),"Hardly any line"))))</f>
        <v/>
      </c>
    </row>
    <row r="95" ht="21.95" customHeight="1">
      <c r="A95" s="14" t="inlineStr">
        <is>
          <t>With Smart Scan screens</t>
        </is>
      </c>
      <c r="B95" s="14" t="inlineStr">
        <is>
          <t>Munch Mess</t>
        </is>
      </c>
      <c r="C95" s="27" t="inlineStr">
        <is>
          <t>13:40</t>
        </is>
      </c>
      <c r="D95" s="54">
        <f>'Sim Data'!$E$288</f>
        <v/>
      </c>
      <c r="E95" s="55">
        <f>'Sim Data'!$G$288</f>
        <v/>
      </c>
      <c r="F95" s="56">
        <f>IF(E95&gt;0,1/E95,60/'Assumptions'!$B$16)</f>
        <v/>
      </c>
      <c r="G95" s="57">
        <f>'Assumptions'!$B$15</f>
        <v/>
      </c>
      <c r="H95" s="58">
        <f>D95/(G95*F95)</f>
        <v/>
      </c>
      <c r="I95" s="27">
        <f>IF(D95=0,"no arrivals",IF(H95&lt;0.85,"stable",IF(H95&lt;1,"near capacity","over capacity")))</f>
        <v/>
      </c>
      <c r="J95" s="49">
        <f>IF(AND(D95&gt;0,H95&lt;1),H95/(F95-D95),"—")</f>
        <v/>
      </c>
      <c r="K95" s="49">
        <f>IF(ISNUMBER(J95),(1+0.3^2)/2*J95,"—")</f>
        <v/>
      </c>
      <c r="L95" s="59">
        <f>'Sim Data'!$F$288</f>
        <v/>
      </c>
      <c r="M95" s="54">
        <f>'Sim Data'!$H$288</f>
        <v/>
      </c>
      <c r="N95" s="56">
        <f>D95*L95</f>
        <v/>
      </c>
      <c r="O95" s="49">
        <f>IF(MAX(M95,N95)&lt;0.5,"both ≈ 0",IF(N95=0,"no new arrivals",M95/N95))</f>
        <v/>
      </c>
      <c r="P95" s="48">
        <f>Q94</f>
        <v/>
      </c>
      <c r="Q95" s="48">
        <f>MAX(0,P95+D95*'Assumptions'!$B$47-G95*F95*('Assumptions'!$B$47-'Sim Data'!$L$288))</f>
        <v/>
      </c>
      <c r="R95" s="49">
        <f>(P95+Q95)/2/(G95*F95)</f>
        <v/>
      </c>
      <c r="S95" s="49">
        <f>IF(D95&gt;0,R95+(1+0.3^2)/2*(MIN(D95,0.95*G95*F95)/F95)/(F95-MIN(D95,0.95*G95*F95)),0)</f>
        <v/>
      </c>
      <c r="T95" s="59">
        <f>'Sim Data'!$J$288</f>
        <v/>
      </c>
      <c r="U95" s="14">
        <f>IF(D95=0,IF(P95&gt;0,"No new arrivals: the line left from earlier drains",""),IF(H95&gt;=1,"Over capacity: the line grows by about "&amp;TEXT((D95-G95*F95)*10,"0")&amp;" in 10 min (to "&amp;TEXT(Q95,"0")&amp;")",IF(P95&gt;=1,"Under capacity, but "&amp;TEXT(P95,"0")&amp;" were already in line: it drains to "&amp;TEXT(Q95,"0"),IF(ISNUMBER(O95),IF(ABS(O95-1)&lt;=0.2,"Steady: Little's Law holds",IF(O95&gt;1,"Draining a line left from earlier","Line still building")),"Hardly any line"))))</f>
        <v/>
      </c>
    </row>
    <row r="96" ht="21.95" customHeight="1">
      <c r="A96" s="14" t="inlineStr">
        <is>
          <t>With Smart Scan screens</t>
        </is>
      </c>
      <c r="B96" s="14" t="inlineStr">
        <is>
          <t>Munch Mess</t>
        </is>
      </c>
      <c r="C96" s="27" t="inlineStr">
        <is>
          <t>13:50</t>
        </is>
      </c>
      <c r="D96" s="54">
        <f>'Sim Data'!$E$289</f>
        <v/>
      </c>
      <c r="E96" s="55">
        <f>'Sim Data'!$G$289</f>
        <v/>
      </c>
      <c r="F96" s="56">
        <f>IF(E96&gt;0,1/E96,60/'Assumptions'!$B$16)</f>
        <v/>
      </c>
      <c r="G96" s="57">
        <f>'Assumptions'!$B$15</f>
        <v/>
      </c>
      <c r="H96" s="58">
        <f>D96/(G96*F96)</f>
        <v/>
      </c>
      <c r="I96" s="27">
        <f>IF(D96=0,"no arrivals",IF(H96&lt;0.85,"stable",IF(H96&lt;1,"near capacity","over capacity")))</f>
        <v/>
      </c>
      <c r="J96" s="49">
        <f>IF(AND(D96&gt;0,H96&lt;1),H96/(F96-D96),"—")</f>
        <v/>
      </c>
      <c r="K96" s="49">
        <f>IF(ISNUMBER(J96),(1+0.3^2)/2*J96,"—")</f>
        <v/>
      </c>
      <c r="L96" s="59">
        <f>'Sim Data'!$F$289</f>
        <v/>
      </c>
      <c r="M96" s="54">
        <f>'Sim Data'!$H$289</f>
        <v/>
      </c>
      <c r="N96" s="56">
        <f>D96*L96</f>
        <v/>
      </c>
      <c r="O96" s="49">
        <f>IF(MAX(M96,N96)&lt;0.5,"both ≈ 0",IF(N96=0,"no new arrivals",M96/N96))</f>
        <v/>
      </c>
      <c r="P96" s="48">
        <f>Q95</f>
        <v/>
      </c>
      <c r="Q96" s="48">
        <f>MAX(0,P96+D96*'Assumptions'!$B$47-G96*F96*('Assumptions'!$B$47-'Sim Data'!$L$289))</f>
        <v/>
      </c>
      <c r="R96" s="49">
        <f>(P96+Q96)/2/(G96*F96)</f>
        <v/>
      </c>
      <c r="S96" s="49">
        <f>IF(D96&gt;0,R96+(1+0.3^2)/2*(MIN(D96,0.95*G96*F96)/F96)/(F96-MIN(D96,0.95*G96*F96)),0)</f>
        <v/>
      </c>
      <c r="T96" s="59">
        <f>'Sim Data'!$J$289</f>
        <v/>
      </c>
      <c r="U96" s="14">
        <f>IF(D96=0,IF(P96&gt;0,"No new arrivals: the line left from earlier drains",""),IF(H96&gt;=1,"Over capacity: the line grows by about "&amp;TEXT((D96-G96*F96)*10,"0")&amp;" in 10 min (to "&amp;TEXT(Q96,"0")&amp;")",IF(P96&gt;=1,"Under capacity, but "&amp;TEXT(P96,"0")&amp;" were already in line: it drains to "&amp;TEXT(Q96,"0"),IF(ISNUMBER(O96),IF(ABS(O96-1)&lt;=0.2,"Steady: Little's Law holds",IF(O96&gt;1,"Draining a line left from earlier","Line still building")),"Hardly any line"))))</f>
        <v/>
      </c>
    </row>
    <row r="97" ht="21.95" customHeight="1">
      <c r="A97" s="14" t="inlineStr">
        <is>
          <t>With Smart Scan screens</t>
        </is>
      </c>
      <c r="B97" s="14" t="inlineStr">
        <is>
          <t>Munch Mess</t>
        </is>
      </c>
      <c r="C97" s="27" t="inlineStr">
        <is>
          <t>14:00</t>
        </is>
      </c>
      <c r="D97" s="54">
        <f>'Sim Data'!$E$290</f>
        <v/>
      </c>
      <c r="E97" s="55">
        <f>'Sim Data'!$G$290</f>
        <v/>
      </c>
      <c r="F97" s="56">
        <f>IF(E97&gt;0,1/E97,60/'Assumptions'!$B$16)</f>
        <v/>
      </c>
      <c r="G97" s="57">
        <f>'Assumptions'!$B$15</f>
        <v/>
      </c>
      <c r="H97" s="58">
        <f>D97/(G97*F97)</f>
        <v/>
      </c>
      <c r="I97" s="27">
        <f>IF(D97=0,"no arrivals",IF(H97&lt;0.85,"stable",IF(H97&lt;1,"near capacity","over capacity")))</f>
        <v/>
      </c>
      <c r="J97" s="49">
        <f>IF(AND(D97&gt;0,H97&lt;1),H97/(F97-D97),"—")</f>
        <v/>
      </c>
      <c r="K97" s="49">
        <f>IF(ISNUMBER(J97),(1+0.3^2)/2*J97,"—")</f>
        <v/>
      </c>
      <c r="L97" s="59">
        <f>'Sim Data'!$F$290</f>
        <v/>
      </c>
      <c r="M97" s="54">
        <f>'Sim Data'!$H$290</f>
        <v/>
      </c>
      <c r="N97" s="56">
        <f>D97*L97</f>
        <v/>
      </c>
      <c r="O97" s="49">
        <f>IF(MAX(M97,N97)&lt;0.5,"both ≈ 0",IF(N97=0,"no new arrivals",M97/N97))</f>
        <v/>
      </c>
      <c r="P97" s="48">
        <f>Q96</f>
        <v/>
      </c>
      <c r="Q97" s="48">
        <f>MAX(0,P97+D97*'Assumptions'!$B$47-G97*F97*('Assumptions'!$B$47-'Sim Data'!$L$290))</f>
        <v/>
      </c>
      <c r="R97" s="49">
        <f>(P97+Q97)/2/(G97*F97)</f>
        <v/>
      </c>
      <c r="S97" s="49">
        <f>IF(D97&gt;0,R97+(1+0.3^2)/2*(MIN(D97,0.95*G97*F97)/F97)/(F97-MIN(D97,0.95*G97*F97)),0)</f>
        <v/>
      </c>
      <c r="T97" s="59">
        <f>'Sim Data'!$J$290</f>
        <v/>
      </c>
      <c r="U97" s="14">
        <f>IF(D97=0,IF(P97&gt;0,"No new arrivals: the line left from earlier drains",""),IF(H97&gt;=1,"Over capacity: the line grows by about "&amp;TEXT((D97-G97*F97)*10,"0")&amp;" in 10 min (to "&amp;TEXT(Q97,"0")&amp;")",IF(P97&gt;=1,"Under capacity, but "&amp;TEXT(P97,"0")&amp;" were already in line: it drains to "&amp;TEXT(Q97,"0"),IF(ISNUMBER(O97),IF(ABS(O97-1)&lt;=0.2,"Steady: Little's Law holds",IF(O97&gt;1,"Draining a line left from earlier","Line still building")),"Hardly any line"))))</f>
        <v/>
      </c>
    </row>
    <row r="98" ht="21.95" customHeight="1">
      <c r="A98" s="14" t="inlineStr">
        <is>
          <t>With Smart Scan screens</t>
        </is>
      </c>
      <c r="B98" s="14" t="inlineStr">
        <is>
          <t>Munch Mess</t>
        </is>
      </c>
      <c r="C98" s="27" t="inlineStr">
        <is>
          <t>14:10</t>
        </is>
      </c>
      <c r="D98" s="54">
        <f>'Sim Data'!$E$291</f>
        <v/>
      </c>
      <c r="E98" s="55">
        <f>'Sim Data'!$G$291</f>
        <v/>
      </c>
      <c r="F98" s="56">
        <f>IF(E98&gt;0,1/E98,60/'Assumptions'!$B$16)</f>
        <v/>
      </c>
      <c r="G98" s="57">
        <f>'Assumptions'!$B$15</f>
        <v/>
      </c>
      <c r="H98" s="58">
        <f>D98/(G98*F98)</f>
        <v/>
      </c>
      <c r="I98" s="27">
        <f>IF(D98=0,"no arrivals",IF(H98&lt;0.85,"stable",IF(H98&lt;1,"near capacity","over capacity")))</f>
        <v/>
      </c>
      <c r="J98" s="49">
        <f>IF(AND(D98&gt;0,H98&lt;1),H98/(F98-D98),"—")</f>
        <v/>
      </c>
      <c r="K98" s="49">
        <f>IF(ISNUMBER(J98),(1+0.3^2)/2*J98,"—")</f>
        <v/>
      </c>
      <c r="L98" s="59">
        <f>'Sim Data'!$F$291</f>
        <v/>
      </c>
      <c r="M98" s="54">
        <f>'Sim Data'!$H$291</f>
        <v/>
      </c>
      <c r="N98" s="56">
        <f>D98*L98</f>
        <v/>
      </c>
      <c r="O98" s="49">
        <f>IF(MAX(M98,N98)&lt;0.5,"both ≈ 0",IF(N98=0,"no new arrivals",M98/N98))</f>
        <v/>
      </c>
      <c r="P98" s="48">
        <f>Q97</f>
        <v/>
      </c>
      <c r="Q98" s="48">
        <f>MAX(0,P98+D98*'Assumptions'!$B$47-G98*F98*('Assumptions'!$B$47-'Sim Data'!$L$291))</f>
        <v/>
      </c>
      <c r="R98" s="49">
        <f>(P98+Q98)/2/(G98*F98)</f>
        <v/>
      </c>
      <c r="S98" s="49">
        <f>IF(D98&gt;0,R98+(1+0.3^2)/2*(MIN(D98,0.95*G98*F98)/F98)/(F98-MIN(D98,0.95*G98*F98)),0)</f>
        <v/>
      </c>
      <c r="T98" s="59">
        <f>'Sim Data'!$J$291</f>
        <v/>
      </c>
      <c r="U98" s="14">
        <f>IF(D98=0,IF(P98&gt;0,"No new arrivals: the line left from earlier drains",""),IF(H98&gt;=1,"Over capacity: the line grows by about "&amp;TEXT((D98-G98*F98)*10,"0")&amp;" in 10 min (to "&amp;TEXT(Q98,"0")&amp;")",IF(P98&gt;=1,"Under capacity, but "&amp;TEXT(P98,"0")&amp;" were already in line: it drains to "&amp;TEXT(Q98,"0"),IF(ISNUMBER(O98),IF(ABS(O98-1)&lt;=0.2,"Steady: Little's Law holds",IF(O98&gt;1,"Draining a line left from earlier","Line still building")),"Hardly any line"))))</f>
        <v/>
      </c>
    </row>
    <row r="99" ht="21.95" customHeight="1">
      <c r="A99" s="14" t="inlineStr">
        <is>
          <t>With Smart Scan screens</t>
        </is>
      </c>
      <c r="B99" s="14" t="inlineStr">
        <is>
          <t>Munch Mess</t>
        </is>
      </c>
      <c r="C99" s="27" t="inlineStr">
        <is>
          <t>14:20</t>
        </is>
      </c>
      <c r="D99" s="54">
        <f>'Sim Data'!$E$292</f>
        <v/>
      </c>
      <c r="E99" s="55">
        <f>'Sim Data'!$G$292</f>
        <v/>
      </c>
      <c r="F99" s="56">
        <f>IF(E99&gt;0,1/E99,60/'Assumptions'!$B$16)</f>
        <v/>
      </c>
      <c r="G99" s="57">
        <f>'Assumptions'!$B$15</f>
        <v/>
      </c>
      <c r="H99" s="58">
        <f>D99/(G99*F99)</f>
        <v/>
      </c>
      <c r="I99" s="27">
        <f>IF(D99=0,"no arrivals",IF(H99&lt;0.85,"stable",IF(H99&lt;1,"near capacity","over capacity")))</f>
        <v/>
      </c>
      <c r="J99" s="49">
        <f>IF(AND(D99&gt;0,H99&lt;1),H99/(F99-D99),"—")</f>
        <v/>
      </c>
      <c r="K99" s="49">
        <f>IF(ISNUMBER(J99),(1+0.3^2)/2*J99,"—")</f>
        <v/>
      </c>
      <c r="L99" s="59">
        <f>'Sim Data'!$F$292</f>
        <v/>
      </c>
      <c r="M99" s="54">
        <f>'Sim Data'!$H$292</f>
        <v/>
      </c>
      <c r="N99" s="56">
        <f>D99*L99</f>
        <v/>
      </c>
      <c r="O99" s="49">
        <f>IF(MAX(M99,N99)&lt;0.5,"both ≈ 0",IF(N99=0,"no new arrivals",M99/N99))</f>
        <v/>
      </c>
      <c r="P99" s="48">
        <f>Q98</f>
        <v/>
      </c>
      <c r="Q99" s="48">
        <f>MAX(0,P99+D99*'Assumptions'!$B$47-G99*F99*('Assumptions'!$B$47-'Sim Data'!$L$292))</f>
        <v/>
      </c>
      <c r="R99" s="49">
        <f>(P99+Q99)/2/(G99*F99)</f>
        <v/>
      </c>
      <c r="S99" s="49">
        <f>IF(D99&gt;0,R99+(1+0.3^2)/2*(MIN(D99,0.95*G99*F99)/F99)/(F99-MIN(D99,0.95*G99*F99)),0)</f>
        <v/>
      </c>
      <c r="T99" s="59">
        <f>'Sim Data'!$J$292</f>
        <v/>
      </c>
      <c r="U99" s="14">
        <f>IF(D99=0,IF(P99&gt;0,"No new arrivals: the line left from earlier drains",""),IF(H99&gt;=1,"Over capacity: the line grows by about "&amp;TEXT((D99-G99*F99)*10,"0")&amp;" in 10 min (to "&amp;TEXT(Q99,"0")&amp;")",IF(P99&gt;=1,"Under capacity, but "&amp;TEXT(P99,"0")&amp;" were already in line: it drains to "&amp;TEXT(Q99,"0"),IF(ISNUMBER(O99),IF(ABS(O99-1)&lt;=0.2,"Steady: Little's Law holds",IF(O99&gt;1,"Draining a line left from earlier","Line still building")),"Hardly any line"))))</f>
        <v/>
      </c>
    </row>
    <row r="100"/>
    <row r="101"/>
    <row r="102" ht="24.85" customHeight="1">
      <c r="A102" s="4" t="inlineStr">
        <is>
          <t>Utilisation by slot (chart data)</t>
        </is>
      </c>
    </row>
    <row r="103" ht="53.85" customHeight="1">
      <c r="A103" s="7" t="inlineStr">
        <is>
          <t>Slot</t>
        </is>
      </c>
      <c r="B103" s="7" t="inlineStr">
        <is>
          <t>Central CT, today</t>
        </is>
      </c>
      <c r="C103" s="7" t="inlineStr">
        <is>
          <t>Munch Mess, today</t>
        </is>
      </c>
      <c r="D103" s="7" t="inlineStr">
        <is>
          <t>Central CT, with screens</t>
        </is>
      </c>
      <c r="E103" s="7" t="inlineStr">
        <is>
          <t>Munch Mess, with screens</t>
        </is>
      </c>
      <c r="F103" s="7" t="inlineStr">
        <is>
          <t>Capacity (ρ = 100%)</t>
        </is>
      </c>
    </row>
    <row r="104" ht="21.95" customHeight="1">
      <c r="A104" s="14" t="inlineStr">
        <is>
          <t>11:30</t>
        </is>
      </c>
      <c r="B104" s="60">
        <f>H28</f>
        <v/>
      </c>
      <c r="C104" s="60">
        <f>H46</f>
        <v/>
      </c>
      <c r="D104" s="60">
        <f>H64</f>
        <v/>
      </c>
      <c r="E104" s="60">
        <f>H82</f>
        <v/>
      </c>
      <c r="F104" s="60" t="n">
        <v>1</v>
      </c>
    </row>
    <row r="105" ht="21.95" customHeight="1">
      <c r="A105" s="14" t="inlineStr">
        <is>
          <t>11:40</t>
        </is>
      </c>
      <c r="B105" s="60">
        <f>H29</f>
        <v/>
      </c>
      <c r="C105" s="60">
        <f>H47</f>
        <v/>
      </c>
      <c r="D105" s="60">
        <f>H65</f>
        <v/>
      </c>
      <c r="E105" s="60">
        <f>H83</f>
        <v/>
      </c>
      <c r="F105" s="60" t="n">
        <v>1</v>
      </c>
    </row>
    <row r="106" ht="21.95" customHeight="1">
      <c r="A106" s="14" t="inlineStr">
        <is>
          <t>11:50</t>
        </is>
      </c>
      <c r="B106" s="60">
        <f>H30</f>
        <v/>
      </c>
      <c r="C106" s="60">
        <f>H48</f>
        <v/>
      </c>
      <c r="D106" s="60">
        <f>H66</f>
        <v/>
      </c>
      <c r="E106" s="60">
        <f>H84</f>
        <v/>
      </c>
      <c r="F106" s="60" t="n">
        <v>1</v>
      </c>
    </row>
    <row r="107" ht="21.95" customHeight="1">
      <c r="A107" s="14" t="inlineStr">
        <is>
          <t>12:00</t>
        </is>
      </c>
      <c r="B107" s="60">
        <f>H31</f>
        <v/>
      </c>
      <c r="C107" s="60">
        <f>H49</f>
        <v/>
      </c>
      <c r="D107" s="60">
        <f>H67</f>
        <v/>
      </c>
      <c r="E107" s="60">
        <f>H85</f>
        <v/>
      </c>
      <c r="F107" s="60" t="n">
        <v>1</v>
      </c>
    </row>
    <row r="108" ht="21.95" customHeight="1">
      <c r="A108" s="14" t="inlineStr">
        <is>
          <t>12:10</t>
        </is>
      </c>
      <c r="B108" s="60">
        <f>H32</f>
        <v/>
      </c>
      <c r="C108" s="60">
        <f>H50</f>
        <v/>
      </c>
      <c r="D108" s="60">
        <f>H68</f>
        <v/>
      </c>
      <c r="E108" s="60">
        <f>H86</f>
        <v/>
      </c>
      <c r="F108" s="60" t="n">
        <v>1</v>
      </c>
    </row>
    <row r="109" ht="21.95" customHeight="1">
      <c r="A109" s="14" t="inlineStr">
        <is>
          <t>12:20</t>
        </is>
      </c>
      <c r="B109" s="60">
        <f>H33</f>
        <v/>
      </c>
      <c r="C109" s="60">
        <f>H51</f>
        <v/>
      </c>
      <c r="D109" s="60">
        <f>H69</f>
        <v/>
      </c>
      <c r="E109" s="60">
        <f>H87</f>
        <v/>
      </c>
      <c r="F109" s="60" t="n">
        <v>1</v>
      </c>
    </row>
    <row r="110" ht="21.95" customHeight="1">
      <c r="A110" s="14" t="inlineStr">
        <is>
          <t>12:30</t>
        </is>
      </c>
      <c r="B110" s="60">
        <f>H34</f>
        <v/>
      </c>
      <c r="C110" s="60">
        <f>H52</f>
        <v/>
      </c>
      <c r="D110" s="60">
        <f>H70</f>
        <v/>
      </c>
      <c r="E110" s="60">
        <f>H88</f>
        <v/>
      </c>
      <c r="F110" s="60" t="n">
        <v>1</v>
      </c>
    </row>
    <row r="111" ht="21.95" customHeight="1">
      <c r="A111" s="14" t="inlineStr">
        <is>
          <t>12:40</t>
        </is>
      </c>
      <c r="B111" s="60">
        <f>H35</f>
        <v/>
      </c>
      <c r="C111" s="60">
        <f>H53</f>
        <v/>
      </c>
      <c r="D111" s="60">
        <f>H71</f>
        <v/>
      </c>
      <c r="E111" s="60">
        <f>H89</f>
        <v/>
      </c>
      <c r="F111" s="60" t="n">
        <v>1</v>
      </c>
    </row>
    <row r="112" ht="21.95" customHeight="1">
      <c r="A112" s="14" t="inlineStr">
        <is>
          <t>12:50</t>
        </is>
      </c>
      <c r="B112" s="60">
        <f>H36</f>
        <v/>
      </c>
      <c r="C112" s="60">
        <f>H54</f>
        <v/>
      </c>
      <c r="D112" s="60">
        <f>H72</f>
        <v/>
      </c>
      <c r="E112" s="60">
        <f>H90</f>
        <v/>
      </c>
      <c r="F112" s="60" t="n">
        <v>1</v>
      </c>
    </row>
    <row r="113" ht="21.95" customHeight="1">
      <c r="A113" s="14" t="inlineStr">
        <is>
          <t>13:00</t>
        </is>
      </c>
      <c r="B113" s="60">
        <f>H37</f>
        <v/>
      </c>
      <c r="C113" s="60">
        <f>H55</f>
        <v/>
      </c>
      <c r="D113" s="60">
        <f>H73</f>
        <v/>
      </c>
      <c r="E113" s="60">
        <f>H91</f>
        <v/>
      </c>
      <c r="F113" s="60" t="n">
        <v>1</v>
      </c>
    </row>
    <row r="114" ht="21.95" customHeight="1">
      <c r="A114" s="14" t="inlineStr">
        <is>
          <t>13:10</t>
        </is>
      </c>
      <c r="B114" s="60">
        <f>H38</f>
        <v/>
      </c>
      <c r="C114" s="60">
        <f>H56</f>
        <v/>
      </c>
      <c r="D114" s="60">
        <f>H74</f>
        <v/>
      </c>
      <c r="E114" s="60">
        <f>H92</f>
        <v/>
      </c>
      <c r="F114" s="60" t="n">
        <v>1</v>
      </c>
    </row>
    <row r="115" ht="21.95" customHeight="1">
      <c r="A115" s="14" t="inlineStr">
        <is>
          <t>13:20</t>
        </is>
      </c>
      <c r="B115" s="60">
        <f>H39</f>
        <v/>
      </c>
      <c r="C115" s="60">
        <f>H57</f>
        <v/>
      </c>
      <c r="D115" s="60">
        <f>H75</f>
        <v/>
      </c>
      <c r="E115" s="60">
        <f>H93</f>
        <v/>
      </c>
      <c r="F115" s="60" t="n">
        <v>1</v>
      </c>
    </row>
    <row r="116" ht="21.95" customHeight="1">
      <c r="A116" s="14" t="inlineStr">
        <is>
          <t>13:30</t>
        </is>
      </c>
      <c r="B116" s="60">
        <f>H40</f>
        <v/>
      </c>
      <c r="C116" s="60">
        <f>H58</f>
        <v/>
      </c>
      <c r="D116" s="60">
        <f>H76</f>
        <v/>
      </c>
      <c r="E116" s="60">
        <f>H94</f>
        <v/>
      </c>
      <c r="F116" s="60" t="n">
        <v>1</v>
      </c>
    </row>
    <row r="117" ht="21.95" customHeight="1">
      <c r="A117" s="14" t="inlineStr">
        <is>
          <t>13:40</t>
        </is>
      </c>
      <c r="B117" s="60">
        <f>H41</f>
        <v/>
      </c>
      <c r="C117" s="60">
        <f>H59</f>
        <v/>
      </c>
      <c r="D117" s="60">
        <f>H77</f>
        <v/>
      </c>
      <c r="E117" s="60">
        <f>H95</f>
        <v/>
      </c>
      <c r="F117" s="60" t="n">
        <v>1</v>
      </c>
    </row>
    <row r="118" ht="21.95" customHeight="1">
      <c r="A118" s="14" t="inlineStr">
        <is>
          <t>13:50</t>
        </is>
      </c>
      <c r="B118" s="60">
        <f>H42</f>
        <v/>
      </c>
      <c r="C118" s="60">
        <f>H60</f>
        <v/>
      </c>
      <c r="D118" s="60">
        <f>H78</f>
        <v/>
      </c>
      <c r="E118" s="60">
        <f>H96</f>
        <v/>
      </c>
      <c r="F118" s="60" t="n">
        <v>1</v>
      </c>
    </row>
    <row r="119" ht="21.95" customHeight="1">
      <c r="A119" s="14" t="inlineStr">
        <is>
          <t>14:00</t>
        </is>
      </c>
      <c r="B119" s="60">
        <f>H43</f>
        <v/>
      </c>
      <c r="C119" s="60">
        <f>H61</f>
        <v/>
      </c>
      <c r="D119" s="60">
        <f>H79</f>
        <v/>
      </c>
      <c r="E119" s="60">
        <f>H97</f>
        <v/>
      </c>
      <c r="F119" s="60" t="n">
        <v>1</v>
      </c>
    </row>
    <row r="120" ht="21.95" customHeight="1">
      <c r="A120" s="14" t="inlineStr">
        <is>
          <t>14:10</t>
        </is>
      </c>
      <c r="B120" s="60">
        <f>H44</f>
        <v/>
      </c>
      <c r="C120" s="60">
        <f>H62</f>
        <v/>
      </c>
      <c r="D120" s="60">
        <f>H80</f>
        <v/>
      </c>
      <c r="E120" s="60">
        <f>H98</f>
        <v/>
      </c>
      <c r="F120" s="60" t="n">
        <v>1</v>
      </c>
    </row>
    <row r="121" ht="21.95" customHeight="1">
      <c r="A121" s="14" t="inlineStr">
        <is>
          <t>14:20</t>
        </is>
      </c>
      <c r="B121" s="60">
        <f>H45</f>
        <v/>
      </c>
      <c r="C121" s="60">
        <f>H63</f>
        <v/>
      </c>
      <c r="D121" s="60">
        <f>H81</f>
        <v/>
      </c>
      <c r="E121" s="60">
        <f>H99</f>
        <v/>
      </c>
      <c r="F121" s="60" t="n">
        <v>1</v>
      </c>
    </row>
  </sheetData>
  <autoFilter ref="A27:U99"/>
  <mergeCells count="1">
    <mergeCell ref="A12:G18"/>
  </mergeCells>
  <conditionalFormatting sqref="H28:I99">
    <cfRule type="expression" priority="1" dxfId="0">
      <formula>$H28&gt;=1</formula>
    </cfRule>
    <cfRule type="expression" priority="2" dxfId="1">
      <formula>AND($H28&gt;=0.85,$H28&lt;1)</formula>
    </cfRule>
  </conditionalFormatting>
  <printOptions horizontalCentered="1"/>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tabColor rgb="002F5597"/>
    <outlinePr summaryBelow="1" summaryRight="1"/>
    <pageSetUpPr fitToPage="1"/>
  </sheetPr>
  <dimension ref="A1:U121"/>
  <sheetViews>
    <sheetView showGridLines="0" tabSelected="0" zoomScale="100" workbookViewId="0">
      <pane xSplit="3" ySplit="27" topLeftCell="D28"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0" customWidth="1" min="4" max="4"/>
    <col width="11" customWidth="1" min="5" max="5"/>
    <col width="10" customWidth="1" min="6" max="6"/>
    <col width="7" customWidth="1" min="7" max="7"/>
    <col width="9" customWidth="1" min="8" max="8"/>
    <col width="22" customWidth="1" min="9" max="9"/>
    <col width="12" customWidth="1" min="10" max="10"/>
    <col width="13" customWidth="1" min="11" max="11"/>
    <col width="12" customWidth="1" min="12" max="12"/>
    <col width="11" customWidth="1" min="13" max="13"/>
    <col width="11" customWidth="1" min="14" max="14"/>
    <col width="13" customWidth="1" min="15" max="15"/>
    <col width="11" customWidth="1" min="16" max="16"/>
    <col width="11" customWidth="1" min="17" max="17"/>
    <col width="12" customWidth="1" min="18" max="18"/>
    <col width="12" customWidth="1" min="19" max="19"/>
    <col width="13" customWidth="1" min="20" max="20"/>
    <col width="40" customWidth="1" min="21" max="21"/>
  </cols>
  <sheetData>
    <row r="1" ht="36" customHeight="1">
      <c r="A1" s="1" t="inlineStr">
        <is>
          <t>Serving stations: M/M/c</t>
        </is>
      </c>
      <c r="B1" s="2" t="n"/>
      <c r="C1" s="2" t="n"/>
      <c r="D1" s="2" t="n"/>
      <c r="E1" s="2" t="n"/>
      <c r="F1" s="2" t="n"/>
      <c r="G1" s="2" t="n"/>
      <c r="H1" s="2" t="n"/>
      <c r="I1" s="2" t="n"/>
      <c r="J1" s="2" t="n"/>
      <c r="K1" s="2" t="n"/>
      <c r="L1" s="2" t="n"/>
      <c r="M1" s="2" t="n"/>
      <c r="N1" s="2" t="n"/>
      <c r="O1" s="2" t="n"/>
      <c r="P1" s="2" t="n"/>
      <c r="Q1" s="2" t="n"/>
      <c r="R1" s="2" t="n"/>
      <c r="S1" s="2" t="n"/>
      <c r="T1" s="2" t="n"/>
      <c r="U1" s="2" t="n"/>
    </row>
    <row r="2" ht="22" customHeight="1">
      <c r="A2" s="3" t="inlineStr">
        <is>
          <t>M/M/c, two serving stations per mess. Arrivals, waits and line lengths are simulated; utilisation, stability, the textbook waits and the line carried between slots (fluid queue) are formulas.</t>
        </is>
      </c>
    </row>
    <row r="3" ht="8" customHeight="1"/>
    <row r="4" ht="24.85" customHeight="1">
      <c r="A4" s="4" t="inlineStr">
        <is>
          <t>Summary</t>
        </is>
      </c>
    </row>
    <row r="5" ht="69.8" customHeight="1">
      <c r="A5" s="7" t="inlineStr">
        <is>
          <t>Scenario</t>
        </is>
      </c>
      <c r="B5" s="7" t="inlineStr">
        <is>
          <t>Mess</t>
        </is>
      </c>
      <c r="C5" s="7" t="inlineStr">
        <is>
          <t>Peak ρ</t>
        </is>
      </c>
      <c r="D5" s="7" t="inlineStr">
        <is>
          <t>Slots over</t>
        </is>
      </c>
      <c r="E5" s="7" t="inlineStr">
        <is>
          <t>Slots near</t>
        </is>
      </c>
      <c r="F5" s="7" t="inlineStr">
        <is>
          <t>Worst wait</t>
        </is>
      </c>
      <c r="G5" s="7" t="inlineStr">
        <is>
          <t>Avg wait (simulated)</t>
        </is>
      </c>
      <c r="H5" s="7" t="inlineStr">
        <is>
          <t>Avg: formula on the average day</t>
        </is>
      </c>
      <c r="I5" s="7" t="inlineStr">
        <is>
          <t>Avg: rule lunch by lunch</t>
        </is>
      </c>
    </row>
    <row r="6" ht="21.95" customHeight="1">
      <c r="A6" s="14" t="inlineStr">
        <is>
          <t>Today (no screens)</t>
        </is>
      </c>
      <c r="B6" s="14" t="inlineStr">
        <is>
          <t>Central CT</t>
        </is>
      </c>
      <c r="C6" s="46">
        <f>_xlfn.MAXIFS($H$28:$H$99,$A$28:$A$99,"Today (no screens)",$B$28:$B$99,"Central CT")</f>
        <v/>
      </c>
      <c r="D6" s="47">
        <f>COUNTIFS($A$28:$A$99,"Today (no screens)",$B$28:$B$99,"Central CT",$H$28:$H$99,"&gt;=1")</f>
        <v/>
      </c>
      <c r="E6" s="48">
        <f>COUNTIFS($A$28:$A$99,"Today (no screens)",$B$28:$B$99,"Central CT",$H$28:$H$99,"&gt;=0.85",$H$28:$H$99,"&lt;1")</f>
        <v/>
      </c>
      <c r="F6" s="49">
        <f>_xlfn.MAXIFS($L$28:$L$99,$A$28:$A$99,"Today (no screens)",$B$28:$B$99,"Central CT")</f>
        <v/>
      </c>
      <c r="G6" s="49">
        <f>SUMPRODUCT(($A$28:$A$99="Today (no screens)")*($B$28:$B$99="Central CT")*$L$28:$L$99*$D$28:$D$99)/SUMPRODUCT(($A$28:$A$99="Today (no screens)")*($B$28:$B$99="Central CT")*$D$28:$D$99)</f>
        <v/>
      </c>
      <c r="H6" s="50">
        <f>SUMPRODUCT(($A$28:$A$99="Today (no screens)")*($B$28:$B$99="Central CT")*$S$28:$S$99*$D$28:$D$99)/SUMPRODUCT(($A$28:$A$99="Today (no screens)")*($B$28:$B$99="Central CT")*$D$28:$D$99)</f>
        <v/>
      </c>
      <c r="I6" s="50">
        <f>SUMPRODUCT(($A$28:$A$99="Today (no screens)")*($B$28:$B$99="Central CT")*$T$28:$T$99*$D$28:$D$99)/SUMPRODUCT(($A$28:$A$99="Today (no screens)")*($B$28:$B$99="Central CT")*$D$28:$D$99)</f>
        <v/>
      </c>
    </row>
    <row r="7" ht="21.95" customHeight="1">
      <c r="A7" s="14" t="inlineStr">
        <is>
          <t>Today (no screens)</t>
        </is>
      </c>
      <c r="B7" s="14" t="inlineStr">
        <is>
          <t>Munch Mess</t>
        </is>
      </c>
      <c r="C7" s="46">
        <f>_xlfn.MAXIFS($H$28:$H$99,$A$28:$A$99,"Today (no screens)",$B$28:$B$99,"Munch Mess")</f>
        <v/>
      </c>
      <c r="D7" s="47">
        <f>COUNTIFS($A$28:$A$99,"Today (no screens)",$B$28:$B$99,"Munch Mess",$H$28:$H$99,"&gt;=1")</f>
        <v/>
      </c>
      <c r="E7" s="48">
        <f>COUNTIFS($A$28:$A$99,"Today (no screens)",$B$28:$B$99,"Munch Mess",$H$28:$H$99,"&gt;=0.85",$H$28:$H$99,"&lt;1")</f>
        <v/>
      </c>
      <c r="F7" s="49">
        <f>_xlfn.MAXIFS($L$28:$L$99,$A$28:$A$99,"Today (no screens)",$B$28:$B$99,"Munch Mess")</f>
        <v/>
      </c>
      <c r="G7" s="49">
        <f>SUMPRODUCT(($A$28:$A$99="Today (no screens)")*($B$28:$B$99="Munch Mess")*$L$28:$L$99*$D$28:$D$99)/SUMPRODUCT(($A$28:$A$99="Today (no screens)")*($B$28:$B$99="Munch Mess")*$D$28:$D$99)</f>
        <v/>
      </c>
      <c r="H7" s="50">
        <f>SUMPRODUCT(($A$28:$A$99="Today (no screens)")*($B$28:$B$99="Munch Mess")*$S$28:$S$99*$D$28:$D$99)/SUMPRODUCT(($A$28:$A$99="Today (no screens)")*($B$28:$B$99="Munch Mess")*$D$28:$D$99)</f>
        <v/>
      </c>
      <c r="I7" s="50">
        <f>SUMPRODUCT(($A$28:$A$99="Today (no screens)")*($B$28:$B$99="Munch Mess")*$T$28:$T$99*$D$28:$D$99)/SUMPRODUCT(($A$28:$A$99="Today (no screens)")*($B$28:$B$99="Munch Mess")*$D$28:$D$99)</f>
        <v/>
      </c>
    </row>
    <row r="8" ht="21.95" customHeight="1">
      <c r="A8" s="14" t="inlineStr">
        <is>
          <t>With Smart Scan screens</t>
        </is>
      </c>
      <c r="B8" s="14" t="inlineStr">
        <is>
          <t>Central CT</t>
        </is>
      </c>
      <c r="C8" s="46">
        <f>_xlfn.MAXIFS($H$28:$H$99,$A$28:$A$99,"With Smart Scan screens",$B$28:$B$99,"Central CT")</f>
        <v/>
      </c>
      <c r="D8" s="47">
        <f>COUNTIFS($A$28:$A$99,"With Smart Scan screens",$B$28:$B$99,"Central CT",$H$28:$H$99,"&gt;=1")</f>
        <v/>
      </c>
      <c r="E8" s="48">
        <f>COUNTIFS($A$28:$A$99,"With Smart Scan screens",$B$28:$B$99,"Central CT",$H$28:$H$99,"&gt;=0.85",$H$28:$H$99,"&lt;1")</f>
        <v/>
      </c>
      <c r="F8" s="49">
        <f>_xlfn.MAXIFS($L$28:$L$99,$A$28:$A$99,"With Smart Scan screens",$B$28:$B$99,"Central CT")</f>
        <v/>
      </c>
      <c r="G8" s="49">
        <f>SUMPRODUCT(($A$28:$A$99="With Smart Scan screens")*($B$28:$B$99="Central CT")*$L$28:$L$99*$D$28:$D$99)/SUMPRODUCT(($A$28:$A$99="With Smart Scan screens")*($B$28:$B$99="Central CT")*$D$28:$D$99)</f>
        <v/>
      </c>
      <c r="H8" s="50">
        <f>SUMPRODUCT(($A$28:$A$99="With Smart Scan screens")*($B$28:$B$99="Central CT")*$S$28:$S$99*$D$28:$D$99)/SUMPRODUCT(($A$28:$A$99="With Smart Scan screens")*($B$28:$B$99="Central CT")*$D$28:$D$99)</f>
        <v/>
      </c>
      <c r="I8" s="50">
        <f>SUMPRODUCT(($A$28:$A$99="With Smart Scan screens")*($B$28:$B$99="Central CT")*$T$28:$T$99*$D$28:$D$99)/SUMPRODUCT(($A$28:$A$99="With Smart Scan screens")*($B$28:$B$99="Central CT")*$D$28:$D$99)</f>
        <v/>
      </c>
    </row>
    <row r="9" ht="21.95" customHeight="1">
      <c r="A9" s="14" t="inlineStr">
        <is>
          <t>With Smart Scan screens</t>
        </is>
      </c>
      <c r="B9" s="14" t="inlineStr">
        <is>
          <t>Munch Mess</t>
        </is>
      </c>
      <c r="C9" s="46">
        <f>_xlfn.MAXIFS($H$28:$H$99,$A$28:$A$99,"With Smart Scan screens",$B$28:$B$99,"Munch Mess")</f>
        <v/>
      </c>
      <c r="D9" s="47">
        <f>COUNTIFS($A$28:$A$99,"With Smart Scan screens",$B$28:$B$99,"Munch Mess",$H$28:$H$99,"&gt;=1")</f>
        <v/>
      </c>
      <c r="E9" s="48">
        <f>COUNTIFS($A$28:$A$99,"With Smart Scan screens",$B$28:$B$99,"Munch Mess",$H$28:$H$99,"&gt;=0.85",$H$28:$H$99,"&lt;1")</f>
        <v/>
      </c>
      <c r="F9" s="49">
        <f>_xlfn.MAXIFS($L$28:$L$99,$A$28:$A$99,"With Smart Scan screens",$B$28:$B$99,"Munch Mess")</f>
        <v/>
      </c>
      <c r="G9" s="49">
        <f>SUMPRODUCT(($A$28:$A$99="With Smart Scan screens")*($B$28:$B$99="Munch Mess")*$L$28:$L$99*$D$28:$D$99)/SUMPRODUCT(($A$28:$A$99="With Smart Scan screens")*($B$28:$B$99="Munch Mess")*$D$28:$D$99)</f>
        <v/>
      </c>
      <c r="H9" s="50">
        <f>SUMPRODUCT(($A$28:$A$99="With Smart Scan screens")*($B$28:$B$99="Munch Mess")*$S$28:$S$99*$D$28:$D$99)/SUMPRODUCT(($A$28:$A$99="With Smart Scan screens")*($B$28:$B$99="Munch Mess")*$D$28:$D$99)</f>
        <v/>
      </c>
      <c r="I9" s="50">
        <f>SUMPRODUCT(($A$28:$A$99="With Smart Scan screens")*($B$28:$B$99="Munch Mess")*$T$28:$T$99*$D$28:$D$99)/SUMPRODUCT(($A$28:$A$99="With Smart Scan screens")*($B$28:$B$99="Munch Mess")*$D$28:$D$99)</f>
        <v/>
      </c>
    </row>
    <row r="10" ht="20.5" customHeight="1">
      <c r="A10" s="51" t="inlineStr">
        <is>
          <t>Slots over = ρ ≥ 100% · slots near = 85–100% · worst and average wait are simulated · formula on the average day = column S (line carried between slots + randomness) · rule lunch by lunch = the serving-capacity rule on each simulated lunch, then averaged (column T) · all λ-weighted, in minutes</t>
        </is>
      </c>
    </row>
    <row r="11"/>
    <row r="12" ht="19.08571428571429" customHeight="1">
      <c r="A12" s="52" t="inlineStr">
        <is>
          <t>Takeaway: This is the bottleneck. Two stations serve 20 students a minute. Today Central runs at up to 147% in the 13:10 surge, so the line grows every minute and there is no steady state until the surge passes. With the screens Central peaks at 106% for a short while and Munch takes the overflow (peak 79%). The screens only ask students to walk when it saves at least 2 minutes, and only 60% follow. Per-slot textbook waits miss the line carried over from an overloaded slot (after 13:30 Central is under 100% again but ~200 are still waiting), so the best-estimate column adds the line from the serving-capacity rule: line ÷ 20 per minute.</t>
        </is>
      </c>
    </row>
    <row r="13">
      <c r="A13" s="53" t="n"/>
    </row>
    <row r="14">
      <c r="A14" s="53" t="n"/>
    </row>
    <row r="15">
      <c r="A15" s="53" t="n"/>
    </row>
    <row r="16">
      <c r="A16" s="53" t="n"/>
    </row>
    <row r="17">
      <c r="A17" s="53" t="n"/>
    </row>
    <row r="18">
      <c r="A18" s="53" t="n"/>
    </row>
    <row r="19"/>
    <row r="20" ht="20.5" customHeight="1">
      <c r="A20" s="51" t="inlineStr">
        <is>
          <t>In the table below: red = over capacity (the line keeps growing), amber = near capacity (waits rise steeply).</t>
        </is>
      </c>
    </row>
    <row r="21"/>
    <row r="22"/>
    <row r="23"/>
    <row r="24"/>
    <row r="25"/>
    <row r="26" ht="24.85" customHeight="1">
      <c r="A26" s="4" t="inlineStr">
        <is>
          <t>Slot by slot (filter by scenario or mess)</t>
        </is>
      </c>
    </row>
    <row r="27" ht="85.75" customHeight="1">
      <c r="A27" s="7" t="inlineStr">
        <is>
          <t>Scenario</t>
        </is>
      </c>
      <c r="B27" s="7" t="inlineStr">
        <is>
          <t>Mess</t>
        </is>
      </c>
      <c r="C27" s="7" t="inlineStr">
        <is>
          <t>Slot</t>
        </is>
      </c>
      <c r="D27" s="7" t="inlineStr">
        <is>
          <t>λ (/min)</t>
        </is>
      </c>
      <c r="E27" s="7" t="inlineStr">
        <is>
          <t>Service time (min)</t>
        </is>
      </c>
      <c r="F27" s="7" t="inlineStr">
        <is>
          <t>μ (/min)</t>
        </is>
      </c>
      <c r="G27" s="7" t="inlineStr">
        <is>
          <t>c</t>
        </is>
      </c>
      <c r="H27" s="7" t="inlineStr">
        <is>
          <t>ρ</t>
        </is>
      </c>
      <c r="I27" s="7" t="inlineStr">
        <is>
          <t>Stable?</t>
        </is>
      </c>
      <c r="J27" s="7" t="inlineStr">
        <is>
          <t>Wq textbook (min)</t>
        </is>
      </c>
      <c r="K27" s="7" t="inlineStr">
        <is>
          <t>Wq M/G/c, Allen–Cunneen (min)</t>
        </is>
      </c>
      <c r="L27" s="7" t="inlineStr">
        <is>
          <t>Wq simulated (min)</t>
        </is>
      </c>
      <c r="M27" s="7" t="inlineStr">
        <is>
          <t>Lq simulated</t>
        </is>
      </c>
      <c r="N27" s="7" t="inlineStr">
        <is>
          <t>λ × Wq simulated</t>
        </is>
      </c>
      <c r="O27" s="7" t="inlineStr">
        <is>
          <t>Little's Law: Lq ÷ λWq</t>
        </is>
      </c>
      <c r="P27" s="7" t="inlineStr">
        <is>
          <t>Line at start (carried in)</t>
        </is>
      </c>
      <c r="Q27" s="7" t="inlineStr">
        <is>
          <t>Line at end = start + λ×10 − cμ×(10 − minutes food out)</t>
        </is>
      </c>
      <c r="R27" s="7" t="inlineStr">
        <is>
          <t>Wait from the line (min)</t>
        </is>
      </c>
      <c r="S27" s="7" t="inlineStr">
        <is>
          <t>Best estimate, average day (min)</t>
        </is>
      </c>
      <c r="T27" s="7" t="inlineStr">
        <is>
          <t>Rule, each lunch then averaged (min)</t>
        </is>
      </c>
      <c r="U27" s="7" t="inlineStr">
        <is>
          <t>What it means</t>
        </is>
      </c>
    </row>
    <row r="28" ht="21.95" customHeight="1">
      <c r="A28" s="14" t="inlineStr">
        <is>
          <t>Today (no screens)</t>
        </is>
      </c>
      <c r="B28" s="14" t="inlineStr">
        <is>
          <t>Central CT</t>
        </is>
      </c>
      <c r="C28" s="27" t="inlineStr">
        <is>
          <t>11:30</t>
        </is>
      </c>
      <c r="D28" s="54">
        <f>'Sim Data'!$E$23</f>
        <v/>
      </c>
      <c r="E28" s="55">
        <f>'Sim Data'!$G$23</f>
        <v/>
      </c>
      <c r="F28" s="56">
        <f>IF(E28&gt;0,1/E28,'Assumptions'!$B$21)</f>
        <v/>
      </c>
      <c r="G28" s="57">
        <f>'Assumptions'!$B$20</f>
        <v/>
      </c>
      <c r="H28" s="58">
        <f>D28/(G28*F28)</f>
        <v/>
      </c>
      <c r="I28" s="27">
        <f>IF(D28=0,"no arrivals",IF(H28&lt;0.85,"stable",IF(H28&lt;1,"near capacity","over capacity")))</f>
        <v/>
      </c>
      <c r="J28" s="49">
        <f>IF(AND(D28&gt;0,H28&lt;1),((D28/F28)^G28/FACT(G28)/(1-H28))/(SUMPRODUCT(--({0,1,2,3,4,5,6,7,8,9}&lt;G28),(D28/F28)^{0,1,2,3,4,5,6,7,8,9}/FACT({0,1,2,3,4,5,6,7,8,9}))+((D28/F28)^G28/FACT(G28)/(1-H28)))/(G28*F28-D28),"—")</f>
        <v/>
      </c>
      <c r="K28" s="49">
        <f>IF(ISNUMBER(J28),(1+'Assumptions'!$B$22^2)/2*J28,"—")</f>
        <v/>
      </c>
      <c r="L28" s="59">
        <f>'Sim Data'!$F$23</f>
        <v/>
      </c>
      <c r="M28" s="54">
        <f>'Sim Data'!$H$23</f>
        <v/>
      </c>
      <c r="N28" s="56">
        <f>D28*L28</f>
        <v/>
      </c>
      <c r="O28" s="49">
        <f>IF(MAX(M28,N28)&lt;0.5,"both ≈ 0",IF(N28=0,"no new arrivals",M28/N28))</f>
        <v/>
      </c>
      <c r="P28" s="48">
        <f>0</f>
        <v/>
      </c>
      <c r="Q28" s="48">
        <f>MAX(0,P28+D28*'Assumptions'!$B$47-G28*F28*('Assumptions'!$B$47-'Sim Data'!$L$23))</f>
        <v/>
      </c>
      <c r="R28" s="49">
        <f>(P28+Q28)/2/(G28*F28)</f>
        <v/>
      </c>
      <c r="S28" s="49">
        <f>IF(D28&gt;0,R28+(1+'Assumptions'!$B$22^2)/2*((MIN(D28,0.95*G28*F28)/F28)^G28/FACT(G28)/(1-MIN(D28,0.95*G28*F28)/(G28*F28)))/(SUMPRODUCT(--({0,1,2,3,4,5,6,7,8,9}&lt;G28),(MIN(D28,0.95*G28*F28)/F28)^{0,1,2,3,4,5,6,7,8,9}/FACT({0,1,2,3,4,5,6,7,8,9}))+((MIN(D28,0.95*G28*F28)/F28)^G28/FACT(G28)/(1-MIN(D28,0.95*G28*F28)/(G28*F28))))/(G28*F28-MIN(D28,0.95*G28*F28)),0)</f>
        <v/>
      </c>
      <c r="T28" s="59">
        <f>'Sim Data'!$J$23</f>
        <v/>
      </c>
      <c r="U28" s="14">
        <f>IF(D28=0,IF(P28&gt;0,"No new arrivals: the line left from earlier drains",""),IF(H28&gt;=1,"Over capacity: the line grows by about "&amp;TEXT((D28-G28*F28)*10,"0")&amp;" in 10 min (to "&amp;TEXT(Q28,"0")&amp;")",IF(P28&gt;=1,"Under capacity, but "&amp;TEXT(P28,"0")&amp;" were already in line: it drains to "&amp;TEXT(Q28,"0"),IF(ISNUMBER(O28),IF(ABS(O28-1)&lt;=0.2,"Steady: Little's Law holds",IF(O28&gt;1,"Draining a line left from earlier","Line still building")),"Hardly any line"))))</f>
        <v/>
      </c>
    </row>
    <row r="29" ht="21.95" customHeight="1">
      <c r="A29" s="14" t="inlineStr">
        <is>
          <t>Today (no screens)</t>
        </is>
      </c>
      <c r="B29" s="14" t="inlineStr">
        <is>
          <t>Central CT</t>
        </is>
      </c>
      <c r="C29" s="27" t="inlineStr">
        <is>
          <t>11:40</t>
        </is>
      </c>
      <c r="D29" s="54">
        <f>'Sim Data'!$E$24</f>
        <v/>
      </c>
      <c r="E29" s="55">
        <f>'Sim Data'!$G$24</f>
        <v/>
      </c>
      <c r="F29" s="56">
        <f>IF(E29&gt;0,1/E29,'Assumptions'!$B$21)</f>
        <v/>
      </c>
      <c r="G29" s="57">
        <f>'Assumptions'!$B$20</f>
        <v/>
      </c>
      <c r="H29" s="58">
        <f>D29/(G29*F29)</f>
        <v/>
      </c>
      <c r="I29" s="27">
        <f>IF(D29=0,"no arrivals",IF(H29&lt;0.85,"stable",IF(H29&lt;1,"near capacity","over capacity")))</f>
        <v/>
      </c>
      <c r="J29" s="49">
        <f>IF(AND(D29&gt;0,H29&lt;1),((D29/F29)^G29/FACT(G29)/(1-H29))/(SUMPRODUCT(--({0,1,2,3,4,5,6,7,8,9}&lt;G29),(D29/F29)^{0,1,2,3,4,5,6,7,8,9}/FACT({0,1,2,3,4,5,6,7,8,9}))+((D29/F29)^G29/FACT(G29)/(1-H29)))/(G29*F29-D29),"—")</f>
        <v/>
      </c>
      <c r="K29" s="49">
        <f>IF(ISNUMBER(J29),(1+'Assumptions'!$B$22^2)/2*J29,"—")</f>
        <v/>
      </c>
      <c r="L29" s="59">
        <f>'Sim Data'!$F$24</f>
        <v/>
      </c>
      <c r="M29" s="54">
        <f>'Sim Data'!$H$24</f>
        <v/>
      </c>
      <c r="N29" s="56">
        <f>D29*L29</f>
        <v/>
      </c>
      <c r="O29" s="49">
        <f>IF(MAX(M29,N29)&lt;0.5,"both ≈ 0",IF(N29=0,"no new arrivals",M29/N29))</f>
        <v/>
      </c>
      <c r="P29" s="48">
        <f>Q28</f>
        <v/>
      </c>
      <c r="Q29" s="48">
        <f>MAX(0,P29+D29*'Assumptions'!$B$47-G29*F29*('Assumptions'!$B$47-'Sim Data'!$L$24))</f>
        <v/>
      </c>
      <c r="R29" s="49">
        <f>(P29+Q29)/2/(G29*F29)</f>
        <v/>
      </c>
      <c r="S29" s="49">
        <f>IF(D29&gt;0,R29+(1+'Assumptions'!$B$22^2)/2*((MIN(D29,0.95*G29*F29)/F29)^G29/FACT(G29)/(1-MIN(D29,0.95*G29*F29)/(G29*F29)))/(SUMPRODUCT(--({0,1,2,3,4,5,6,7,8,9}&lt;G29),(MIN(D29,0.95*G29*F29)/F29)^{0,1,2,3,4,5,6,7,8,9}/FACT({0,1,2,3,4,5,6,7,8,9}))+((MIN(D29,0.95*G29*F29)/F29)^G29/FACT(G29)/(1-MIN(D29,0.95*G29*F29)/(G29*F29))))/(G29*F29-MIN(D29,0.95*G29*F29)),0)</f>
        <v/>
      </c>
      <c r="T29" s="59">
        <f>'Sim Data'!$J$24</f>
        <v/>
      </c>
      <c r="U29" s="14">
        <f>IF(D29=0,IF(P29&gt;0,"No new arrivals: the line left from earlier drains",""),IF(H29&gt;=1,"Over capacity: the line grows by about "&amp;TEXT((D29-G29*F29)*10,"0")&amp;" in 10 min (to "&amp;TEXT(Q29,"0")&amp;")",IF(P29&gt;=1,"Under capacity, but "&amp;TEXT(P29,"0")&amp;" were already in line: it drains to "&amp;TEXT(Q29,"0"),IF(ISNUMBER(O29),IF(ABS(O29-1)&lt;=0.2,"Steady: Little's Law holds",IF(O29&gt;1,"Draining a line left from earlier","Line still building")),"Hardly any line"))))</f>
        <v/>
      </c>
    </row>
    <row r="30" ht="21.95" customHeight="1">
      <c r="A30" s="14" t="inlineStr">
        <is>
          <t>Today (no screens)</t>
        </is>
      </c>
      <c r="B30" s="14" t="inlineStr">
        <is>
          <t>Central CT</t>
        </is>
      </c>
      <c r="C30" s="27" t="inlineStr">
        <is>
          <t>11:50</t>
        </is>
      </c>
      <c r="D30" s="54">
        <f>'Sim Data'!$E$25</f>
        <v/>
      </c>
      <c r="E30" s="55">
        <f>'Sim Data'!$G$25</f>
        <v/>
      </c>
      <c r="F30" s="56">
        <f>IF(E30&gt;0,1/E30,'Assumptions'!$B$21)</f>
        <v/>
      </c>
      <c r="G30" s="57">
        <f>'Assumptions'!$B$20</f>
        <v/>
      </c>
      <c r="H30" s="58">
        <f>D30/(G30*F30)</f>
        <v/>
      </c>
      <c r="I30" s="27">
        <f>IF(D30=0,"no arrivals",IF(H30&lt;0.85,"stable",IF(H30&lt;1,"near capacity","over capacity")))</f>
        <v/>
      </c>
      <c r="J30" s="49">
        <f>IF(AND(D30&gt;0,H30&lt;1),((D30/F30)^G30/FACT(G30)/(1-H30))/(SUMPRODUCT(--({0,1,2,3,4,5,6,7,8,9}&lt;G30),(D30/F30)^{0,1,2,3,4,5,6,7,8,9}/FACT({0,1,2,3,4,5,6,7,8,9}))+((D30/F30)^G30/FACT(G30)/(1-H30)))/(G30*F30-D30),"—")</f>
        <v/>
      </c>
      <c r="K30" s="49">
        <f>IF(ISNUMBER(J30),(1+'Assumptions'!$B$22^2)/2*J30,"—")</f>
        <v/>
      </c>
      <c r="L30" s="59">
        <f>'Sim Data'!$F$25</f>
        <v/>
      </c>
      <c r="M30" s="54">
        <f>'Sim Data'!$H$25</f>
        <v/>
      </c>
      <c r="N30" s="56">
        <f>D30*L30</f>
        <v/>
      </c>
      <c r="O30" s="49">
        <f>IF(MAX(M30,N30)&lt;0.5,"both ≈ 0",IF(N30=0,"no new arrivals",M30/N30))</f>
        <v/>
      </c>
      <c r="P30" s="48">
        <f>Q29</f>
        <v/>
      </c>
      <c r="Q30" s="48">
        <f>MAX(0,P30+D30*'Assumptions'!$B$47-G30*F30*('Assumptions'!$B$47-'Sim Data'!$L$25))</f>
        <v/>
      </c>
      <c r="R30" s="49">
        <f>(P30+Q30)/2/(G30*F30)</f>
        <v/>
      </c>
      <c r="S30" s="49">
        <f>IF(D30&gt;0,R30+(1+'Assumptions'!$B$22^2)/2*((MIN(D30,0.95*G30*F30)/F30)^G30/FACT(G30)/(1-MIN(D30,0.95*G30*F30)/(G30*F30)))/(SUMPRODUCT(--({0,1,2,3,4,5,6,7,8,9}&lt;G30),(MIN(D30,0.95*G30*F30)/F30)^{0,1,2,3,4,5,6,7,8,9}/FACT({0,1,2,3,4,5,6,7,8,9}))+((MIN(D30,0.95*G30*F30)/F30)^G30/FACT(G30)/(1-MIN(D30,0.95*G30*F30)/(G30*F30))))/(G30*F30-MIN(D30,0.95*G30*F30)),0)</f>
        <v/>
      </c>
      <c r="T30" s="59">
        <f>'Sim Data'!$J$25</f>
        <v/>
      </c>
      <c r="U30" s="14">
        <f>IF(D30=0,IF(P30&gt;0,"No new arrivals: the line left from earlier drains",""),IF(H30&gt;=1,"Over capacity: the line grows by about "&amp;TEXT((D30-G30*F30)*10,"0")&amp;" in 10 min (to "&amp;TEXT(Q30,"0")&amp;")",IF(P30&gt;=1,"Under capacity, but "&amp;TEXT(P30,"0")&amp;" were already in line: it drains to "&amp;TEXT(Q30,"0"),IF(ISNUMBER(O30),IF(ABS(O30-1)&lt;=0.2,"Steady: Little's Law holds",IF(O30&gt;1,"Draining a line left from earlier","Line still building")),"Hardly any line"))))</f>
        <v/>
      </c>
    </row>
    <row r="31" ht="21.95" customHeight="1">
      <c r="A31" s="14" t="inlineStr">
        <is>
          <t>Today (no screens)</t>
        </is>
      </c>
      <c r="B31" s="14" t="inlineStr">
        <is>
          <t>Central CT</t>
        </is>
      </c>
      <c r="C31" s="27" t="inlineStr">
        <is>
          <t>12:00</t>
        </is>
      </c>
      <c r="D31" s="54">
        <f>'Sim Data'!$E$26</f>
        <v/>
      </c>
      <c r="E31" s="55">
        <f>'Sim Data'!$G$26</f>
        <v/>
      </c>
      <c r="F31" s="56">
        <f>IF(E31&gt;0,1/E31,'Assumptions'!$B$21)</f>
        <v/>
      </c>
      <c r="G31" s="57">
        <f>'Assumptions'!$B$20</f>
        <v/>
      </c>
      <c r="H31" s="58">
        <f>D31/(G31*F31)</f>
        <v/>
      </c>
      <c r="I31" s="27">
        <f>IF(D31=0,"no arrivals",IF(H31&lt;0.85,"stable",IF(H31&lt;1,"near capacity","over capacity")))</f>
        <v/>
      </c>
      <c r="J31" s="49">
        <f>IF(AND(D31&gt;0,H31&lt;1),((D31/F31)^G31/FACT(G31)/(1-H31))/(SUMPRODUCT(--({0,1,2,3,4,5,6,7,8,9}&lt;G31),(D31/F31)^{0,1,2,3,4,5,6,7,8,9}/FACT({0,1,2,3,4,5,6,7,8,9}))+((D31/F31)^G31/FACT(G31)/(1-H31)))/(G31*F31-D31),"—")</f>
        <v/>
      </c>
      <c r="K31" s="49">
        <f>IF(ISNUMBER(J31),(1+'Assumptions'!$B$22^2)/2*J31,"—")</f>
        <v/>
      </c>
      <c r="L31" s="59">
        <f>'Sim Data'!$F$26</f>
        <v/>
      </c>
      <c r="M31" s="54">
        <f>'Sim Data'!$H$26</f>
        <v/>
      </c>
      <c r="N31" s="56">
        <f>D31*L31</f>
        <v/>
      </c>
      <c r="O31" s="49">
        <f>IF(MAX(M31,N31)&lt;0.5,"both ≈ 0",IF(N31=0,"no new arrivals",M31/N31))</f>
        <v/>
      </c>
      <c r="P31" s="48">
        <f>Q30</f>
        <v/>
      </c>
      <c r="Q31" s="48">
        <f>MAX(0,P31+D31*'Assumptions'!$B$47-G31*F31*('Assumptions'!$B$47-'Sim Data'!$L$26))</f>
        <v/>
      </c>
      <c r="R31" s="49">
        <f>(P31+Q31)/2/(G31*F31)</f>
        <v/>
      </c>
      <c r="S31" s="49">
        <f>IF(D31&gt;0,R31+(1+'Assumptions'!$B$22^2)/2*((MIN(D31,0.95*G31*F31)/F31)^G31/FACT(G31)/(1-MIN(D31,0.95*G31*F31)/(G31*F31)))/(SUMPRODUCT(--({0,1,2,3,4,5,6,7,8,9}&lt;G31),(MIN(D31,0.95*G31*F31)/F31)^{0,1,2,3,4,5,6,7,8,9}/FACT({0,1,2,3,4,5,6,7,8,9}))+((MIN(D31,0.95*G31*F31)/F31)^G31/FACT(G31)/(1-MIN(D31,0.95*G31*F31)/(G31*F31))))/(G31*F31-MIN(D31,0.95*G31*F31)),0)</f>
        <v/>
      </c>
      <c r="T31" s="59">
        <f>'Sim Data'!$J$26</f>
        <v/>
      </c>
      <c r="U31" s="14">
        <f>IF(D31=0,IF(P31&gt;0,"No new arrivals: the line left from earlier drains",""),IF(H31&gt;=1,"Over capacity: the line grows by about "&amp;TEXT((D31-G31*F31)*10,"0")&amp;" in 10 min (to "&amp;TEXT(Q31,"0")&amp;")",IF(P31&gt;=1,"Under capacity, but "&amp;TEXT(P31,"0")&amp;" were already in line: it drains to "&amp;TEXT(Q31,"0"),IF(ISNUMBER(O31),IF(ABS(O31-1)&lt;=0.2,"Steady: Little's Law holds",IF(O31&gt;1,"Draining a line left from earlier","Line still building")),"Hardly any line"))))</f>
        <v/>
      </c>
    </row>
    <row r="32" ht="21.95" customHeight="1">
      <c r="A32" s="14" t="inlineStr">
        <is>
          <t>Today (no screens)</t>
        </is>
      </c>
      <c r="B32" s="14" t="inlineStr">
        <is>
          <t>Central CT</t>
        </is>
      </c>
      <c r="C32" s="27" t="inlineStr">
        <is>
          <t>12:10</t>
        </is>
      </c>
      <c r="D32" s="54">
        <f>'Sim Data'!$E$27</f>
        <v/>
      </c>
      <c r="E32" s="55">
        <f>'Sim Data'!$G$27</f>
        <v/>
      </c>
      <c r="F32" s="56">
        <f>IF(E32&gt;0,1/E32,'Assumptions'!$B$21)</f>
        <v/>
      </c>
      <c r="G32" s="57">
        <f>'Assumptions'!$B$20</f>
        <v/>
      </c>
      <c r="H32" s="58">
        <f>D32/(G32*F32)</f>
        <v/>
      </c>
      <c r="I32" s="27">
        <f>IF(D32=0,"no arrivals",IF(H32&lt;0.85,"stable",IF(H32&lt;1,"near capacity","over capacity")))</f>
        <v/>
      </c>
      <c r="J32" s="49">
        <f>IF(AND(D32&gt;0,H32&lt;1),((D32/F32)^G32/FACT(G32)/(1-H32))/(SUMPRODUCT(--({0,1,2,3,4,5,6,7,8,9}&lt;G32),(D32/F32)^{0,1,2,3,4,5,6,7,8,9}/FACT({0,1,2,3,4,5,6,7,8,9}))+((D32/F32)^G32/FACT(G32)/(1-H32)))/(G32*F32-D32),"—")</f>
        <v/>
      </c>
      <c r="K32" s="49">
        <f>IF(ISNUMBER(J32),(1+'Assumptions'!$B$22^2)/2*J32,"—")</f>
        <v/>
      </c>
      <c r="L32" s="59">
        <f>'Sim Data'!$F$27</f>
        <v/>
      </c>
      <c r="M32" s="54">
        <f>'Sim Data'!$H$27</f>
        <v/>
      </c>
      <c r="N32" s="56">
        <f>D32*L32</f>
        <v/>
      </c>
      <c r="O32" s="49">
        <f>IF(MAX(M32,N32)&lt;0.5,"both ≈ 0",IF(N32=0,"no new arrivals",M32/N32))</f>
        <v/>
      </c>
      <c r="P32" s="48">
        <f>Q31</f>
        <v/>
      </c>
      <c r="Q32" s="48">
        <f>MAX(0,P32+D32*'Assumptions'!$B$47-G32*F32*('Assumptions'!$B$47-'Sim Data'!$L$27))</f>
        <v/>
      </c>
      <c r="R32" s="49">
        <f>(P32+Q32)/2/(G32*F32)</f>
        <v/>
      </c>
      <c r="S32" s="49">
        <f>IF(D32&gt;0,R32+(1+'Assumptions'!$B$22^2)/2*((MIN(D32,0.95*G32*F32)/F32)^G32/FACT(G32)/(1-MIN(D32,0.95*G32*F32)/(G32*F32)))/(SUMPRODUCT(--({0,1,2,3,4,5,6,7,8,9}&lt;G32),(MIN(D32,0.95*G32*F32)/F32)^{0,1,2,3,4,5,6,7,8,9}/FACT({0,1,2,3,4,5,6,7,8,9}))+((MIN(D32,0.95*G32*F32)/F32)^G32/FACT(G32)/(1-MIN(D32,0.95*G32*F32)/(G32*F32))))/(G32*F32-MIN(D32,0.95*G32*F32)),0)</f>
        <v/>
      </c>
      <c r="T32" s="59">
        <f>'Sim Data'!$J$27</f>
        <v/>
      </c>
      <c r="U32" s="14">
        <f>IF(D32=0,IF(P32&gt;0,"No new arrivals: the line left from earlier drains",""),IF(H32&gt;=1,"Over capacity: the line grows by about "&amp;TEXT((D32-G32*F32)*10,"0")&amp;" in 10 min (to "&amp;TEXT(Q32,"0")&amp;")",IF(P32&gt;=1,"Under capacity, but "&amp;TEXT(P32,"0")&amp;" were already in line: it drains to "&amp;TEXT(Q32,"0"),IF(ISNUMBER(O32),IF(ABS(O32-1)&lt;=0.2,"Steady: Little's Law holds",IF(O32&gt;1,"Draining a line left from earlier","Line still building")),"Hardly any line"))))</f>
        <v/>
      </c>
    </row>
    <row r="33" ht="21.95" customHeight="1">
      <c r="A33" s="14" t="inlineStr">
        <is>
          <t>Today (no screens)</t>
        </is>
      </c>
      <c r="B33" s="14" t="inlineStr">
        <is>
          <t>Central CT</t>
        </is>
      </c>
      <c r="C33" s="27" t="inlineStr">
        <is>
          <t>12:20</t>
        </is>
      </c>
      <c r="D33" s="54">
        <f>'Sim Data'!$E$28</f>
        <v/>
      </c>
      <c r="E33" s="55">
        <f>'Sim Data'!$G$28</f>
        <v/>
      </c>
      <c r="F33" s="56">
        <f>IF(E33&gt;0,1/E33,'Assumptions'!$B$21)</f>
        <v/>
      </c>
      <c r="G33" s="57">
        <f>'Assumptions'!$B$20</f>
        <v/>
      </c>
      <c r="H33" s="58">
        <f>D33/(G33*F33)</f>
        <v/>
      </c>
      <c r="I33" s="27">
        <f>IF(D33=0,"no arrivals",IF(H33&lt;0.85,"stable",IF(H33&lt;1,"near capacity","over capacity")))</f>
        <v/>
      </c>
      <c r="J33" s="49">
        <f>IF(AND(D33&gt;0,H33&lt;1),((D33/F33)^G33/FACT(G33)/(1-H33))/(SUMPRODUCT(--({0,1,2,3,4,5,6,7,8,9}&lt;G33),(D33/F33)^{0,1,2,3,4,5,6,7,8,9}/FACT({0,1,2,3,4,5,6,7,8,9}))+((D33/F33)^G33/FACT(G33)/(1-H33)))/(G33*F33-D33),"—")</f>
        <v/>
      </c>
      <c r="K33" s="49">
        <f>IF(ISNUMBER(J33),(1+'Assumptions'!$B$22^2)/2*J33,"—")</f>
        <v/>
      </c>
      <c r="L33" s="59">
        <f>'Sim Data'!$F$28</f>
        <v/>
      </c>
      <c r="M33" s="54">
        <f>'Sim Data'!$H$28</f>
        <v/>
      </c>
      <c r="N33" s="56">
        <f>D33*L33</f>
        <v/>
      </c>
      <c r="O33" s="49">
        <f>IF(MAX(M33,N33)&lt;0.5,"both ≈ 0",IF(N33=0,"no new arrivals",M33/N33))</f>
        <v/>
      </c>
      <c r="P33" s="48">
        <f>Q32</f>
        <v/>
      </c>
      <c r="Q33" s="48">
        <f>MAX(0,P33+D33*'Assumptions'!$B$47-G33*F33*('Assumptions'!$B$47-'Sim Data'!$L$28))</f>
        <v/>
      </c>
      <c r="R33" s="49">
        <f>(P33+Q33)/2/(G33*F33)</f>
        <v/>
      </c>
      <c r="S33" s="49">
        <f>IF(D33&gt;0,R33+(1+'Assumptions'!$B$22^2)/2*((MIN(D33,0.95*G33*F33)/F33)^G33/FACT(G33)/(1-MIN(D33,0.95*G33*F33)/(G33*F33)))/(SUMPRODUCT(--({0,1,2,3,4,5,6,7,8,9}&lt;G33),(MIN(D33,0.95*G33*F33)/F33)^{0,1,2,3,4,5,6,7,8,9}/FACT({0,1,2,3,4,5,6,7,8,9}))+((MIN(D33,0.95*G33*F33)/F33)^G33/FACT(G33)/(1-MIN(D33,0.95*G33*F33)/(G33*F33))))/(G33*F33-MIN(D33,0.95*G33*F33)),0)</f>
        <v/>
      </c>
      <c r="T33" s="59">
        <f>'Sim Data'!$J$28</f>
        <v/>
      </c>
      <c r="U33" s="14">
        <f>IF(D33=0,IF(P33&gt;0,"No new arrivals: the line left from earlier drains",""),IF(H33&gt;=1,"Over capacity: the line grows by about "&amp;TEXT((D33-G33*F33)*10,"0")&amp;" in 10 min (to "&amp;TEXT(Q33,"0")&amp;")",IF(P33&gt;=1,"Under capacity, but "&amp;TEXT(P33,"0")&amp;" were already in line: it drains to "&amp;TEXT(Q33,"0"),IF(ISNUMBER(O33),IF(ABS(O33-1)&lt;=0.2,"Steady: Little's Law holds",IF(O33&gt;1,"Draining a line left from earlier","Line still building")),"Hardly any line"))))</f>
        <v/>
      </c>
    </row>
    <row r="34" ht="21.95" customHeight="1">
      <c r="A34" s="14" t="inlineStr">
        <is>
          <t>Today (no screens)</t>
        </is>
      </c>
      <c r="B34" s="14" t="inlineStr">
        <is>
          <t>Central CT</t>
        </is>
      </c>
      <c r="C34" s="27" t="inlineStr">
        <is>
          <t>12:30</t>
        </is>
      </c>
      <c r="D34" s="54">
        <f>'Sim Data'!$E$29</f>
        <v/>
      </c>
      <c r="E34" s="55">
        <f>'Sim Data'!$G$29</f>
        <v/>
      </c>
      <c r="F34" s="56">
        <f>IF(E34&gt;0,1/E34,'Assumptions'!$B$21)</f>
        <v/>
      </c>
      <c r="G34" s="57">
        <f>'Assumptions'!$B$20</f>
        <v/>
      </c>
      <c r="H34" s="58">
        <f>D34/(G34*F34)</f>
        <v/>
      </c>
      <c r="I34" s="27">
        <f>IF(D34=0,"no arrivals",IF(H34&lt;0.85,"stable",IF(H34&lt;1,"near capacity","over capacity")))</f>
        <v/>
      </c>
      <c r="J34" s="49">
        <f>IF(AND(D34&gt;0,H34&lt;1),((D34/F34)^G34/FACT(G34)/(1-H34))/(SUMPRODUCT(--({0,1,2,3,4,5,6,7,8,9}&lt;G34),(D34/F34)^{0,1,2,3,4,5,6,7,8,9}/FACT({0,1,2,3,4,5,6,7,8,9}))+((D34/F34)^G34/FACT(G34)/(1-H34)))/(G34*F34-D34),"—")</f>
        <v/>
      </c>
      <c r="K34" s="49">
        <f>IF(ISNUMBER(J34),(1+'Assumptions'!$B$22^2)/2*J34,"—")</f>
        <v/>
      </c>
      <c r="L34" s="59">
        <f>'Sim Data'!$F$29</f>
        <v/>
      </c>
      <c r="M34" s="54">
        <f>'Sim Data'!$H$29</f>
        <v/>
      </c>
      <c r="N34" s="56">
        <f>D34*L34</f>
        <v/>
      </c>
      <c r="O34" s="49">
        <f>IF(MAX(M34,N34)&lt;0.5,"both ≈ 0",IF(N34=0,"no new arrivals",M34/N34))</f>
        <v/>
      </c>
      <c r="P34" s="48">
        <f>Q33</f>
        <v/>
      </c>
      <c r="Q34" s="48">
        <f>MAX(0,P34+D34*'Assumptions'!$B$47-G34*F34*('Assumptions'!$B$47-'Sim Data'!$L$29))</f>
        <v/>
      </c>
      <c r="R34" s="49">
        <f>(P34+Q34)/2/(G34*F34)</f>
        <v/>
      </c>
      <c r="S34" s="49">
        <f>IF(D34&gt;0,R34+(1+'Assumptions'!$B$22^2)/2*((MIN(D34,0.95*G34*F34)/F34)^G34/FACT(G34)/(1-MIN(D34,0.95*G34*F34)/(G34*F34)))/(SUMPRODUCT(--({0,1,2,3,4,5,6,7,8,9}&lt;G34),(MIN(D34,0.95*G34*F34)/F34)^{0,1,2,3,4,5,6,7,8,9}/FACT({0,1,2,3,4,5,6,7,8,9}))+((MIN(D34,0.95*G34*F34)/F34)^G34/FACT(G34)/(1-MIN(D34,0.95*G34*F34)/(G34*F34))))/(G34*F34-MIN(D34,0.95*G34*F34)),0)</f>
        <v/>
      </c>
      <c r="T34" s="59">
        <f>'Sim Data'!$J$29</f>
        <v/>
      </c>
      <c r="U34" s="14">
        <f>IF(D34=0,IF(P34&gt;0,"No new arrivals: the line left from earlier drains",""),IF(H34&gt;=1,"Over capacity: the line grows by about "&amp;TEXT((D34-G34*F34)*10,"0")&amp;" in 10 min (to "&amp;TEXT(Q34,"0")&amp;")",IF(P34&gt;=1,"Under capacity, but "&amp;TEXT(P34,"0")&amp;" were already in line: it drains to "&amp;TEXT(Q34,"0"),IF(ISNUMBER(O34),IF(ABS(O34-1)&lt;=0.2,"Steady: Little's Law holds",IF(O34&gt;1,"Draining a line left from earlier","Line still building")),"Hardly any line"))))</f>
        <v/>
      </c>
    </row>
    <row r="35" ht="21.95" customHeight="1">
      <c r="A35" s="14" t="inlineStr">
        <is>
          <t>Today (no screens)</t>
        </is>
      </c>
      <c r="B35" s="14" t="inlineStr">
        <is>
          <t>Central CT</t>
        </is>
      </c>
      <c r="C35" s="27" t="inlineStr">
        <is>
          <t>12:40</t>
        </is>
      </c>
      <c r="D35" s="54">
        <f>'Sim Data'!$E$30</f>
        <v/>
      </c>
      <c r="E35" s="55">
        <f>'Sim Data'!$G$30</f>
        <v/>
      </c>
      <c r="F35" s="56">
        <f>IF(E35&gt;0,1/E35,'Assumptions'!$B$21)</f>
        <v/>
      </c>
      <c r="G35" s="57">
        <f>'Assumptions'!$B$20</f>
        <v/>
      </c>
      <c r="H35" s="58">
        <f>D35/(G35*F35)</f>
        <v/>
      </c>
      <c r="I35" s="27">
        <f>IF(D35=0,"no arrivals",IF(H35&lt;0.85,"stable",IF(H35&lt;1,"near capacity","over capacity")))</f>
        <v/>
      </c>
      <c r="J35" s="49">
        <f>IF(AND(D35&gt;0,H35&lt;1),((D35/F35)^G35/FACT(G35)/(1-H35))/(SUMPRODUCT(--({0,1,2,3,4,5,6,7,8,9}&lt;G35),(D35/F35)^{0,1,2,3,4,5,6,7,8,9}/FACT({0,1,2,3,4,5,6,7,8,9}))+((D35/F35)^G35/FACT(G35)/(1-H35)))/(G35*F35-D35),"—")</f>
        <v/>
      </c>
      <c r="K35" s="49">
        <f>IF(ISNUMBER(J35),(1+'Assumptions'!$B$22^2)/2*J35,"—")</f>
        <v/>
      </c>
      <c r="L35" s="59">
        <f>'Sim Data'!$F$30</f>
        <v/>
      </c>
      <c r="M35" s="54">
        <f>'Sim Data'!$H$30</f>
        <v/>
      </c>
      <c r="N35" s="56">
        <f>D35*L35</f>
        <v/>
      </c>
      <c r="O35" s="49">
        <f>IF(MAX(M35,N35)&lt;0.5,"both ≈ 0",IF(N35=0,"no new arrivals",M35/N35))</f>
        <v/>
      </c>
      <c r="P35" s="48">
        <f>Q34</f>
        <v/>
      </c>
      <c r="Q35" s="48">
        <f>MAX(0,P35+D35*'Assumptions'!$B$47-G35*F35*('Assumptions'!$B$47-'Sim Data'!$L$30))</f>
        <v/>
      </c>
      <c r="R35" s="49">
        <f>(P35+Q35)/2/(G35*F35)</f>
        <v/>
      </c>
      <c r="S35" s="49">
        <f>IF(D35&gt;0,R35+(1+'Assumptions'!$B$22^2)/2*((MIN(D35,0.95*G35*F35)/F35)^G35/FACT(G35)/(1-MIN(D35,0.95*G35*F35)/(G35*F35)))/(SUMPRODUCT(--({0,1,2,3,4,5,6,7,8,9}&lt;G35),(MIN(D35,0.95*G35*F35)/F35)^{0,1,2,3,4,5,6,7,8,9}/FACT({0,1,2,3,4,5,6,7,8,9}))+((MIN(D35,0.95*G35*F35)/F35)^G35/FACT(G35)/(1-MIN(D35,0.95*G35*F35)/(G35*F35))))/(G35*F35-MIN(D35,0.95*G35*F35)),0)</f>
        <v/>
      </c>
      <c r="T35" s="59">
        <f>'Sim Data'!$J$30</f>
        <v/>
      </c>
      <c r="U35" s="14">
        <f>IF(D35=0,IF(P35&gt;0,"No new arrivals: the line left from earlier drains",""),IF(H35&gt;=1,"Over capacity: the line grows by about "&amp;TEXT((D35-G35*F35)*10,"0")&amp;" in 10 min (to "&amp;TEXT(Q35,"0")&amp;")",IF(P35&gt;=1,"Under capacity, but "&amp;TEXT(P35,"0")&amp;" were already in line: it drains to "&amp;TEXT(Q35,"0"),IF(ISNUMBER(O35),IF(ABS(O35-1)&lt;=0.2,"Steady: Little's Law holds",IF(O35&gt;1,"Draining a line left from earlier","Line still building")),"Hardly any line"))))</f>
        <v/>
      </c>
    </row>
    <row r="36" ht="21.95" customHeight="1">
      <c r="A36" s="14" t="inlineStr">
        <is>
          <t>Today (no screens)</t>
        </is>
      </c>
      <c r="B36" s="14" t="inlineStr">
        <is>
          <t>Central CT</t>
        </is>
      </c>
      <c r="C36" s="27" t="inlineStr">
        <is>
          <t>12:50</t>
        </is>
      </c>
      <c r="D36" s="54">
        <f>'Sim Data'!$E$31</f>
        <v/>
      </c>
      <c r="E36" s="55">
        <f>'Sim Data'!$G$31</f>
        <v/>
      </c>
      <c r="F36" s="56">
        <f>IF(E36&gt;0,1/E36,'Assumptions'!$B$21)</f>
        <v/>
      </c>
      <c r="G36" s="57">
        <f>'Assumptions'!$B$20</f>
        <v/>
      </c>
      <c r="H36" s="58">
        <f>D36/(G36*F36)</f>
        <v/>
      </c>
      <c r="I36" s="27">
        <f>IF(D36=0,"no arrivals",IF(H36&lt;0.85,"stable",IF(H36&lt;1,"near capacity","over capacity")))</f>
        <v/>
      </c>
      <c r="J36" s="49">
        <f>IF(AND(D36&gt;0,H36&lt;1),((D36/F36)^G36/FACT(G36)/(1-H36))/(SUMPRODUCT(--({0,1,2,3,4,5,6,7,8,9}&lt;G36),(D36/F36)^{0,1,2,3,4,5,6,7,8,9}/FACT({0,1,2,3,4,5,6,7,8,9}))+((D36/F36)^G36/FACT(G36)/(1-H36)))/(G36*F36-D36),"—")</f>
        <v/>
      </c>
      <c r="K36" s="49">
        <f>IF(ISNUMBER(J36),(1+'Assumptions'!$B$22^2)/2*J36,"—")</f>
        <v/>
      </c>
      <c r="L36" s="59">
        <f>'Sim Data'!$F$31</f>
        <v/>
      </c>
      <c r="M36" s="54">
        <f>'Sim Data'!$H$31</f>
        <v/>
      </c>
      <c r="N36" s="56">
        <f>D36*L36</f>
        <v/>
      </c>
      <c r="O36" s="49">
        <f>IF(MAX(M36,N36)&lt;0.5,"both ≈ 0",IF(N36=0,"no new arrivals",M36/N36))</f>
        <v/>
      </c>
      <c r="P36" s="48">
        <f>Q35</f>
        <v/>
      </c>
      <c r="Q36" s="48">
        <f>MAX(0,P36+D36*'Assumptions'!$B$47-G36*F36*('Assumptions'!$B$47-'Sim Data'!$L$31))</f>
        <v/>
      </c>
      <c r="R36" s="49">
        <f>(P36+Q36)/2/(G36*F36)</f>
        <v/>
      </c>
      <c r="S36" s="49">
        <f>IF(D36&gt;0,R36+(1+'Assumptions'!$B$22^2)/2*((MIN(D36,0.95*G36*F36)/F36)^G36/FACT(G36)/(1-MIN(D36,0.95*G36*F36)/(G36*F36)))/(SUMPRODUCT(--({0,1,2,3,4,5,6,7,8,9}&lt;G36),(MIN(D36,0.95*G36*F36)/F36)^{0,1,2,3,4,5,6,7,8,9}/FACT({0,1,2,3,4,5,6,7,8,9}))+((MIN(D36,0.95*G36*F36)/F36)^G36/FACT(G36)/(1-MIN(D36,0.95*G36*F36)/(G36*F36))))/(G36*F36-MIN(D36,0.95*G36*F36)),0)</f>
        <v/>
      </c>
      <c r="T36" s="59">
        <f>'Sim Data'!$J$31</f>
        <v/>
      </c>
      <c r="U36" s="14">
        <f>IF(D36=0,IF(P36&gt;0,"No new arrivals: the line left from earlier drains",""),IF(H36&gt;=1,"Over capacity: the line grows by about "&amp;TEXT((D36-G36*F36)*10,"0")&amp;" in 10 min (to "&amp;TEXT(Q36,"0")&amp;")",IF(P36&gt;=1,"Under capacity, but "&amp;TEXT(P36,"0")&amp;" were already in line: it drains to "&amp;TEXT(Q36,"0"),IF(ISNUMBER(O36),IF(ABS(O36-1)&lt;=0.2,"Steady: Little's Law holds",IF(O36&gt;1,"Draining a line left from earlier","Line still building")),"Hardly any line"))))</f>
        <v/>
      </c>
    </row>
    <row r="37" ht="21.95" customHeight="1">
      <c r="A37" s="14" t="inlineStr">
        <is>
          <t>Today (no screens)</t>
        </is>
      </c>
      <c r="B37" s="14" t="inlineStr">
        <is>
          <t>Central CT</t>
        </is>
      </c>
      <c r="C37" s="27" t="inlineStr">
        <is>
          <t>13:00</t>
        </is>
      </c>
      <c r="D37" s="54">
        <f>'Sim Data'!$E$32</f>
        <v/>
      </c>
      <c r="E37" s="55">
        <f>'Sim Data'!$G$32</f>
        <v/>
      </c>
      <c r="F37" s="56">
        <f>IF(E37&gt;0,1/E37,'Assumptions'!$B$21)</f>
        <v/>
      </c>
      <c r="G37" s="57">
        <f>'Assumptions'!$B$20</f>
        <v/>
      </c>
      <c r="H37" s="58">
        <f>D37/(G37*F37)</f>
        <v/>
      </c>
      <c r="I37" s="27">
        <f>IF(D37=0,"no arrivals",IF(H37&lt;0.85,"stable",IF(H37&lt;1,"near capacity","over capacity")))</f>
        <v/>
      </c>
      <c r="J37" s="49">
        <f>IF(AND(D37&gt;0,H37&lt;1),((D37/F37)^G37/FACT(G37)/(1-H37))/(SUMPRODUCT(--({0,1,2,3,4,5,6,7,8,9}&lt;G37),(D37/F37)^{0,1,2,3,4,5,6,7,8,9}/FACT({0,1,2,3,4,5,6,7,8,9}))+((D37/F37)^G37/FACT(G37)/(1-H37)))/(G37*F37-D37),"—")</f>
        <v/>
      </c>
      <c r="K37" s="49">
        <f>IF(ISNUMBER(J37),(1+'Assumptions'!$B$22^2)/2*J37,"—")</f>
        <v/>
      </c>
      <c r="L37" s="59">
        <f>'Sim Data'!$F$32</f>
        <v/>
      </c>
      <c r="M37" s="54">
        <f>'Sim Data'!$H$32</f>
        <v/>
      </c>
      <c r="N37" s="56">
        <f>D37*L37</f>
        <v/>
      </c>
      <c r="O37" s="49">
        <f>IF(MAX(M37,N37)&lt;0.5,"both ≈ 0",IF(N37=0,"no new arrivals",M37/N37))</f>
        <v/>
      </c>
      <c r="P37" s="48">
        <f>Q36</f>
        <v/>
      </c>
      <c r="Q37" s="48">
        <f>MAX(0,P37+D37*'Assumptions'!$B$47-G37*F37*('Assumptions'!$B$47-'Sim Data'!$L$32))</f>
        <v/>
      </c>
      <c r="R37" s="49">
        <f>(P37+Q37)/2/(G37*F37)</f>
        <v/>
      </c>
      <c r="S37" s="49">
        <f>IF(D37&gt;0,R37+(1+'Assumptions'!$B$22^2)/2*((MIN(D37,0.95*G37*F37)/F37)^G37/FACT(G37)/(1-MIN(D37,0.95*G37*F37)/(G37*F37)))/(SUMPRODUCT(--({0,1,2,3,4,5,6,7,8,9}&lt;G37),(MIN(D37,0.95*G37*F37)/F37)^{0,1,2,3,4,5,6,7,8,9}/FACT({0,1,2,3,4,5,6,7,8,9}))+((MIN(D37,0.95*G37*F37)/F37)^G37/FACT(G37)/(1-MIN(D37,0.95*G37*F37)/(G37*F37))))/(G37*F37-MIN(D37,0.95*G37*F37)),0)</f>
        <v/>
      </c>
      <c r="T37" s="59">
        <f>'Sim Data'!$J$32</f>
        <v/>
      </c>
      <c r="U37" s="14">
        <f>IF(D37=0,IF(P37&gt;0,"No new arrivals: the line left from earlier drains",""),IF(H37&gt;=1,"Over capacity: the line grows by about "&amp;TEXT((D37-G37*F37)*10,"0")&amp;" in 10 min (to "&amp;TEXT(Q37,"0")&amp;")",IF(P37&gt;=1,"Under capacity, but "&amp;TEXT(P37,"0")&amp;" were already in line: it drains to "&amp;TEXT(Q37,"0"),IF(ISNUMBER(O37),IF(ABS(O37-1)&lt;=0.2,"Steady: Little's Law holds",IF(O37&gt;1,"Draining a line left from earlier","Line still building")),"Hardly any line"))))</f>
        <v/>
      </c>
    </row>
    <row r="38" ht="21.95" customHeight="1">
      <c r="A38" s="14" t="inlineStr">
        <is>
          <t>Today (no screens)</t>
        </is>
      </c>
      <c r="B38" s="14" t="inlineStr">
        <is>
          <t>Central CT</t>
        </is>
      </c>
      <c r="C38" s="27" t="inlineStr">
        <is>
          <t>13:10</t>
        </is>
      </c>
      <c r="D38" s="54">
        <f>'Sim Data'!$E$33</f>
        <v/>
      </c>
      <c r="E38" s="55">
        <f>'Sim Data'!$G$33</f>
        <v/>
      </c>
      <c r="F38" s="56">
        <f>IF(E38&gt;0,1/E38,'Assumptions'!$B$21)</f>
        <v/>
      </c>
      <c r="G38" s="57">
        <f>'Assumptions'!$B$20</f>
        <v/>
      </c>
      <c r="H38" s="58">
        <f>D38/(G38*F38)</f>
        <v/>
      </c>
      <c r="I38" s="27">
        <f>IF(D38=0,"no arrivals",IF(H38&lt;0.85,"stable",IF(H38&lt;1,"near capacity","over capacity")))</f>
        <v/>
      </c>
      <c r="J38" s="49">
        <f>IF(AND(D38&gt;0,H38&lt;1),((D38/F38)^G38/FACT(G38)/(1-H38))/(SUMPRODUCT(--({0,1,2,3,4,5,6,7,8,9}&lt;G38),(D38/F38)^{0,1,2,3,4,5,6,7,8,9}/FACT({0,1,2,3,4,5,6,7,8,9}))+((D38/F38)^G38/FACT(G38)/(1-H38)))/(G38*F38-D38),"—")</f>
        <v/>
      </c>
      <c r="K38" s="49">
        <f>IF(ISNUMBER(J38),(1+'Assumptions'!$B$22^2)/2*J38,"—")</f>
        <v/>
      </c>
      <c r="L38" s="59">
        <f>'Sim Data'!$F$33</f>
        <v/>
      </c>
      <c r="M38" s="54">
        <f>'Sim Data'!$H$33</f>
        <v/>
      </c>
      <c r="N38" s="56">
        <f>D38*L38</f>
        <v/>
      </c>
      <c r="O38" s="49">
        <f>IF(MAX(M38,N38)&lt;0.5,"both ≈ 0",IF(N38=0,"no new arrivals",M38/N38))</f>
        <v/>
      </c>
      <c r="P38" s="48">
        <f>Q37</f>
        <v/>
      </c>
      <c r="Q38" s="48">
        <f>MAX(0,P38+D38*'Assumptions'!$B$47-G38*F38*('Assumptions'!$B$47-'Sim Data'!$L$33))</f>
        <v/>
      </c>
      <c r="R38" s="49">
        <f>(P38+Q38)/2/(G38*F38)</f>
        <v/>
      </c>
      <c r="S38" s="49">
        <f>IF(D38&gt;0,R38+(1+'Assumptions'!$B$22^2)/2*((MIN(D38,0.95*G38*F38)/F38)^G38/FACT(G38)/(1-MIN(D38,0.95*G38*F38)/(G38*F38)))/(SUMPRODUCT(--({0,1,2,3,4,5,6,7,8,9}&lt;G38),(MIN(D38,0.95*G38*F38)/F38)^{0,1,2,3,4,5,6,7,8,9}/FACT({0,1,2,3,4,5,6,7,8,9}))+((MIN(D38,0.95*G38*F38)/F38)^G38/FACT(G38)/(1-MIN(D38,0.95*G38*F38)/(G38*F38))))/(G38*F38-MIN(D38,0.95*G38*F38)),0)</f>
        <v/>
      </c>
      <c r="T38" s="59">
        <f>'Sim Data'!$J$33</f>
        <v/>
      </c>
      <c r="U38" s="14">
        <f>IF(D38=0,IF(P38&gt;0,"No new arrivals: the line left from earlier drains",""),IF(H38&gt;=1,"Over capacity: the line grows by about "&amp;TEXT((D38-G38*F38)*10,"0")&amp;" in 10 min (to "&amp;TEXT(Q38,"0")&amp;")",IF(P38&gt;=1,"Under capacity, but "&amp;TEXT(P38,"0")&amp;" were already in line: it drains to "&amp;TEXT(Q38,"0"),IF(ISNUMBER(O38),IF(ABS(O38-1)&lt;=0.2,"Steady: Little's Law holds",IF(O38&gt;1,"Draining a line left from earlier","Line still building")),"Hardly any line"))))</f>
        <v/>
      </c>
    </row>
    <row r="39" ht="21.95" customHeight="1">
      <c r="A39" s="14" t="inlineStr">
        <is>
          <t>Today (no screens)</t>
        </is>
      </c>
      <c r="B39" s="14" t="inlineStr">
        <is>
          <t>Central CT</t>
        </is>
      </c>
      <c r="C39" s="27" t="inlineStr">
        <is>
          <t>13:20</t>
        </is>
      </c>
      <c r="D39" s="54">
        <f>'Sim Data'!$E$34</f>
        <v/>
      </c>
      <c r="E39" s="55">
        <f>'Sim Data'!$G$34</f>
        <v/>
      </c>
      <c r="F39" s="56">
        <f>IF(E39&gt;0,1/E39,'Assumptions'!$B$21)</f>
        <v/>
      </c>
      <c r="G39" s="57">
        <f>'Assumptions'!$B$20</f>
        <v/>
      </c>
      <c r="H39" s="58">
        <f>D39/(G39*F39)</f>
        <v/>
      </c>
      <c r="I39" s="27">
        <f>IF(D39=0,"no arrivals",IF(H39&lt;0.85,"stable",IF(H39&lt;1,"near capacity","over capacity")))</f>
        <v/>
      </c>
      <c r="J39" s="49">
        <f>IF(AND(D39&gt;0,H39&lt;1),((D39/F39)^G39/FACT(G39)/(1-H39))/(SUMPRODUCT(--({0,1,2,3,4,5,6,7,8,9}&lt;G39),(D39/F39)^{0,1,2,3,4,5,6,7,8,9}/FACT({0,1,2,3,4,5,6,7,8,9}))+((D39/F39)^G39/FACT(G39)/(1-H39)))/(G39*F39-D39),"—")</f>
        <v/>
      </c>
      <c r="K39" s="49">
        <f>IF(ISNUMBER(J39),(1+'Assumptions'!$B$22^2)/2*J39,"—")</f>
        <v/>
      </c>
      <c r="L39" s="59">
        <f>'Sim Data'!$F$34</f>
        <v/>
      </c>
      <c r="M39" s="54">
        <f>'Sim Data'!$H$34</f>
        <v/>
      </c>
      <c r="N39" s="56">
        <f>D39*L39</f>
        <v/>
      </c>
      <c r="O39" s="49">
        <f>IF(MAX(M39,N39)&lt;0.5,"both ≈ 0",IF(N39=0,"no new arrivals",M39/N39))</f>
        <v/>
      </c>
      <c r="P39" s="48">
        <f>Q38</f>
        <v/>
      </c>
      <c r="Q39" s="48">
        <f>MAX(0,P39+D39*'Assumptions'!$B$47-G39*F39*('Assumptions'!$B$47-'Sim Data'!$L$34))</f>
        <v/>
      </c>
      <c r="R39" s="49">
        <f>(P39+Q39)/2/(G39*F39)</f>
        <v/>
      </c>
      <c r="S39" s="49">
        <f>IF(D39&gt;0,R39+(1+'Assumptions'!$B$22^2)/2*((MIN(D39,0.95*G39*F39)/F39)^G39/FACT(G39)/(1-MIN(D39,0.95*G39*F39)/(G39*F39)))/(SUMPRODUCT(--({0,1,2,3,4,5,6,7,8,9}&lt;G39),(MIN(D39,0.95*G39*F39)/F39)^{0,1,2,3,4,5,6,7,8,9}/FACT({0,1,2,3,4,5,6,7,8,9}))+((MIN(D39,0.95*G39*F39)/F39)^G39/FACT(G39)/(1-MIN(D39,0.95*G39*F39)/(G39*F39))))/(G39*F39-MIN(D39,0.95*G39*F39)),0)</f>
        <v/>
      </c>
      <c r="T39" s="59">
        <f>'Sim Data'!$J$34</f>
        <v/>
      </c>
      <c r="U39" s="14">
        <f>IF(D39=0,IF(P39&gt;0,"No new arrivals: the line left from earlier drains",""),IF(H39&gt;=1,"Over capacity: the line grows by about "&amp;TEXT((D39-G39*F39)*10,"0")&amp;" in 10 min (to "&amp;TEXT(Q39,"0")&amp;")",IF(P39&gt;=1,"Under capacity, but "&amp;TEXT(P39,"0")&amp;" were already in line: it drains to "&amp;TEXT(Q39,"0"),IF(ISNUMBER(O39),IF(ABS(O39-1)&lt;=0.2,"Steady: Little's Law holds",IF(O39&gt;1,"Draining a line left from earlier","Line still building")),"Hardly any line"))))</f>
        <v/>
      </c>
    </row>
    <row r="40" ht="21.95" customHeight="1">
      <c r="A40" s="14" t="inlineStr">
        <is>
          <t>Today (no screens)</t>
        </is>
      </c>
      <c r="B40" s="14" t="inlineStr">
        <is>
          <t>Central CT</t>
        </is>
      </c>
      <c r="C40" s="27" t="inlineStr">
        <is>
          <t>13:30</t>
        </is>
      </c>
      <c r="D40" s="54">
        <f>'Sim Data'!$E$35</f>
        <v/>
      </c>
      <c r="E40" s="55">
        <f>'Sim Data'!$G$35</f>
        <v/>
      </c>
      <c r="F40" s="56">
        <f>IF(E40&gt;0,1/E40,'Assumptions'!$B$21)</f>
        <v/>
      </c>
      <c r="G40" s="57">
        <f>'Assumptions'!$B$20</f>
        <v/>
      </c>
      <c r="H40" s="58">
        <f>D40/(G40*F40)</f>
        <v/>
      </c>
      <c r="I40" s="27">
        <f>IF(D40=0,"no arrivals",IF(H40&lt;0.85,"stable",IF(H40&lt;1,"near capacity","over capacity")))</f>
        <v/>
      </c>
      <c r="J40" s="49">
        <f>IF(AND(D40&gt;0,H40&lt;1),((D40/F40)^G40/FACT(G40)/(1-H40))/(SUMPRODUCT(--({0,1,2,3,4,5,6,7,8,9}&lt;G40),(D40/F40)^{0,1,2,3,4,5,6,7,8,9}/FACT({0,1,2,3,4,5,6,7,8,9}))+((D40/F40)^G40/FACT(G40)/(1-H40)))/(G40*F40-D40),"—")</f>
        <v/>
      </c>
      <c r="K40" s="49">
        <f>IF(ISNUMBER(J40),(1+'Assumptions'!$B$22^2)/2*J40,"—")</f>
        <v/>
      </c>
      <c r="L40" s="59">
        <f>'Sim Data'!$F$35</f>
        <v/>
      </c>
      <c r="M40" s="54">
        <f>'Sim Data'!$H$35</f>
        <v/>
      </c>
      <c r="N40" s="56">
        <f>D40*L40</f>
        <v/>
      </c>
      <c r="O40" s="49">
        <f>IF(MAX(M40,N40)&lt;0.5,"both ≈ 0",IF(N40=0,"no new arrivals",M40/N40))</f>
        <v/>
      </c>
      <c r="P40" s="48">
        <f>Q39</f>
        <v/>
      </c>
      <c r="Q40" s="48">
        <f>MAX(0,P40+D40*'Assumptions'!$B$47-G40*F40*('Assumptions'!$B$47-'Sim Data'!$L$35))</f>
        <v/>
      </c>
      <c r="R40" s="49">
        <f>(P40+Q40)/2/(G40*F40)</f>
        <v/>
      </c>
      <c r="S40" s="49">
        <f>IF(D40&gt;0,R40+(1+'Assumptions'!$B$22^2)/2*((MIN(D40,0.95*G40*F40)/F40)^G40/FACT(G40)/(1-MIN(D40,0.95*G40*F40)/(G40*F40)))/(SUMPRODUCT(--({0,1,2,3,4,5,6,7,8,9}&lt;G40),(MIN(D40,0.95*G40*F40)/F40)^{0,1,2,3,4,5,6,7,8,9}/FACT({0,1,2,3,4,5,6,7,8,9}))+((MIN(D40,0.95*G40*F40)/F40)^G40/FACT(G40)/(1-MIN(D40,0.95*G40*F40)/(G40*F40))))/(G40*F40-MIN(D40,0.95*G40*F40)),0)</f>
        <v/>
      </c>
      <c r="T40" s="59">
        <f>'Sim Data'!$J$35</f>
        <v/>
      </c>
      <c r="U40" s="14">
        <f>IF(D40=0,IF(P40&gt;0,"No new arrivals: the line left from earlier drains",""),IF(H40&gt;=1,"Over capacity: the line grows by about "&amp;TEXT((D40-G40*F40)*10,"0")&amp;" in 10 min (to "&amp;TEXT(Q40,"0")&amp;")",IF(P40&gt;=1,"Under capacity, but "&amp;TEXT(P40,"0")&amp;" were already in line: it drains to "&amp;TEXT(Q40,"0"),IF(ISNUMBER(O40),IF(ABS(O40-1)&lt;=0.2,"Steady: Little's Law holds",IF(O40&gt;1,"Draining a line left from earlier","Line still building")),"Hardly any line"))))</f>
        <v/>
      </c>
    </row>
    <row r="41" ht="21.95" customHeight="1">
      <c r="A41" s="14" t="inlineStr">
        <is>
          <t>Today (no screens)</t>
        </is>
      </c>
      <c r="B41" s="14" t="inlineStr">
        <is>
          <t>Central CT</t>
        </is>
      </c>
      <c r="C41" s="27" t="inlineStr">
        <is>
          <t>13:40</t>
        </is>
      </c>
      <c r="D41" s="54">
        <f>'Sim Data'!$E$36</f>
        <v/>
      </c>
      <c r="E41" s="55">
        <f>'Sim Data'!$G$36</f>
        <v/>
      </c>
      <c r="F41" s="56">
        <f>IF(E41&gt;0,1/E41,'Assumptions'!$B$21)</f>
        <v/>
      </c>
      <c r="G41" s="57">
        <f>'Assumptions'!$B$20</f>
        <v/>
      </c>
      <c r="H41" s="58">
        <f>D41/(G41*F41)</f>
        <v/>
      </c>
      <c r="I41" s="27">
        <f>IF(D41=0,"no arrivals",IF(H41&lt;0.85,"stable",IF(H41&lt;1,"near capacity","over capacity")))</f>
        <v/>
      </c>
      <c r="J41" s="49">
        <f>IF(AND(D41&gt;0,H41&lt;1),((D41/F41)^G41/FACT(G41)/(1-H41))/(SUMPRODUCT(--({0,1,2,3,4,5,6,7,8,9}&lt;G41),(D41/F41)^{0,1,2,3,4,5,6,7,8,9}/FACT({0,1,2,3,4,5,6,7,8,9}))+((D41/F41)^G41/FACT(G41)/(1-H41)))/(G41*F41-D41),"—")</f>
        <v/>
      </c>
      <c r="K41" s="49">
        <f>IF(ISNUMBER(J41),(1+'Assumptions'!$B$22^2)/2*J41,"—")</f>
        <v/>
      </c>
      <c r="L41" s="59">
        <f>'Sim Data'!$F$36</f>
        <v/>
      </c>
      <c r="M41" s="54">
        <f>'Sim Data'!$H$36</f>
        <v/>
      </c>
      <c r="N41" s="56">
        <f>D41*L41</f>
        <v/>
      </c>
      <c r="O41" s="49">
        <f>IF(MAX(M41,N41)&lt;0.5,"both ≈ 0",IF(N41=0,"no new arrivals",M41/N41))</f>
        <v/>
      </c>
      <c r="P41" s="48">
        <f>Q40</f>
        <v/>
      </c>
      <c r="Q41" s="48">
        <f>MAX(0,P41+D41*'Assumptions'!$B$47-G41*F41*('Assumptions'!$B$47-'Sim Data'!$L$36))</f>
        <v/>
      </c>
      <c r="R41" s="49">
        <f>(P41+Q41)/2/(G41*F41)</f>
        <v/>
      </c>
      <c r="S41" s="49">
        <f>IF(D41&gt;0,R41+(1+'Assumptions'!$B$22^2)/2*((MIN(D41,0.95*G41*F41)/F41)^G41/FACT(G41)/(1-MIN(D41,0.95*G41*F41)/(G41*F41)))/(SUMPRODUCT(--({0,1,2,3,4,5,6,7,8,9}&lt;G41),(MIN(D41,0.95*G41*F41)/F41)^{0,1,2,3,4,5,6,7,8,9}/FACT({0,1,2,3,4,5,6,7,8,9}))+((MIN(D41,0.95*G41*F41)/F41)^G41/FACT(G41)/(1-MIN(D41,0.95*G41*F41)/(G41*F41))))/(G41*F41-MIN(D41,0.95*G41*F41)),0)</f>
        <v/>
      </c>
      <c r="T41" s="59">
        <f>'Sim Data'!$J$36</f>
        <v/>
      </c>
      <c r="U41" s="14">
        <f>IF(D41=0,IF(P41&gt;0,"No new arrivals: the line left from earlier drains",""),IF(H41&gt;=1,"Over capacity: the line grows by about "&amp;TEXT((D41-G41*F41)*10,"0")&amp;" in 10 min (to "&amp;TEXT(Q41,"0")&amp;")",IF(P41&gt;=1,"Under capacity, but "&amp;TEXT(P41,"0")&amp;" were already in line: it drains to "&amp;TEXT(Q41,"0"),IF(ISNUMBER(O41),IF(ABS(O41-1)&lt;=0.2,"Steady: Little's Law holds",IF(O41&gt;1,"Draining a line left from earlier","Line still building")),"Hardly any line"))))</f>
        <v/>
      </c>
    </row>
    <row r="42" ht="21.95" customHeight="1">
      <c r="A42" s="14" t="inlineStr">
        <is>
          <t>Today (no screens)</t>
        </is>
      </c>
      <c r="B42" s="14" t="inlineStr">
        <is>
          <t>Central CT</t>
        </is>
      </c>
      <c r="C42" s="27" t="inlineStr">
        <is>
          <t>13:50</t>
        </is>
      </c>
      <c r="D42" s="54">
        <f>'Sim Data'!$E$37</f>
        <v/>
      </c>
      <c r="E42" s="55">
        <f>'Sim Data'!$G$37</f>
        <v/>
      </c>
      <c r="F42" s="56">
        <f>IF(E42&gt;0,1/E42,'Assumptions'!$B$21)</f>
        <v/>
      </c>
      <c r="G42" s="57">
        <f>'Assumptions'!$B$20</f>
        <v/>
      </c>
      <c r="H42" s="58">
        <f>D42/(G42*F42)</f>
        <v/>
      </c>
      <c r="I42" s="27">
        <f>IF(D42=0,"no arrivals",IF(H42&lt;0.85,"stable",IF(H42&lt;1,"near capacity","over capacity")))</f>
        <v/>
      </c>
      <c r="J42" s="49">
        <f>IF(AND(D42&gt;0,H42&lt;1),((D42/F42)^G42/FACT(G42)/(1-H42))/(SUMPRODUCT(--({0,1,2,3,4,5,6,7,8,9}&lt;G42),(D42/F42)^{0,1,2,3,4,5,6,7,8,9}/FACT({0,1,2,3,4,5,6,7,8,9}))+((D42/F42)^G42/FACT(G42)/(1-H42)))/(G42*F42-D42),"—")</f>
        <v/>
      </c>
      <c r="K42" s="49">
        <f>IF(ISNUMBER(J42),(1+'Assumptions'!$B$22^2)/2*J42,"—")</f>
        <v/>
      </c>
      <c r="L42" s="59">
        <f>'Sim Data'!$F$37</f>
        <v/>
      </c>
      <c r="M42" s="54">
        <f>'Sim Data'!$H$37</f>
        <v/>
      </c>
      <c r="N42" s="56">
        <f>D42*L42</f>
        <v/>
      </c>
      <c r="O42" s="49">
        <f>IF(MAX(M42,N42)&lt;0.5,"both ≈ 0",IF(N42=0,"no new arrivals",M42/N42))</f>
        <v/>
      </c>
      <c r="P42" s="48">
        <f>Q41</f>
        <v/>
      </c>
      <c r="Q42" s="48">
        <f>MAX(0,P42+D42*'Assumptions'!$B$47-G42*F42*('Assumptions'!$B$47-'Sim Data'!$L$37))</f>
        <v/>
      </c>
      <c r="R42" s="49">
        <f>(P42+Q42)/2/(G42*F42)</f>
        <v/>
      </c>
      <c r="S42" s="49">
        <f>IF(D42&gt;0,R42+(1+'Assumptions'!$B$22^2)/2*((MIN(D42,0.95*G42*F42)/F42)^G42/FACT(G42)/(1-MIN(D42,0.95*G42*F42)/(G42*F42)))/(SUMPRODUCT(--({0,1,2,3,4,5,6,7,8,9}&lt;G42),(MIN(D42,0.95*G42*F42)/F42)^{0,1,2,3,4,5,6,7,8,9}/FACT({0,1,2,3,4,5,6,7,8,9}))+((MIN(D42,0.95*G42*F42)/F42)^G42/FACT(G42)/(1-MIN(D42,0.95*G42*F42)/(G42*F42))))/(G42*F42-MIN(D42,0.95*G42*F42)),0)</f>
        <v/>
      </c>
      <c r="T42" s="59">
        <f>'Sim Data'!$J$37</f>
        <v/>
      </c>
      <c r="U42" s="14">
        <f>IF(D42=0,IF(P42&gt;0,"No new arrivals: the line left from earlier drains",""),IF(H42&gt;=1,"Over capacity: the line grows by about "&amp;TEXT((D42-G42*F42)*10,"0")&amp;" in 10 min (to "&amp;TEXT(Q42,"0")&amp;")",IF(P42&gt;=1,"Under capacity, but "&amp;TEXT(P42,"0")&amp;" were already in line: it drains to "&amp;TEXT(Q42,"0"),IF(ISNUMBER(O42),IF(ABS(O42-1)&lt;=0.2,"Steady: Little's Law holds",IF(O42&gt;1,"Draining a line left from earlier","Line still building")),"Hardly any line"))))</f>
        <v/>
      </c>
    </row>
    <row r="43" ht="21.95" customHeight="1">
      <c r="A43" s="14" t="inlineStr">
        <is>
          <t>Today (no screens)</t>
        </is>
      </c>
      <c r="B43" s="14" t="inlineStr">
        <is>
          <t>Central CT</t>
        </is>
      </c>
      <c r="C43" s="27" t="inlineStr">
        <is>
          <t>14:00</t>
        </is>
      </c>
      <c r="D43" s="54">
        <f>'Sim Data'!$E$38</f>
        <v/>
      </c>
      <c r="E43" s="55">
        <f>'Sim Data'!$G$38</f>
        <v/>
      </c>
      <c r="F43" s="56">
        <f>IF(E43&gt;0,1/E43,'Assumptions'!$B$21)</f>
        <v/>
      </c>
      <c r="G43" s="57">
        <f>'Assumptions'!$B$20</f>
        <v/>
      </c>
      <c r="H43" s="58">
        <f>D43/(G43*F43)</f>
        <v/>
      </c>
      <c r="I43" s="27">
        <f>IF(D43=0,"no arrivals",IF(H43&lt;0.85,"stable",IF(H43&lt;1,"near capacity","over capacity")))</f>
        <v/>
      </c>
      <c r="J43" s="49">
        <f>IF(AND(D43&gt;0,H43&lt;1),((D43/F43)^G43/FACT(G43)/(1-H43))/(SUMPRODUCT(--({0,1,2,3,4,5,6,7,8,9}&lt;G43),(D43/F43)^{0,1,2,3,4,5,6,7,8,9}/FACT({0,1,2,3,4,5,6,7,8,9}))+((D43/F43)^G43/FACT(G43)/(1-H43)))/(G43*F43-D43),"—")</f>
        <v/>
      </c>
      <c r="K43" s="49">
        <f>IF(ISNUMBER(J43),(1+'Assumptions'!$B$22^2)/2*J43,"—")</f>
        <v/>
      </c>
      <c r="L43" s="59">
        <f>'Sim Data'!$F$38</f>
        <v/>
      </c>
      <c r="M43" s="54">
        <f>'Sim Data'!$H$38</f>
        <v/>
      </c>
      <c r="N43" s="56">
        <f>D43*L43</f>
        <v/>
      </c>
      <c r="O43" s="49">
        <f>IF(MAX(M43,N43)&lt;0.5,"both ≈ 0",IF(N43=0,"no new arrivals",M43/N43))</f>
        <v/>
      </c>
      <c r="P43" s="48">
        <f>Q42</f>
        <v/>
      </c>
      <c r="Q43" s="48">
        <f>MAX(0,P43+D43*'Assumptions'!$B$47-G43*F43*('Assumptions'!$B$47-'Sim Data'!$L$38))</f>
        <v/>
      </c>
      <c r="R43" s="49">
        <f>(P43+Q43)/2/(G43*F43)</f>
        <v/>
      </c>
      <c r="S43" s="49">
        <f>IF(D43&gt;0,R43+(1+'Assumptions'!$B$22^2)/2*((MIN(D43,0.95*G43*F43)/F43)^G43/FACT(G43)/(1-MIN(D43,0.95*G43*F43)/(G43*F43)))/(SUMPRODUCT(--({0,1,2,3,4,5,6,7,8,9}&lt;G43),(MIN(D43,0.95*G43*F43)/F43)^{0,1,2,3,4,5,6,7,8,9}/FACT({0,1,2,3,4,5,6,7,8,9}))+((MIN(D43,0.95*G43*F43)/F43)^G43/FACT(G43)/(1-MIN(D43,0.95*G43*F43)/(G43*F43))))/(G43*F43-MIN(D43,0.95*G43*F43)),0)</f>
        <v/>
      </c>
      <c r="T43" s="59">
        <f>'Sim Data'!$J$38</f>
        <v/>
      </c>
      <c r="U43" s="14">
        <f>IF(D43=0,IF(P43&gt;0,"No new arrivals: the line left from earlier drains",""),IF(H43&gt;=1,"Over capacity: the line grows by about "&amp;TEXT((D43-G43*F43)*10,"0")&amp;" in 10 min (to "&amp;TEXT(Q43,"0")&amp;")",IF(P43&gt;=1,"Under capacity, but "&amp;TEXT(P43,"0")&amp;" were already in line: it drains to "&amp;TEXT(Q43,"0"),IF(ISNUMBER(O43),IF(ABS(O43-1)&lt;=0.2,"Steady: Little's Law holds",IF(O43&gt;1,"Draining a line left from earlier","Line still building")),"Hardly any line"))))</f>
        <v/>
      </c>
    </row>
    <row r="44" ht="21.95" customHeight="1">
      <c r="A44" s="14" t="inlineStr">
        <is>
          <t>Today (no screens)</t>
        </is>
      </c>
      <c r="B44" s="14" t="inlineStr">
        <is>
          <t>Central CT</t>
        </is>
      </c>
      <c r="C44" s="27" t="inlineStr">
        <is>
          <t>14:10</t>
        </is>
      </c>
      <c r="D44" s="54">
        <f>'Sim Data'!$E$39</f>
        <v/>
      </c>
      <c r="E44" s="55">
        <f>'Sim Data'!$G$39</f>
        <v/>
      </c>
      <c r="F44" s="56">
        <f>IF(E44&gt;0,1/E44,'Assumptions'!$B$21)</f>
        <v/>
      </c>
      <c r="G44" s="57">
        <f>'Assumptions'!$B$20</f>
        <v/>
      </c>
      <c r="H44" s="58">
        <f>D44/(G44*F44)</f>
        <v/>
      </c>
      <c r="I44" s="27">
        <f>IF(D44=0,"no arrivals",IF(H44&lt;0.85,"stable",IF(H44&lt;1,"near capacity","over capacity")))</f>
        <v/>
      </c>
      <c r="J44" s="49">
        <f>IF(AND(D44&gt;0,H44&lt;1),((D44/F44)^G44/FACT(G44)/(1-H44))/(SUMPRODUCT(--({0,1,2,3,4,5,6,7,8,9}&lt;G44),(D44/F44)^{0,1,2,3,4,5,6,7,8,9}/FACT({0,1,2,3,4,5,6,7,8,9}))+((D44/F44)^G44/FACT(G44)/(1-H44)))/(G44*F44-D44),"—")</f>
        <v/>
      </c>
      <c r="K44" s="49">
        <f>IF(ISNUMBER(J44),(1+'Assumptions'!$B$22^2)/2*J44,"—")</f>
        <v/>
      </c>
      <c r="L44" s="59">
        <f>'Sim Data'!$F$39</f>
        <v/>
      </c>
      <c r="M44" s="54">
        <f>'Sim Data'!$H$39</f>
        <v/>
      </c>
      <c r="N44" s="56">
        <f>D44*L44</f>
        <v/>
      </c>
      <c r="O44" s="49">
        <f>IF(MAX(M44,N44)&lt;0.5,"both ≈ 0",IF(N44=0,"no new arrivals",M44/N44))</f>
        <v/>
      </c>
      <c r="P44" s="48">
        <f>Q43</f>
        <v/>
      </c>
      <c r="Q44" s="48">
        <f>MAX(0,P44+D44*'Assumptions'!$B$47-G44*F44*('Assumptions'!$B$47-'Sim Data'!$L$39))</f>
        <v/>
      </c>
      <c r="R44" s="49">
        <f>(P44+Q44)/2/(G44*F44)</f>
        <v/>
      </c>
      <c r="S44" s="49">
        <f>IF(D44&gt;0,R44+(1+'Assumptions'!$B$22^2)/2*((MIN(D44,0.95*G44*F44)/F44)^G44/FACT(G44)/(1-MIN(D44,0.95*G44*F44)/(G44*F44)))/(SUMPRODUCT(--({0,1,2,3,4,5,6,7,8,9}&lt;G44),(MIN(D44,0.95*G44*F44)/F44)^{0,1,2,3,4,5,6,7,8,9}/FACT({0,1,2,3,4,5,6,7,8,9}))+((MIN(D44,0.95*G44*F44)/F44)^G44/FACT(G44)/(1-MIN(D44,0.95*G44*F44)/(G44*F44))))/(G44*F44-MIN(D44,0.95*G44*F44)),0)</f>
        <v/>
      </c>
      <c r="T44" s="59">
        <f>'Sim Data'!$J$39</f>
        <v/>
      </c>
      <c r="U44" s="14">
        <f>IF(D44=0,IF(P44&gt;0,"No new arrivals: the line left from earlier drains",""),IF(H44&gt;=1,"Over capacity: the line grows by about "&amp;TEXT((D44-G44*F44)*10,"0")&amp;" in 10 min (to "&amp;TEXT(Q44,"0")&amp;")",IF(P44&gt;=1,"Under capacity, but "&amp;TEXT(P44,"0")&amp;" were already in line: it drains to "&amp;TEXT(Q44,"0"),IF(ISNUMBER(O44),IF(ABS(O44-1)&lt;=0.2,"Steady: Little's Law holds",IF(O44&gt;1,"Draining a line left from earlier","Line still building")),"Hardly any line"))))</f>
        <v/>
      </c>
    </row>
    <row r="45" ht="21.95" customHeight="1">
      <c r="A45" s="14" t="inlineStr">
        <is>
          <t>Today (no screens)</t>
        </is>
      </c>
      <c r="B45" s="14" t="inlineStr">
        <is>
          <t>Central CT</t>
        </is>
      </c>
      <c r="C45" s="27" t="inlineStr">
        <is>
          <t>14:20</t>
        </is>
      </c>
      <c r="D45" s="54">
        <f>'Sim Data'!$E$40</f>
        <v/>
      </c>
      <c r="E45" s="55">
        <f>'Sim Data'!$G$40</f>
        <v/>
      </c>
      <c r="F45" s="56">
        <f>IF(E45&gt;0,1/E45,'Assumptions'!$B$21)</f>
        <v/>
      </c>
      <c r="G45" s="57">
        <f>'Assumptions'!$B$20</f>
        <v/>
      </c>
      <c r="H45" s="58">
        <f>D45/(G45*F45)</f>
        <v/>
      </c>
      <c r="I45" s="27">
        <f>IF(D45=0,"no arrivals",IF(H45&lt;0.85,"stable",IF(H45&lt;1,"near capacity","over capacity")))</f>
        <v/>
      </c>
      <c r="J45" s="49">
        <f>IF(AND(D45&gt;0,H45&lt;1),((D45/F45)^G45/FACT(G45)/(1-H45))/(SUMPRODUCT(--({0,1,2,3,4,5,6,7,8,9}&lt;G45),(D45/F45)^{0,1,2,3,4,5,6,7,8,9}/FACT({0,1,2,3,4,5,6,7,8,9}))+((D45/F45)^G45/FACT(G45)/(1-H45)))/(G45*F45-D45),"—")</f>
        <v/>
      </c>
      <c r="K45" s="49">
        <f>IF(ISNUMBER(J45),(1+'Assumptions'!$B$22^2)/2*J45,"—")</f>
        <v/>
      </c>
      <c r="L45" s="59">
        <f>'Sim Data'!$F$40</f>
        <v/>
      </c>
      <c r="M45" s="54">
        <f>'Sim Data'!$H$40</f>
        <v/>
      </c>
      <c r="N45" s="56">
        <f>D45*L45</f>
        <v/>
      </c>
      <c r="O45" s="49">
        <f>IF(MAX(M45,N45)&lt;0.5,"both ≈ 0",IF(N45=0,"no new arrivals",M45/N45))</f>
        <v/>
      </c>
      <c r="P45" s="48">
        <f>Q44</f>
        <v/>
      </c>
      <c r="Q45" s="48">
        <f>MAX(0,P45+D45*'Assumptions'!$B$47-G45*F45*('Assumptions'!$B$47-'Sim Data'!$L$40))</f>
        <v/>
      </c>
      <c r="R45" s="49">
        <f>(P45+Q45)/2/(G45*F45)</f>
        <v/>
      </c>
      <c r="S45" s="49">
        <f>IF(D45&gt;0,R45+(1+'Assumptions'!$B$22^2)/2*((MIN(D45,0.95*G45*F45)/F45)^G45/FACT(G45)/(1-MIN(D45,0.95*G45*F45)/(G45*F45)))/(SUMPRODUCT(--({0,1,2,3,4,5,6,7,8,9}&lt;G45),(MIN(D45,0.95*G45*F45)/F45)^{0,1,2,3,4,5,6,7,8,9}/FACT({0,1,2,3,4,5,6,7,8,9}))+((MIN(D45,0.95*G45*F45)/F45)^G45/FACT(G45)/(1-MIN(D45,0.95*G45*F45)/(G45*F45))))/(G45*F45-MIN(D45,0.95*G45*F45)),0)</f>
        <v/>
      </c>
      <c r="T45" s="59">
        <f>'Sim Data'!$J$40</f>
        <v/>
      </c>
      <c r="U45" s="14">
        <f>IF(D45=0,IF(P45&gt;0,"No new arrivals: the line left from earlier drains",""),IF(H45&gt;=1,"Over capacity: the line grows by about "&amp;TEXT((D45-G45*F45)*10,"0")&amp;" in 10 min (to "&amp;TEXT(Q45,"0")&amp;")",IF(P45&gt;=1,"Under capacity, but "&amp;TEXT(P45,"0")&amp;" were already in line: it drains to "&amp;TEXT(Q45,"0"),IF(ISNUMBER(O45),IF(ABS(O45-1)&lt;=0.2,"Steady: Little's Law holds",IF(O45&gt;1,"Draining a line left from earlier","Line still building")),"Hardly any line"))))</f>
        <v/>
      </c>
    </row>
    <row r="46" ht="21.95" customHeight="1">
      <c r="A46" s="14" t="inlineStr">
        <is>
          <t>Today (no screens)</t>
        </is>
      </c>
      <c r="B46" s="14" t="inlineStr">
        <is>
          <t>Munch Mess</t>
        </is>
      </c>
      <c r="C46" s="27" t="inlineStr">
        <is>
          <t>11:30</t>
        </is>
      </c>
      <c r="D46" s="54">
        <f>'Sim Data'!$E$113</f>
        <v/>
      </c>
      <c r="E46" s="55">
        <f>'Sim Data'!$G$113</f>
        <v/>
      </c>
      <c r="F46" s="56">
        <f>IF(E46&gt;0,1/E46,'Assumptions'!$B$21)</f>
        <v/>
      </c>
      <c r="G46" s="57">
        <f>'Assumptions'!$B$20</f>
        <v/>
      </c>
      <c r="H46" s="58">
        <f>D46/(G46*F46)</f>
        <v/>
      </c>
      <c r="I46" s="27">
        <f>IF(D46=0,"no arrivals",IF(H46&lt;0.85,"stable",IF(H46&lt;1,"near capacity","over capacity")))</f>
        <v/>
      </c>
      <c r="J46" s="49">
        <f>IF(AND(D46&gt;0,H46&lt;1),((D46/F46)^G46/FACT(G46)/(1-H46))/(SUMPRODUCT(--({0,1,2,3,4,5,6,7,8,9}&lt;G46),(D46/F46)^{0,1,2,3,4,5,6,7,8,9}/FACT({0,1,2,3,4,5,6,7,8,9}))+((D46/F46)^G46/FACT(G46)/(1-H46)))/(G46*F46-D46),"—")</f>
        <v/>
      </c>
      <c r="K46" s="49">
        <f>IF(ISNUMBER(J46),(1+'Assumptions'!$B$22^2)/2*J46,"—")</f>
        <v/>
      </c>
      <c r="L46" s="59">
        <f>'Sim Data'!$F$113</f>
        <v/>
      </c>
      <c r="M46" s="54">
        <f>'Sim Data'!$H$113</f>
        <v/>
      </c>
      <c r="N46" s="56">
        <f>D46*L46</f>
        <v/>
      </c>
      <c r="O46" s="49">
        <f>IF(MAX(M46,N46)&lt;0.5,"both ≈ 0",IF(N46=0,"no new arrivals",M46/N46))</f>
        <v/>
      </c>
      <c r="P46" s="48">
        <f>0</f>
        <v/>
      </c>
      <c r="Q46" s="48">
        <f>MAX(0,P46+D46*'Assumptions'!$B$47-G46*F46*('Assumptions'!$B$47-'Sim Data'!$L$113))</f>
        <v/>
      </c>
      <c r="R46" s="49">
        <f>(P46+Q46)/2/(G46*F46)</f>
        <v/>
      </c>
      <c r="S46" s="49">
        <f>IF(D46&gt;0,R46+(1+'Assumptions'!$B$22^2)/2*((MIN(D46,0.95*G46*F46)/F46)^G46/FACT(G46)/(1-MIN(D46,0.95*G46*F46)/(G46*F46)))/(SUMPRODUCT(--({0,1,2,3,4,5,6,7,8,9}&lt;G46),(MIN(D46,0.95*G46*F46)/F46)^{0,1,2,3,4,5,6,7,8,9}/FACT({0,1,2,3,4,5,6,7,8,9}))+((MIN(D46,0.95*G46*F46)/F46)^G46/FACT(G46)/(1-MIN(D46,0.95*G46*F46)/(G46*F46))))/(G46*F46-MIN(D46,0.95*G46*F46)),0)</f>
        <v/>
      </c>
      <c r="T46" s="59">
        <f>'Sim Data'!$J$113</f>
        <v/>
      </c>
      <c r="U46" s="14">
        <f>IF(D46=0,IF(P46&gt;0,"No new arrivals: the line left from earlier drains",""),IF(H46&gt;=1,"Over capacity: the line grows by about "&amp;TEXT((D46-G46*F46)*10,"0")&amp;" in 10 min (to "&amp;TEXT(Q46,"0")&amp;")",IF(P46&gt;=1,"Under capacity, but "&amp;TEXT(P46,"0")&amp;" were already in line: it drains to "&amp;TEXT(Q46,"0"),IF(ISNUMBER(O46),IF(ABS(O46-1)&lt;=0.2,"Steady: Little's Law holds",IF(O46&gt;1,"Draining a line left from earlier","Line still building")),"Hardly any line"))))</f>
        <v/>
      </c>
    </row>
    <row r="47" ht="21.95" customHeight="1">
      <c r="A47" s="14" t="inlineStr">
        <is>
          <t>Today (no screens)</t>
        </is>
      </c>
      <c r="B47" s="14" t="inlineStr">
        <is>
          <t>Munch Mess</t>
        </is>
      </c>
      <c r="C47" s="27" t="inlineStr">
        <is>
          <t>11:40</t>
        </is>
      </c>
      <c r="D47" s="54">
        <f>'Sim Data'!$E$114</f>
        <v/>
      </c>
      <c r="E47" s="55">
        <f>'Sim Data'!$G$114</f>
        <v/>
      </c>
      <c r="F47" s="56">
        <f>IF(E47&gt;0,1/E47,'Assumptions'!$B$21)</f>
        <v/>
      </c>
      <c r="G47" s="57">
        <f>'Assumptions'!$B$20</f>
        <v/>
      </c>
      <c r="H47" s="58">
        <f>D47/(G47*F47)</f>
        <v/>
      </c>
      <c r="I47" s="27">
        <f>IF(D47=0,"no arrivals",IF(H47&lt;0.85,"stable",IF(H47&lt;1,"near capacity","over capacity")))</f>
        <v/>
      </c>
      <c r="J47" s="49">
        <f>IF(AND(D47&gt;0,H47&lt;1),((D47/F47)^G47/FACT(G47)/(1-H47))/(SUMPRODUCT(--({0,1,2,3,4,5,6,7,8,9}&lt;G47),(D47/F47)^{0,1,2,3,4,5,6,7,8,9}/FACT({0,1,2,3,4,5,6,7,8,9}))+((D47/F47)^G47/FACT(G47)/(1-H47)))/(G47*F47-D47),"—")</f>
        <v/>
      </c>
      <c r="K47" s="49">
        <f>IF(ISNUMBER(J47),(1+'Assumptions'!$B$22^2)/2*J47,"—")</f>
        <v/>
      </c>
      <c r="L47" s="59">
        <f>'Sim Data'!$F$114</f>
        <v/>
      </c>
      <c r="M47" s="54">
        <f>'Sim Data'!$H$114</f>
        <v/>
      </c>
      <c r="N47" s="56">
        <f>D47*L47</f>
        <v/>
      </c>
      <c r="O47" s="49">
        <f>IF(MAX(M47,N47)&lt;0.5,"both ≈ 0",IF(N47=0,"no new arrivals",M47/N47))</f>
        <v/>
      </c>
      <c r="P47" s="48">
        <f>Q46</f>
        <v/>
      </c>
      <c r="Q47" s="48">
        <f>MAX(0,P47+D47*'Assumptions'!$B$47-G47*F47*('Assumptions'!$B$47-'Sim Data'!$L$114))</f>
        <v/>
      </c>
      <c r="R47" s="49">
        <f>(P47+Q47)/2/(G47*F47)</f>
        <v/>
      </c>
      <c r="S47" s="49">
        <f>IF(D47&gt;0,R47+(1+'Assumptions'!$B$22^2)/2*((MIN(D47,0.95*G47*F47)/F47)^G47/FACT(G47)/(1-MIN(D47,0.95*G47*F47)/(G47*F47)))/(SUMPRODUCT(--({0,1,2,3,4,5,6,7,8,9}&lt;G47),(MIN(D47,0.95*G47*F47)/F47)^{0,1,2,3,4,5,6,7,8,9}/FACT({0,1,2,3,4,5,6,7,8,9}))+((MIN(D47,0.95*G47*F47)/F47)^G47/FACT(G47)/(1-MIN(D47,0.95*G47*F47)/(G47*F47))))/(G47*F47-MIN(D47,0.95*G47*F47)),0)</f>
        <v/>
      </c>
      <c r="T47" s="59">
        <f>'Sim Data'!$J$114</f>
        <v/>
      </c>
      <c r="U47" s="14">
        <f>IF(D47=0,IF(P47&gt;0,"No new arrivals: the line left from earlier drains",""),IF(H47&gt;=1,"Over capacity: the line grows by about "&amp;TEXT((D47-G47*F47)*10,"0")&amp;" in 10 min (to "&amp;TEXT(Q47,"0")&amp;")",IF(P47&gt;=1,"Under capacity, but "&amp;TEXT(P47,"0")&amp;" were already in line: it drains to "&amp;TEXT(Q47,"0"),IF(ISNUMBER(O47),IF(ABS(O47-1)&lt;=0.2,"Steady: Little's Law holds",IF(O47&gt;1,"Draining a line left from earlier","Line still building")),"Hardly any line"))))</f>
        <v/>
      </c>
    </row>
    <row r="48" ht="21.95" customHeight="1">
      <c r="A48" s="14" t="inlineStr">
        <is>
          <t>Today (no screens)</t>
        </is>
      </c>
      <c r="B48" s="14" t="inlineStr">
        <is>
          <t>Munch Mess</t>
        </is>
      </c>
      <c r="C48" s="27" t="inlineStr">
        <is>
          <t>11:50</t>
        </is>
      </c>
      <c r="D48" s="54">
        <f>'Sim Data'!$E$115</f>
        <v/>
      </c>
      <c r="E48" s="55">
        <f>'Sim Data'!$G$115</f>
        <v/>
      </c>
      <c r="F48" s="56">
        <f>IF(E48&gt;0,1/E48,'Assumptions'!$B$21)</f>
        <v/>
      </c>
      <c r="G48" s="57">
        <f>'Assumptions'!$B$20</f>
        <v/>
      </c>
      <c r="H48" s="58">
        <f>D48/(G48*F48)</f>
        <v/>
      </c>
      <c r="I48" s="27">
        <f>IF(D48=0,"no arrivals",IF(H48&lt;0.85,"stable",IF(H48&lt;1,"near capacity","over capacity")))</f>
        <v/>
      </c>
      <c r="J48" s="49">
        <f>IF(AND(D48&gt;0,H48&lt;1),((D48/F48)^G48/FACT(G48)/(1-H48))/(SUMPRODUCT(--({0,1,2,3,4,5,6,7,8,9}&lt;G48),(D48/F48)^{0,1,2,3,4,5,6,7,8,9}/FACT({0,1,2,3,4,5,6,7,8,9}))+((D48/F48)^G48/FACT(G48)/(1-H48)))/(G48*F48-D48),"—")</f>
        <v/>
      </c>
      <c r="K48" s="49">
        <f>IF(ISNUMBER(J48),(1+'Assumptions'!$B$22^2)/2*J48,"—")</f>
        <v/>
      </c>
      <c r="L48" s="59">
        <f>'Sim Data'!$F$115</f>
        <v/>
      </c>
      <c r="M48" s="54">
        <f>'Sim Data'!$H$115</f>
        <v/>
      </c>
      <c r="N48" s="56">
        <f>D48*L48</f>
        <v/>
      </c>
      <c r="O48" s="49">
        <f>IF(MAX(M48,N48)&lt;0.5,"both ≈ 0",IF(N48=0,"no new arrivals",M48/N48))</f>
        <v/>
      </c>
      <c r="P48" s="48">
        <f>Q47</f>
        <v/>
      </c>
      <c r="Q48" s="48">
        <f>MAX(0,P48+D48*'Assumptions'!$B$47-G48*F48*('Assumptions'!$B$47-'Sim Data'!$L$115))</f>
        <v/>
      </c>
      <c r="R48" s="49">
        <f>(P48+Q48)/2/(G48*F48)</f>
        <v/>
      </c>
      <c r="S48" s="49">
        <f>IF(D48&gt;0,R48+(1+'Assumptions'!$B$22^2)/2*((MIN(D48,0.95*G48*F48)/F48)^G48/FACT(G48)/(1-MIN(D48,0.95*G48*F48)/(G48*F48)))/(SUMPRODUCT(--({0,1,2,3,4,5,6,7,8,9}&lt;G48),(MIN(D48,0.95*G48*F48)/F48)^{0,1,2,3,4,5,6,7,8,9}/FACT({0,1,2,3,4,5,6,7,8,9}))+((MIN(D48,0.95*G48*F48)/F48)^G48/FACT(G48)/(1-MIN(D48,0.95*G48*F48)/(G48*F48))))/(G48*F48-MIN(D48,0.95*G48*F48)),0)</f>
        <v/>
      </c>
      <c r="T48" s="59">
        <f>'Sim Data'!$J$115</f>
        <v/>
      </c>
      <c r="U48" s="14">
        <f>IF(D48=0,IF(P48&gt;0,"No new arrivals: the line left from earlier drains",""),IF(H48&gt;=1,"Over capacity: the line grows by about "&amp;TEXT((D48-G48*F48)*10,"0")&amp;" in 10 min (to "&amp;TEXT(Q48,"0")&amp;")",IF(P48&gt;=1,"Under capacity, but "&amp;TEXT(P48,"0")&amp;" were already in line: it drains to "&amp;TEXT(Q48,"0"),IF(ISNUMBER(O48),IF(ABS(O48-1)&lt;=0.2,"Steady: Little's Law holds",IF(O48&gt;1,"Draining a line left from earlier","Line still building")),"Hardly any line"))))</f>
        <v/>
      </c>
    </row>
    <row r="49" ht="21.95" customHeight="1">
      <c r="A49" s="14" t="inlineStr">
        <is>
          <t>Today (no screens)</t>
        </is>
      </c>
      <c r="B49" s="14" t="inlineStr">
        <is>
          <t>Munch Mess</t>
        </is>
      </c>
      <c r="C49" s="27" t="inlineStr">
        <is>
          <t>12:00</t>
        </is>
      </c>
      <c r="D49" s="54">
        <f>'Sim Data'!$E$116</f>
        <v/>
      </c>
      <c r="E49" s="55">
        <f>'Sim Data'!$G$116</f>
        <v/>
      </c>
      <c r="F49" s="56">
        <f>IF(E49&gt;0,1/E49,'Assumptions'!$B$21)</f>
        <v/>
      </c>
      <c r="G49" s="57">
        <f>'Assumptions'!$B$20</f>
        <v/>
      </c>
      <c r="H49" s="58">
        <f>D49/(G49*F49)</f>
        <v/>
      </c>
      <c r="I49" s="27">
        <f>IF(D49=0,"no arrivals",IF(H49&lt;0.85,"stable",IF(H49&lt;1,"near capacity","over capacity")))</f>
        <v/>
      </c>
      <c r="J49" s="49">
        <f>IF(AND(D49&gt;0,H49&lt;1),((D49/F49)^G49/FACT(G49)/(1-H49))/(SUMPRODUCT(--({0,1,2,3,4,5,6,7,8,9}&lt;G49),(D49/F49)^{0,1,2,3,4,5,6,7,8,9}/FACT({0,1,2,3,4,5,6,7,8,9}))+((D49/F49)^G49/FACT(G49)/(1-H49)))/(G49*F49-D49),"—")</f>
        <v/>
      </c>
      <c r="K49" s="49">
        <f>IF(ISNUMBER(J49),(1+'Assumptions'!$B$22^2)/2*J49,"—")</f>
        <v/>
      </c>
      <c r="L49" s="59">
        <f>'Sim Data'!$F$116</f>
        <v/>
      </c>
      <c r="M49" s="54">
        <f>'Sim Data'!$H$116</f>
        <v/>
      </c>
      <c r="N49" s="56">
        <f>D49*L49</f>
        <v/>
      </c>
      <c r="O49" s="49">
        <f>IF(MAX(M49,N49)&lt;0.5,"both ≈ 0",IF(N49=0,"no new arrivals",M49/N49))</f>
        <v/>
      </c>
      <c r="P49" s="48">
        <f>Q48</f>
        <v/>
      </c>
      <c r="Q49" s="48">
        <f>MAX(0,P49+D49*'Assumptions'!$B$47-G49*F49*('Assumptions'!$B$47-'Sim Data'!$L$116))</f>
        <v/>
      </c>
      <c r="R49" s="49">
        <f>(P49+Q49)/2/(G49*F49)</f>
        <v/>
      </c>
      <c r="S49" s="49">
        <f>IF(D49&gt;0,R49+(1+'Assumptions'!$B$22^2)/2*((MIN(D49,0.95*G49*F49)/F49)^G49/FACT(G49)/(1-MIN(D49,0.95*G49*F49)/(G49*F49)))/(SUMPRODUCT(--({0,1,2,3,4,5,6,7,8,9}&lt;G49),(MIN(D49,0.95*G49*F49)/F49)^{0,1,2,3,4,5,6,7,8,9}/FACT({0,1,2,3,4,5,6,7,8,9}))+((MIN(D49,0.95*G49*F49)/F49)^G49/FACT(G49)/(1-MIN(D49,0.95*G49*F49)/(G49*F49))))/(G49*F49-MIN(D49,0.95*G49*F49)),0)</f>
        <v/>
      </c>
      <c r="T49" s="59">
        <f>'Sim Data'!$J$116</f>
        <v/>
      </c>
      <c r="U49" s="14">
        <f>IF(D49=0,IF(P49&gt;0,"No new arrivals: the line left from earlier drains",""),IF(H49&gt;=1,"Over capacity: the line grows by about "&amp;TEXT((D49-G49*F49)*10,"0")&amp;" in 10 min (to "&amp;TEXT(Q49,"0")&amp;")",IF(P49&gt;=1,"Under capacity, but "&amp;TEXT(P49,"0")&amp;" were already in line: it drains to "&amp;TEXT(Q49,"0"),IF(ISNUMBER(O49),IF(ABS(O49-1)&lt;=0.2,"Steady: Little's Law holds",IF(O49&gt;1,"Draining a line left from earlier","Line still building")),"Hardly any line"))))</f>
        <v/>
      </c>
    </row>
    <row r="50" ht="21.95" customHeight="1">
      <c r="A50" s="14" t="inlineStr">
        <is>
          <t>Today (no screens)</t>
        </is>
      </c>
      <c r="B50" s="14" t="inlineStr">
        <is>
          <t>Munch Mess</t>
        </is>
      </c>
      <c r="C50" s="27" t="inlineStr">
        <is>
          <t>12:10</t>
        </is>
      </c>
      <c r="D50" s="54">
        <f>'Sim Data'!$E$117</f>
        <v/>
      </c>
      <c r="E50" s="55">
        <f>'Sim Data'!$G$117</f>
        <v/>
      </c>
      <c r="F50" s="56">
        <f>IF(E50&gt;0,1/E50,'Assumptions'!$B$21)</f>
        <v/>
      </c>
      <c r="G50" s="57">
        <f>'Assumptions'!$B$20</f>
        <v/>
      </c>
      <c r="H50" s="58">
        <f>D50/(G50*F50)</f>
        <v/>
      </c>
      <c r="I50" s="27">
        <f>IF(D50=0,"no arrivals",IF(H50&lt;0.85,"stable",IF(H50&lt;1,"near capacity","over capacity")))</f>
        <v/>
      </c>
      <c r="J50" s="49">
        <f>IF(AND(D50&gt;0,H50&lt;1),((D50/F50)^G50/FACT(G50)/(1-H50))/(SUMPRODUCT(--({0,1,2,3,4,5,6,7,8,9}&lt;G50),(D50/F50)^{0,1,2,3,4,5,6,7,8,9}/FACT({0,1,2,3,4,5,6,7,8,9}))+((D50/F50)^G50/FACT(G50)/(1-H50)))/(G50*F50-D50),"—")</f>
        <v/>
      </c>
      <c r="K50" s="49">
        <f>IF(ISNUMBER(J50),(1+'Assumptions'!$B$22^2)/2*J50,"—")</f>
        <v/>
      </c>
      <c r="L50" s="59">
        <f>'Sim Data'!$F$117</f>
        <v/>
      </c>
      <c r="M50" s="54">
        <f>'Sim Data'!$H$117</f>
        <v/>
      </c>
      <c r="N50" s="56">
        <f>D50*L50</f>
        <v/>
      </c>
      <c r="O50" s="49">
        <f>IF(MAX(M50,N50)&lt;0.5,"both ≈ 0",IF(N50=0,"no new arrivals",M50/N50))</f>
        <v/>
      </c>
      <c r="P50" s="48">
        <f>Q49</f>
        <v/>
      </c>
      <c r="Q50" s="48">
        <f>MAX(0,P50+D50*'Assumptions'!$B$47-G50*F50*('Assumptions'!$B$47-'Sim Data'!$L$117))</f>
        <v/>
      </c>
      <c r="R50" s="49">
        <f>(P50+Q50)/2/(G50*F50)</f>
        <v/>
      </c>
      <c r="S50" s="49">
        <f>IF(D50&gt;0,R50+(1+'Assumptions'!$B$22^2)/2*((MIN(D50,0.95*G50*F50)/F50)^G50/FACT(G50)/(1-MIN(D50,0.95*G50*F50)/(G50*F50)))/(SUMPRODUCT(--({0,1,2,3,4,5,6,7,8,9}&lt;G50),(MIN(D50,0.95*G50*F50)/F50)^{0,1,2,3,4,5,6,7,8,9}/FACT({0,1,2,3,4,5,6,7,8,9}))+((MIN(D50,0.95*G50*F50)/F50)^G50/FACT(G50)/(1-MIN(D50,0.95*G50*F50)/(G50*F50))))/(G50*F50-MIN(D50,0.95*G50*F50)),0)</f>
        <v/>
      </c>
      <c r="T50" s="59">
        <f>'Sim Data'!$J$117</f>
        <v/>
      </c>
      <c r="U50" s="14">
        <f>IF(D50=0,IF(P50&gt;0,"No new arrivals: the line left from earlier drains",""),IF(H50&gt;=1,"Over capacity: the line grows by about "&amp;TEXT((D50-G50*F50)*10,"0")&amp;" in 10 min (to "&amp;TEXT(Q50,"0")&amp;")",IF(P50&gt;=1,"Under capacity, but "&amp;TEXT(P50,"0")&amp;" were already in line: it drains to "&amp;TEXT(Q50,"0"),IF(ISNUMBER(O50),IF(ABS(O50-1)&lt;=0.2,"Steady: Little's Law holds",IF(O50&gt;1,"Draining a line left from earlier","Line still building")),"Hardly any line"))))</f>
        <v/>
      </c>
    </row>
    <row r="51" ht="21.95" customHeight="1">
      <c r="A51" s="14" t="inlineStr">
        <is>
          <t>Today (no screens)</t>
        </is>
      </c>
      <c r="B51" s="14" t="inlineStr">
        <is>
          <t>Munch Mess</t>
        </is>
      </c>
      <c r="C51" s="27" t="inlineStr">
        <is>
          <t>12:20</t>
        </is>
      </c>
      <c r="D51" s="54">
        <f>'Sim Data'!$E$118</f>
        <v/>
      </c>
      <c r="E51" s="55">
        <f>'Sim Data'!$G$118</f>
        <v/>
      </c>
      <c r="F51" s="56">
        <f>IF(E51&gt;0,1/E51,'Assumptions'!$B$21)</f>
        <v/>
      </c>
      <c r="G51" s="57">
        <f>'Assumptions'!$B$20</f>
        <v/>
      </c>
      <c r="H51" s="58">
        <f>D51/(G51*F51)</f>
        <v/>
      </c>
      <c r="I51" s="27">
        <f>IF(D51=0,"no arrivals",IF(H51&lt;0.85,"stable",IF(H51&lt;1,"near capacity","over capacity")))</f>
        <v/>
      </c>
      <c r="J51" s="49">
        <f>IF(AND(D51&gt;0,H51&lt;1),((D51/F51)^G51/FACT(G51)/(1-H51))/(SUMPRODUCT(--({0,1,2,3,4,5,6,7,8,9}&lt;G51),(D51/F51)^{0,1,2,3,4,5,6,7,8,9}/FACT({0,1,2,3,4,5,6,7,8,9}))+((D51/F51)^G51/FACT(G51)/(1-H51)))/(G51*F51-D51),"—")</f>
        <v/>
      </c>
      <c r="K51" s="49">
        <f>IF(ISNUMBER(J51),(1+'Assumptions'!$B$22^2)/2*J51,"—")</f>
        <v/>
      </c>
      <c r="L51" s="59">
        <f>'Sim Data'!$F$118</f>
        <v/>
      </c>
      <c r="M51" s="54">
        <f>'Sim Data'!$H$118</f>
        <v/>
      </c>
      <c r="N51" s="56">
        <f>D51*L51</f>
        <v/>
      </c>
      <c r="O51" s="49">
        <f>IF(MAX(M51,N51)&lt;0.5,"both ≈ 0",IF(N51=0,"no new arrivals",M51/N51))</f>
        <v/>
      </c>
      <c r="P51" s="48">
        <f>Q50</f>
        <v/>
      </c>
      <c r="Q51" s="48">
        <f>MAX(0,P51+D51*'Assumptions'!$B$47-G51*F51*('Assumptions'!$B$47-'Sim Data'!$L$118))</f>
        <v/>
      </c>
      <c r="R51" s="49">
        <f>(P51+Q51)/2/(G51*F51)</f>
        <v/>
      </c>
      <c r="S51" s="49">
        <f>IF(D51&gt;0,R51+(1+'Assumptions'!$B$22^2)/2*((MIN(D51,0.95*G51*F51)/F51)^G51/FACT(G51)/(1-MIN(D51,0.95*G51*F51)/(G51*F51)))/(SUMPRODUCT(--({0,1,2,3,4,5,6,7,8,9}&lt;G51),(MIN(D51,0.95*G51*F51)/F51)^{0,1,2,3,4,5,6,7,8,9}/FACT({0,1,2,3,4,5,6,7,8,9}))+((MIN(D51,0.95*G51*F51)/F51)^G51/FACT(G51)/(1-MIN(D51,0.95*G51*F51)/(G51*F51))))/(G51*F51-MIN(D51,0.95*G51*F51)),0)</f>
        <v/>
      </c>
      <c r="T51" s="59">
        <f>'Sim Data'!$J$118</f>
        <v/>
      </c>
      <c r="U51" s="14">
        <f>IF(D51=0,IF(P51&gt;0,"No new arrivals: the line left from earlier drains",""),IF(H51&gt;=1,"Over capacity: the line grows by about "&amp;TEXT((D51-G51*F51)*10,"0")&amp;" in 10 min (to "&amp;TEXT(Q51,"0")&amp;")",IF(P51&gt;=1,"Under capacity, but "&amp;TEXT(P51,"0")&amp;" were already in line: it drains to "&amp;TEXT(Q51,"0"),IF(ISNUMBER(O51),IF(ABS(O51-1)&lt;=0.2,"Steady: Little's Law holds",IF(O51&gt;1,"Draining a line left from earlier","Line still building")),"Hardly any line"))))</f>
        <v/>
      </c>
    </row>
    <row r="52" ht="21.95" customHeight="1">
      <c r="A52" s="14" t="inlineStr">
        <is>
          <t>Today (no screens)</t>
        </is>
      </c>
      <c r="B52" s="14" t="inlineStr">
        <is>
          <t>Munch Mess</t>
        </is>
      </c>
      <c r="C52" s="27" t="inlineStr">
        <is>
          <t>12:30</t>
        </is>
      </c>
      <c r="D52" s="54">
        <f>'Sim Data'!$E$119</f>
        <v/>
      </c>
      <c r="E52" s="55">
        <f>'Sim Data'!$G$119</f>
        <v/>
      </c>
      <c r="F52" s="56">
        <f>IF(E52&gt;0,1/E52,'Assumptions'!$B$21)</f>
        <v/>
      </c>
      <c r="G52" s="57">
        <f>'Assumptions'!$B$20</f>
        <v/>
      </c>
      <c r="H52" s="58">
        <f>D52/(G52*F52)</f>
        <v/>
      </c>
      <c r="I52" s="27">
        <f>IF(D52=0,"no arrivals",IF(H52&lt;0.85,"stable",IF(H52&lt;1,"near capacity","over capacity")))</f>
        <v/>
      </c>
      <c r="J52" s="49">
        <f>IF(AND(D52&gt;0,H52&lt;1),((D52/F52)^G52/FACT(G52)/(1-H52))/(SUMPRODUCT(--({0,1,2,3,4,5,6,7,8,9}&lt;G52),(D52/F52)^{0,1,2,3,4,5,6,7,8,9}/FACT({0,1,2,3,4,5,6,7,8,9}))+((D52/F52)^G52/FACT(G52)/(1-H52)))/(G52*F52-D52),"—")</f>
        <v/>
      </c>
      <c r="K52" s="49">
        <f>IF(ISNUMBER(J52),(1+'Assumptions'!$B$22^2)/2*J52,"—")</f>
        <v/>
      </c>
      <c r="L52" s="59">
        <f>'Sim Data'!$F$119</f>
        <v/>
      </c>
      <c r="M52" s="54">
        <f>'Sim Data'!$H$119</f>
        <v/>
      </c>
      <c r="N52" s="56">
        <f>D52*L52</f>
        <v/>
      </c>
      <c r="O52" s="49">
        <f>IF(MAX(M52,N52)&lt;0.5,"both ≈ 0",IF(N52=0,"no new arrivals",M52/N52))</f>
        <v/>
      </c>
      <c r="P52" s="48">
        <f>Q51</f>
        <v/>
      </c>
      <c r="Q52" s="48">
        <f>MAX(0,P52+D52*'Assumptions'!$B$47-G52*F52*('Assumptions'!$B$47-'Sim Data'!$L$119))</f>
        <v/>
      </c>
      <c r="R52" s="49">
        <f>(P52+Q52)/2/(G52*F52)</f>
        <v/>
      </c>
      <c r="S52" s="49">
        <f>IF(D52&gt;0,R52+(1+'Assumptions'!$B$22^2)/2*((MIN(D52,0.95*G52*F52)/F52)^G52/FACT(G52)/(1-MIN(D52,0.95*G52*F52)/(G52*F52)))/(SUMPRODUCT(--({0,1,2,3,4,5,6,7,8,9}&lt;G52),(MIN(D52,0.95*G52*F52)/F52)^{0,1,2,3,4,5,6,7,8,9}/FACT({0,1,2,3,4,5,6,7,8,9}))+((MIN(D52,0.95*G52*F52)/F52)^G52/FACT(G52)/(1-MIN(D52,0.95*G52*F52)/(G52*F52))))/(G52*F52-MIN(D52,0.95*G52*F52)),0)</f>
        <v/>
      </c>
      <c r="T52" s="59">
        <f>'Sim Data'!$J$119</f>
        <v/>
      </c>
      <c r="U52" s="14">
        <f>IF(D52=0,IF(P52&gt;0,"No new arrivals: the line left from earlier drains",""),IF(H52&gt;=1,"Over capacity: the line grows by about "&amp;TEXT((D52-G52*F52)*10,"0")&amp;" in 10 min (to "&amp;TEXT(Q52,"0")&amp;")",IF(P52&gt;=1,"Under capacity, but "&amp;TEXT(P52,"0")&amp;" were already in line: it drains to "&amp;TEXT(Q52,"0"),IF(ISNUMBER(O52),IF(ABS(O52-1)&lt;=0.2,"Steady: Little's Law holds",IF(O52&gt;1,"Draining a line left from earlier","Line still building")),"Hardly any line"))))</f>
        <v/>
      </c>
    </row>
    <row r="53" ht="21.95" customHeight="1">
      <c r="A53" s="14" t="inlineStr">
        <is>
          <t>Today (no screens)</t>
        </is>
      </c>
      <c r="B53" s="14" t="inlineStr">
        <is>
          <t>Munch Mess</t>
        </is>
      </c>
      <c r="C53" s="27" t="inlineStr">
        <is>
          <t>12:40</t>
        </is>
      </c>
      <c r="D53" s="54">
        <f>'Sim Data'!$E$120</f>
        <v/>
      </c>
      <c r="E53" s="55">
        <f>'Sim Data'!$G$120</f>
        <v/>
      </c>
      <c r="F53" s="56">
        <f>IF(E53&gt;0,1/E53,'Assumptions'!$B$21)</f>
        <v/>
      </c>
      <c r="G53" s="57">
        <f>'Assumptions'!$B$20</f>
        <v/>
      </c>
      <c r="H53" s="58">
        <f>D53/(G53*F53)</f>
        <v/>
      </c>
      <c r="I53" s="27">
        <f>IF(D53=0,"no arrivals",IF(H53&lt;0.85,"stable",IF(H53&lt;1,"near capacity","over capacity")))</f>
        <v/>
      </c>
      <c r="J53" s="49">
        <f>IF(AND(D53&gt;0,H53&lt;1),((D53/F53)^G53/FACT(G53)/(1-H53))/(SUMPRODUCT(--({0,1,2,3,4,5,6,7,8,9}&lt;G53),(D53/F53)^{0,1,2,3,4,5,6,7,8,9}/FACT({0,1,2,3,4,5,6,7,8,9}))+((D53/F53)^G53/FACT(G53)/(1-H53)))/(G53*F53-D53),"—")</f>
        <v/>
      </c>
      <c r="K53" s="49">
        <f>IF(ISNUMBER(J53),(1+'Assumptions'!$B$22^2)/2*J53,"—")</f>
        <v/>
      </c>
      <c r="L53" s="59">
        <f>'Sim Data'!$F$120</f>
        <v/>
      </c>
      <c r="M53" s="54">
        <f>'Sim Data'!$H$120</f>
        <v/>
      </c>
      <c r="N53" s="56">
        <f>D53*L53</f>
        <v/>
      </c>
      <c r="O53" s="49">
        <f>IF(MAX(M53,N53)&lt;0.5,"both ≈ 0",IF(N53=0,"no new arrivals",M53/N53))</f>
        <v/>
      </c>
      <c r="P53" s="48">
        <f>Q52</f>
        <v/>
      </c>
      <c r="Q53" s="48">
        <f>MAX(0,P53+D53*'Assumptions'!$B$47-G53*F53*('Assumptions'!$B$47-'Sim Data'!$L$120))</f>
        <v/>
      </c>
      <c r="R53" s="49">
        <f>(P53+Q53)/2/(G53*F53)</f>
        <v/>
      </c>
      <c r="S53" s="49">
        <f>IF(D53&gt;0,R53+(1+'Assumptions'!$B$22^2)/2*((MIN(D53,0.95*G53*F53)/F53)^G53/FACT(G53)/(1-MIN(D53,0.95*G53*F53)/(G53*F53)))/(SUMPRODUCT(--({0,1,2,3,4,5,6,7,8,9}&lt;G53),(MIN(D53,0.95*G53*F53)/F53)^{0,1,2,3,4,5,6,7,8,9}/FACT({0,1,2,3,4,5,6,7,8,9}))+((MIN(D53,0.95*G53*F53)/F53)^G53/FACT(G53)/(1-MIN(D53,0.95*G53*F53)/(G53*F53))))/(G53*F53-MIN(D53,0.95*G53*F53)),0)</f>
        <v/>
      </c>
      <c r="T53" s="59">
        <f>'Sim Data'!$J$120</f>
        <v/>
      </c>
      <c r="U53" s="14">
        <f>IF(D53=0,IF(P53&gt;0,"No new arrivals: the line left from earlier drains",""),IF(H53&gt;=1,"Over capacity: the line grows by about "&amp;TEXT((D53-G53*F53)*10,"0")&amp;" in 10 min (to "&amp;TEXT(Q53,"0")&amp;")",IF(P53&gt;=1,"Under capacity, but "&amp;TEXT(P53,"0")&amp;" were already in line: it drains to "&amp;TEXT(Q53,"0"),IF(ISNUMBER(O53),IF(ABS(O53-1)&lt;=0.2,"Steady: Little's Law holds",IF(O53&gt;1,"Draining a line left from earlier","Line still building")),"Hardly any line"))))</f>
        <v/>
      </c>
    </row>
    <row r="54" ht="21.95" customHeight="1">
      <c r="A54" s="14" t="inlineStr">
        <is>
          <t>Today (no screens)</t>
        </is>
      </c>
      <c r="B54" s="14" t="inlineStr">
        <is>
          <t>Munch Mess</t>
        </is>
      </c>
      <c r="C54" s="27" t="inlineStr">
        <is>
          <t>12:50</t>
        </is>
      </c>
      <c r="D54" s="54">
        <f>'Sim Data'!$E$121</f>
        <v/>
      </c>
      <c r="E54" s="55">
        <f>'Sim Data'!$G$121</f>
        <v/>
      </c>
      <c r="F54" s="56">
        <f>IF(E54&gt;0,1/E54,'Assumptions'!$B$21)</f>
        <v/>
      </c>
      <c r="G54" s="57">
        <f>'Assumptions'!$B$20</f>
        <v/>
      </c>
      <c r="H54" s="58">
        <f>D54/(G54*F54)</f>
        <v/>
      </c>
      <c r="I54" s="27">
        <f>IF(D54=0,"no arrivals",IF(H54&lt;0.85,"stable",IF(H54&lt;1,"near capacity","over capacity")))</f>
        <v/>
      </c>
      <c r="J54" s="49">
        <f>IF(AND(D54&gt;0,H54&lt;1),((D54/F54)^G54/FACT(G54)/(1-H54))/(SUMPRODUCT(--({0,1,2,3,4,5,6,7,8,9}&lt;G54),(D54/F54)^{0,1,2,3,4,5,6,7,8,9}/FACT({0,1,2,3,4,5,6,7,8,9}))+((D54/F54)^G54/FACT(G54)/(1-H54)))/(G54*F54-D54),"—")</f>
        <v/>
      </c>
      <c r="K54" s="49">
        <f>IF(ISNUMBER(J54),(1+'Assumptions'!$B$22^2)/2*J54,"—")</f>
        <v/>
      </c>
      <c r="L54" s="59">
        <f>'Sim Data'!$F$121</f>
        <v/>
      </c>
      <c r="M54" s="54">
        <f>'Sim Data'!$H$121</f>
        <v/>
      </c>
      <c r="N54" s="56">
        <f>D54*L54</f>
        <v/>
      </c>
      <c r="O54" s="49">
        <f>IF(MAX(M54,N54)&lt;0.5,"both ≈ 0",IF(N54=0,"no new arrivals",M54/N54))</f>
        <v/>
      </c>
      <c r="P54" s="48">
        <f>Q53</f>
        <v/>
      </c>
      <c r="Q54" s="48">
        <f>MAX(0,P54+D54*'Assumptions'!$B$47-G54*F54*('Assumptions'!$B$47-'Sim Data'!$L$121))</f>
        <v/>
      </c>
      <c r="R54" s="49">
        <f>(P54+Q54)/2/(G54*F54)</f>
        <v/>
      </c>
      <c r="S54" s="49">
        <f>IF(D54&gt;0,R54+(1+'Assumptions'!$B$22^2)/2*((MIN(D54,0.95*G54*F54)/F54)^G54/FACT(G54)/(1-MIN(D54,0.95*G54*F54)/(G54*F54)))/(SUMPRODUCT(--({0,1,2,3,4,5,6,7,8,9}&lt;G54),(MIN(D54,0.95*G54*F54)/F54)^{0,1,2,3,4,5,6,7,8,9}/FACT({0,1,2,3,4,5,6,7,8,9}))+((MIN(D54,0.95*G54*F54)/F54)^G54/FACT(G54)/(1-MIN(D54,0.95*G54*F54)/(G54*F54))))/(G54*F54-MIN(D54,0.95*G54*F54)),0)</f>
        <v/>
      </c>
      <c r="T54" s="59">
        <f>'Sim Data'!$J$121</f>
        <v/>
      </c>
      <c r="U54" s="14">
        <f>IF(D54=0,IF(P54&gt;0,"No new arrivals: the line left from earlier drains",""),IF(H54&gt;=1,"Over capacity: the line grows by about "&amp;TEXT((D54-G54*F54)*10,"0")&amp;" in 10 min (to "&amp;TEXT(Q54,"0")&amp;")",IF(P54&gt;=1,"Under capacity, but "&amp;TEXT(P54,"0")&amp;" were already in line: it drains to "&amp;TEXT(Q54,"0"),IF(ISNUMBER(O54),IF(ABS(O54-1)&lt;=0.2,"Steady: Little's Law holds",IF(O54&gt;1,"Draining a line left from earlier","Line still building")),"Hardly any line"))))</f>
        <v/>
      </c>
    </row>
    <row r="55" ht="21.95" customHeight="1">
      <c r="A55" s="14" t="inlineStr">
        <is>
          <t>Today (no screens)</t>
        </is>
      </c>
      <c r="B55" s="14" t="inlineStr">
        <is>
          <t>Munch Mess</t>
        </is>
      </c>
      <c r="C55" s="27" t="inlineStr">
        <is>
          <t>13:00</t>
        </is>
      </c>
      <c r="D55" s="54">
        <f>'Sim Data'!$E$122</f>
        <v/>
      </c>
      <c r="E55" s="55">
        <f>'Sim Data'!$G$122</f>
        <v/>
      </c>
      <c r="F55" s="56">
        <f>IF(E55&gt;0,1/E55,'Assumptions'!$B$21)</f>
        <v/>
      </c>
      <c r="G55" s="57">
        <f>'Assumptions'!$B$20</f>
        <v/>
      </c>
      <c r="H55" s="58">
        <f>D55/(G55*F55)</f>
        <v/>
      </c>
      <c r="I55" s="27">
        <f>IF(D55=0,"no arrivals",IF(H55&lt;0.85,"stable",IF(H55&lt;1,"near capacity","over capacity")))</f>
        <v/>
      </c>
      <c r="J55" s="49">
        <f>IF(AND(D55&gt;0,H55&lt;1),((D55/F55)^G55/FACT(G55)/(1-H55))/(SUMPRODUCT(--({0,1,2,3,4,5,6,7,8,9}&lt;G55),(D55/F55)^{0,1,2,3,4,5,6,7,8,9}/FACT({0,1,2,3,4,5,6,7,8,9}))+((D55/F55)^G55/FACT(G55)/(1-H55)))/(G55*F55-D55),"—")</f>
        <v/>
      </c>
      <c r="K55" s="49">
        <f>IF(ISNUMBER(J55),(1+'Assumptions'!$B$22^2)/2*J55,"—")</f>
        <v/>
      </c>
      <c r="L55" s="59">
        <f>'Sim Data'!$F$122</f>
        <v/>
      </c>
      <c r="M55" s="54">
        <f>'Sim Data'!$H$122</f>
        <v/>
      </c>
      <c r="N55" s="56">
        <f>D55*L55</f>
        <v/>
      </c>
      <c r="O55" s="49">
        <f>IF(MAX(M55,N55)&lt;0.5,"both ≈ 0",IF(N55=0,"no new arrivals",M55/N55))</f>
        <v/>
      </c>
      <c r="P55" s="48">
        <f>Q54</f>
        <v/>
      </c>
      <c r="Q55" s="48">
        <f>MAX(0,P55+D55*'Assumptions'!$B$47-G55*F55*('Assumptions'!$B$47-'Sim Data'!$L$122))</f>
        <v/>
      </c>
      <c r="R55" s="49">
        <f>(P55+Q55)/2/(G55*F55)</f>
        <v/>
      </c>
      <c r="S55" s="49">
        <f>IF(D55&gt;0,R55+(1+'Assumptions'!$B$22^2)/2*((MIN(D55,0.95*G55*F55)/F55)^G55/FACT(G55)/(1-MIN(D55,0.95*G55*F55)/(G55*F55)))/(SUMPRODUCT(--({0,1,2,3,4,5,6,7,8,9}&lt;G55),(MIN(D55,0.95*G55*F55)/F55)^{0,1,2,3,4,5,6,7,8,9}/FACT({0,1,2,3,4,5,6,7,8,9}))+((MIN(D55,0.95*G55*F55)/F55)^G55/FACT(G55)/(1-MIN(D55,0.95*G55*F55)/(G55*F55))))/(G55*F55-MIN(D55,0.95*G55*F55)),0)</f>
        <v/>
      </c>
      <c r="T55" s="59">
        <f>'Sim Data'!$J$122</f>
        <v/>
      </c>
      <c r="U55" s="14">
        <f>IF(D55=0,IF(P55&gt;0,"No new arrivals: the line left from earlier drains",""),IF(H55&gt;=1,"Over capacity: the line grows by about "&amp;TEXT((D55-G55*F55)*10,"0")&amp;" in 10 min (to "&amp;TEXT(Q55,"0")&amp;")",IF(P55&gt;=1,"Under capacity, but "&amp;TEXT(P55,"0")&amp;" were already in line: it drains to "&amp;TEXT(Q55,"0"),IF(ISNUMBER(O55),IF(ABS(O55-1)&lt;=0.2,"Steady: Little's Law holds",IF(O55&gt;1,"Draining a line left from earlier","Line still building")),"Hardly any line"))))</f>
        <v/>
      </c>
    </row>
    <row r="56" ht="21.95" customHeight="1">
      <c r="A56" s="14" t="inlineStr">
        <is>
          <t>Today (no screens)</t>
        </is>
      </c>
      <c r="B56" s="14" t="inlineStr">
        <is>
          <t>Munch Mess</t>
        </is>
      </c>
      <c r="C56" s="27" t="inlineStr">
        <is>
          <t>13:10</t>
        </is>
      </c>
      <c r="D56" s="54">
        <f>'Sim Data'!$E$123</f>
        <v/>
      </c>
      <c r="E56" s="55">
        <f>'Sim Data'!$G$123</f>
        <v/>
      </c>
      <c r="F56" s="56">
        <f>IF(E56&gt;0,1/E56,'Assumptions'!$B$21)</f>
        <v/>
      </c>
      <c r="G56" s="57">
        <f>'Assumptions'!$B$20</f>
        <v/>
      </c>
      <c r="H56" s="58">
        <f>D56/(G56*F56)</f>
        <v/>
      </c>
      <c r="I56" s="27">
        <f>IF(D56=0,"no arrivals",IF(H56&lt;0.85,"stable",IF(H56&lt;1,"near capacity","over capacity")))</f>
        <v/>
      </c>
      <c r="J56" s="49">
        <f>IF(AND(D56&gt;0,H56&lt;1),((D56/F56)^G56/FACT(G56)/(1-H56))/(SUMPRODUCT(--({0,1,2,3,4,5,6,7,8,9}&lt;G56),(D56/F56)^{0,1,2,3,4,5,6,7,8,9}/FACT({0,1,2,3,4,5,6,7,8,9}))+((D56/F56)^G56/FACT(G56)/(1-H56)))/(G56*F56-D56),"—")</f>
        <v/>
      </c>
      <c r="K56" s="49">
        <f>IF(ISNUMBER(J56),(1+'Assumptions'!$B$22^2)/2*J56,"—")</f>
        <v/>
      </c>
      <c r="L56" s="59">
        <f>'Sim Data'!$F$123</f>
        <v/>
      </c>
      <c r="M56" s="54">
        <f>'Sim Data'!$H$123</f>
        <v/>
      </c>
      <c r="N56" s="56">
        <f>D56*L56</f>
        <v/>
      </c>
      <c r="O56" s="49">
        <f>IF(MAX(M56,N56)&lt;0.5,"both ≈ 0",IF(N56=0,"no new arrivals",M56/N56))</f>
        <v/>
      </c>
      <c r="P56" s="48">
        <f>Q55</f>
        <v/>
      </c>
      <c r="Q56" s="48">
        <f>MAX(0,P56+D56*'Assumptions'!$B$47-G56*F56*('Assumptions'!$B$47-'Sim Data'!$L$123))</f>
        <v/>
      </c>
      <c r="R56" s="49">
        <f>(P56+Q56)/2/(G56*F56)</f>
        <v/>
      </c>
      <c r="S56" s="49">
        <f>IF(D56&gt;0,R56+(1+'Assumptions'!$B$22^2)/2*((MIN(D56,0.95*G56*F56)/F56)^G56/FACT(G56)/(1-MIN(D56,0.95*G56*F56)/(G56*F56)))/(SUMPRODUCT(--({0,1,2,3,4,5,6,7,8,9}&lt;G56),(MIN(D56,0.95*G56*F56)/F56)^{0,1,2,3,4,5,6,7,8,9}/FACT({0,1,2,3,4,5,6,7,8,9}))+((MIN(D56,0.95*G56*F56)/F56)^G56/FACT(G56)/(1-MIN(D56,0.95*G56*F56)/(G56*F56))))/(G56*F56-MIN(D56,0.95*G56*F56)),0)</f>
        <v/>
      </c>
      <c r="T56" s="59">
        <f>'Sim Data'!$J$123</f>
        <v/>
      </c>
      <c r="U56" s="14">
        <f>IF(D56=0,IF(P56&gt;0,"No new arrivals: the line left from earlier drains",""),IF(H56&gt;=1,"Over capacity: the line grows by about "&amp;TEXT((D56-G56*F56)*10,"0")&amp;" in 10 min (to "&amp;TEXT(Q56,"0")&amp;")",IF(P56&gt;=1,"Under capacity, but "&amp;TEXT(P56,"0")&amp;" were already in line: it drains to "&amp;TEXT(Q56,"0"),IF(ISNUMBER(O56),IF(ABS(O56-1)&lt;=0.2,"Steady: Little's Law holds",IF(O56&gt;1,"Draining a line left from earlier","Line still building")),"Hardly any line"))))</f>
        <v/>
      </c>
    </row>
    <row r="57" ht="21.95" customHeight="1">
      <c r="A57" s="14" t="inlineStr">
        <is>
          <t>Today (no screens)</t>
        </is>
      </c>
      <c r="B57" s="14" t="inlineStr">
        <is>
          <t>Munch Mess</t>
        </is>
      </c>
      <c r="C57" s="27" t="inlineStr">
        <is>
          <t>13:20</t>
        </is>
      </c>
      <c r="D57" s="54">
        <f>'Sim Data'!$E$124</f>
        <v/>
      </c>
      <c r="E57" s="55">
        <f>'Sim Data'!$G$124</f>
        <v/>
      </c>
      <c r="F57" s="56">
        <f>IF(E57&gt;0,1/E57,'Assumptions'!$B$21)</f>
        <v/>
      </c>
      <c r="G57" s="57">
        <f>'Assumptions'!$B$20</f>
        <v/>
      </c>
      <c r="H57" s="58">
        <f>D57/(G57*F57)</f>
        <v/>
      </c>
      <c r="I57" s="27">
        <f>IF(D57=0,"no arrivals",IF(H57&lt;0.85,"stable",IF(H57&lt;1,"near capacity","over capacity")))</f>
        <v/>
      </c>
      <c r="J57" s="49">
        <f>IF(AND(D57&gt;0,H57&lt;1),((D57/F57)^G57/FACT(G57)/(1-H57))/(SUMPRODUCT(--({0,1,2,3,4,5,6,7,8,9}&lt;G57),(D57/F57)^{0,1,2,3,4,5,6,7,8,9}/FACT({0,1,2,3,4,5,6,7,8,9}))+((D57/F57)^G57/FACT(G57)/(1-H57)))/(G57*F57-D57),"—")</f>
        <v/>
      </c>
      <c r="K57" s="49">
        <f>IF(ISNUMBER(J57),(1+'Assumptions'!$B$22^2)/2*J57,"—")</f>
        <v/>
      </c>
      <c r="L57" s="59">
        <f>'Sim Data'!$F$124</f>
        <v/>
      </c>
      <c r="M57" s="54">
        <f>'Sim Data'!$H$124</f>
        <v/>
      </c>
      <c r="N57" s="56">
        <f>D57*L57</f>
        <v/>
      </c>
      <c r="O57" s="49">
        <f>IF(MAX(M57,N57)&lt;0.5,"both ≈ 0",IF(N57=0,"no new arrivals",M57/N57))</f>
        <v/>
      </c>
      <c r="P57" s="48">
        <f>Q56</f>
        <v/>
      </c>
      <c r="Q57" s="48">
        <f>MAX(0,P57+D57*'Assumptions'!$B$47-G57*F57*('Assumptions'!$B$47-'Sim Data'!$L$124))</f>
        <v/>
      </c>
      <c r="R57" s="49">
        <f>(P57+Q57)/2/(G57*F57)</f>
        <v/>
      </c>
      <c r="S57" s="49">
        <f>IF(D57&gt;0,R57+(1+'Assumptions'!$B$22^2)/2*((MIN(D57,0.95*G57*F57)/F57)^G57/FACT(G57)/(1-MIN(D57,0.95*G57*F57)/(G57*F57)))/(SUMPRODUCT(--({0,1,2,3,4,5,6,7,8,9}&lt;G57),(MIN(D57,0.95*G57*F57)/F57)^{0,1,2,3,4,5,6,7,8,9}/FACT({0,1,2,3,4,5,6,7,8,9}))+((MIN(D57,0.95*G57*F57)/F57)^G57/FACT(G57)/(1-MIN(D57,0.95*G57*F57)/(G57*F57))))/(G57*F57-MIN(D57,0.95*G57*F57)),0)</f>
        <v/>
      </c>
      <c r="T57" s="59">
        <f>'Sim Data'!$J$124</f>
        <v/>
      </c>
      <c r="U57" s="14">
        <f>IF(D57=0,IF(P57&gt;0,"No new arrivals: the line left from earlier drains",""),IF(H57&gt;=1,"Over capacity: the line grows by about "&amp;TEXT((D57-G57*F57)*10,"0")&amp;" in 10 min (to "&amp;TEXT(Q57,"0")&amp;")",IF(P57&gt;=1,"Under capacity, but "&amp;TEXT(P57,"0")&amp;" were already in line: it drains to "&amp;TEXT(Q57,"0"),IF(ISNUMBER(O57),IF(ABS(O57-1)&lt;=0.2,"Steady: Little's Law holds",IF(O57&gt;1,"Draining a line left from earlier","Line still building")),"Hardly any line"))))</f>
        <v/>
      </c>
    </row>
    <row r="58" ht="21.95" customHeight="1">
      <c r="A58" s="14" t="inlineStr">
        <is>
          <t>Today (no screens)</t>
        </is>
      </c>
      <c r="B58" s="14" t="inlineStr">
        <is>
          <t>Munch Mess</t>
        </is>
      </c>
      <c r="C58" s="27" t="inlineStr">
        <is>
          <t>13:30</t>
        </is>
      </c>
      <c r="D58" s="54">
        <f>'Sim Data'!$E$125</f>
        <v/>
      </c>
      <c r="E58" s="55">
        <f>'Sim Data'!$G$125</f>
        <v/>
      </c>
      <c r="F58" s="56">
        <f>IF(E58&gt;0,1/E58,'Assumptions'!$B$21)</f>
        <v/>
      </c>
      <c r="G58" s="57">
        <f>'Assumptions'!$B$20</f>
        <v/>
      </c>
      <c r="H58" s="58">
        <f>D58/(G58*F58)</f>
        <v/>
      </c>
      <c r="I58" s="27">
        <f>IF(D58=0,"no arrivals",IF(H58&lt;0.85,"stable",IF(H58&lt;1,"near capacity","over capacity")))</f>
        <v/>
      </c>
      <c r="J58" s="49">
        <f>IF(AND(D58&gt;0,H58&lt;1),((D58/F58)^G58/FACT(G58)/(1-H58))/(SUMPRODUCT(--({0,1,2,3,4,5,6,7,8,9}&lt;G58),(D58/F58)^{0,1,2,3,4,5,6,7,8,9}/FACT({0,1,2,3,4,5,6,7,8,9}))+((D58/F58)^G58/FACT(G58)/(1-H58)))/(G58*F58-D58),"—")</f>
        <v/>
      </c>
      <c r="K58" s="49">
        <f>IF(ISNUMBER(J58),(1+'Assumptions'!$B$22^2)/2*J58,"—")</f>
        <v/>
      </c>
      <c r="L58" s="59">
        <f>'Sim Data'!$F$125</f>
        <v/>
      </c>
      <c r="M58" s="54">
        <f>'Sim Data'!$H$125</f>
        <v/>
      </c>
      <c r="N58" s="56">
        <f>D58*L58</f>
        <v/>
      </c>
      <c r="O58" s="49">
        <f>IF(MAX(M58,N58)&lt;0.5,"both ≈ 0",IF(N58=0,"no new arrivals",M58/N58))</f>
        <v/>
      </c>
      <c r="P58" s="48">
        <f>Q57</f>
        <v/>
      </c>
      <c r="Q58" s="48">
        <f>MAX(0,P58+D58*'Assumptions'!$B$47-G58*F58*('Assumptions'!$B$47-'Sim Data'!$L$125))</f>
        <v/>
      </c>
      <c r="R58" s="49">
        <f>(P58+Q58)/2/(G58*F58)</f>
        <v/>
      </c>
      <c r="S58" s="49">
        <f>IF(D58&gt;0,R58+(1+'Assumptions'!$B$22^2)/2*((MIN(D58,0.95*G58*F58)/F58)^G58/FACT(G58)/(1-MIN(D58,0.95*G58*F58)/(G58*F58)))/(SUMPRODUCT(--({0,1,2,3,4,5,6,7,8,9}&lt;G58),(MIN(D58,0.95*G58*F58)/F58)^{0,1,2,3,4,5,6,7,8,9}/FACT({0,1,2,3,4,5,6,7,8,9}))+((MIN(D58,0.95*G58*F58)/F58)^G58/FACT(G58)/(1-MIN(D58,0.95*G58*F58)/(G58*F58))))/(G58*F58-MIN(D58,0.95*G58*F58)),0)</f>
        <v/>
      </c>
      <c r="T58" s="59">
        <f>'Sim Data'!$J$125</f>
        <v/>
      </c>
      <c r="U58" s="14">
        <f>IF(D58=0,IF(P58&gt;0,"No new arrivals: the line left from earlier drains",""),IF(H58&gt;=1,"Over capacity: the line grows by about "&amp;TEXT((D58-G58*F58)*10,"0")&amp;" in 10 min (to "&amp;TEXT(Q58,"0")&amp;")",IF(P58&gt;=1,"Under capacity, but "&amp;TEXT(P58,"0")&amp;" were already in line: it drains to "&amp;TEXT(Q58,"0"),IF(ISNUMBER(O58),IF(ABS(O58-1)&lt;=0.2,"Steady: Little's Law holds",IF(O58&gt;1,"Draining a line left from earlier","Line still building")),"Hardly any line"))))</f>
        <v/>
      </c>
    </row>
    <row r="59" ht="21.95" customHeight="1">
      <c r="A59" s="14" t="inlineStr">
        <is>
          <t>Today (no screens)</t>
        </is>
      </c>
      <c r="B59" s="14" t="inlineStr">
        <is>
          <t>Munch Mess</t>
        </is>
      </c>
      <c r="C59" s="27" t="inlineStr">
        <is>
          <t>13:40</t>
        </is>
      </c>
      <c r="D59" s="54">
        <f>'Sim Data'!$E$126</f>
        <v/>
      </c>
      <c r="E59" s="55">
        <f>'Sim Data'!$G$126</f>
        <v/>
      </c>
      <c r="F59" s="56">
        <f>IF(E59&gt;0,1/E59,'Assumptions'!$B$21)</f>
        <v/>
      </c>
      <c r="G59" s="57">
        <f>'Assumptions'!$B$20</f>
        <v/>
      </c>
      <c r="H59" s="58">
        <f>D59/(G59*F59)</f>
        <v/>
      </c>
      <c r="I59" s="27">
        <f>IF(D59=0,"no arrivals",IF(H59&lt;0.85,"stable",IF(H59&lt;1,"near capacity","over capacity")))</f>
        <v/>
      </c>
      <c r="J59" s="49">
        <f>IF(AND(D59&gt;0,H59&lt;1),((D59/F59)^G59/FACT(G59)/(1-H59))/(SUMPRODUCT(--({0,1,2,3,4,5,6,7,8,9}&lt;G59),(D59/F59)^{0,1,2,3,4,5,6,7,8,9}/FACT({0,1,2,3,4,5,6,7,8,9}))+((D59/F59)^G59/FACT(G59)/(1-H59)))/(G59*F59-D59),"—")</f>
        <v/>
      </c>
      <c r="K59" s="49">
        <f>IF(ISNUMBER(J59),(1+'Assumptions'!$B$22^2)/2*J59,"—")</f>
        <v/>
      </c>
      <c r="L59" s="59">
        <f>'Sim Data'!$F$126</f>
        <v/>
      </c>
      <c r="M59" s="54">
        <f>'Sim Data'!$H$126</f>
        <v/>
      </c>
      <c r="N59" s="56">
        <f>D59*L59</f>
        <v/>
      </c>
      <c r="O59" s="49">
        <f>IF(MAX(M59,N59)&lt;0.5,"both ≈ 0",IF(N59=0,"no new arrivals",M59/N59))</f>
        <v/>
      </c>
      <c r="P59" s="48">
        <f>Q58</f>
        <v/>
      </c>
      <c r="Q59" s="48">
        <f>MAX(0,P59+D59*'Assumptions'!$B$47-G59*F59*('Assumptions'!$B$47-'Sim Data'!$L$126))</f>
        <v/>
      </c>
      <c r="R59" s="49">
        <f>(P59+Q59)/2/(G59*F59)</f>
        <v/>
      </c>
      <c r="S59" s="49">
        <f>IF(D59&gt;0,R59+(1+'Assumptions'!$B$22^2)/2*((MIN(D59,0.95*G59*F59)/F59)^G59/FACT(G59)/(1-MIN(D59,0.95*G59*F59)/(G59*F59)))/(SUMPRODUCT(--({0,1,2,3,4,5,6,7,8,9}&lt;G59),(MIN(D59,0.95*G59*F59)/F59)^{0,1,2,3,4,5,6,7,8,9}/FACT({0,1,2,3,4,5,6,7,8,9}))+((MIN(D59,0.95*G59*F59)/F59)^G59/FACT(G59)/(1-MIN(D59,0.95*G59*F59)/(G59*F59))))/(G59*F59-MIN(D59,0.95*G59*F59)),0)</f>
        <v/>
      </c>
      <c r="T59" s="59">
        <f>'Sim Data'!$J$126</f>
        <v/>
      </c>
      <c r="U59" s="14">
        <f>IF(D59=0,IF(P59&gt;0,"No new arrivals: the line left from earlier drains",""),IF(H59&gt;=1,"Over capacity: the line grows by about "&amp;TEXT((D59-G59*F59)*10,"0")&amp;" in 10 min (to "&amp;TEXT(Q59,"0")&amp;")",IF(P59&gt;=1,"Under capacity, but "&amp;TEXT(P59,"0")&amp;" were already in line: it drains to "&amp;TEXT(Q59,"0"),IF(ISNUMBER(O59),IF(ABS(O59-1)&lt;=0.2,"Steady: Little's Law holds",IF(O59&gt;1,"Draining a line left from earlier","Line still building")),"Hardly any line"))))</f>
        <v/>
      </c>
    </row>
    <row r="60" ht="21.95" customHeight="1">
      <c r="A60" s="14" t="inlineStr">
        <is>
          <t>Today (no screens)</t>
        </is>
      </c>
      <c r="B60" s="14" t="inlineStr">
        <is>
          <t>Munch Mess</t>
        </is>
      </c>
      <c r="C60" s="27" t="inlineStr">
        <is>
          <t>13:50</t>
        </is>
      </c>
      <c r="D60" s="54">
        <f>'Sim Data'!$E$127</f>
        <v/>
      </c>
      <c r="E60" s="55">
        <f>'Sim Data'!$G$127</f>
        <v/>
      </c>
      <c r="F60" s="56">
        <f>IF(E60&gt;0,1/E60,'Assumptions'!$B$21)</f>
        <v/>
      </c>
      <c r="G60" s="57">
        <f>'Assumptions'!$B$20</f>
        <v/>
      </c>
      <c r="H60" s="58">
        <f>D60/(G60*F60)</f>
        <v/>
      </c>
      <c r="I60" s="27">
        <f>IF(D60=0,"no arrivals",IF(H60&lt;0.85,"stable",IF(H60&lt;1,"near capacity","over capacity")))</f>
        <v/>
      </c>
      <c r="J60" s="49">
        <f>IF(AND(D60&gt;0,H60&lt;1),((D60/F60)^G60/FACT(G60)/(1-H60))/(SUMPRODUCT(--({0,1,2,3,4,5,6,7,8,9}&lt;G60),(D60/F60)^{0,1,2,3,4,5,6,7,8,9}/FACT({0,1,2,3,4,5,6,7,8,9}))+((D60/F60)^G60/FACT(G60)/(1-H60)))/(G60*F60-D60),"—")</f>
        <v/>
      </c>
      <c r="K60" s="49">
        <f>IF(ISNUMBER(J60),(1+'Assumptions'!$B$22^2)/2*J60,"—")</f>
        <v/>
      </c>
      <c r="L60" s="59">
        <f>'Sim Data'!$F$127</f>
        <v/>
      </c>
      <c r="M60" s="54">
        <f>'Sim Data'!$H$127</f>
        <v/>
      </c>
      <c r="N60" s="56">
        <f>D60*L60</f>
        <v/>
      </c>
      <c r="O60" s="49">
        <f>IF(MAX(M60,N60)&lt;0.5,"both ≈ 0",IF(N60=0,"no new arrivals",M60/N60))</f>
        <v/>
      </c>
      <c r="P60" s="48">
        <f>Q59</f>
        <v/>
      </c>
      <c r="Q60" s="48">
        <f>MAX(0,P60+D60*'Assumptions'!$B$47-G60*F60*('Assumptions'!$B$47-'Sim Data'!$L$127))</f>
        <v/>
      </c>
      <c r="R60" s="49">
        <f>(P60+Q60)/2/(G60*F60)</f>
        <v/>
      </c>
      <c r="S60" s="49">
        <f>IF(D60&gt;0,R60+(1+'Assumptions'!$B$22^2)/2*((MIN(D60,0.95*G60*F60)/F60)^G60/FACT(G60)/(1-MIN(D60,0.95*G60*F60)/(G60*F60)))/(SUMPRODUCT(--({0,1,2,3,4,5,6,7,8,9}&lt;G60),(MIN(D60,0.95*G60*F60)/F60)^{0,1,2,3,4,5,6,7,8,9}/FACT({0,1,2,3,4,5,6,7,8,9}))+((MIN(D60,0.95*G60*F60)/F60)^G60/FACT(G60)/(1-MIN(D60,0.95*G60*F60)/(G60*F60))))/(G60*F60-MIN(D60,0.95*G60*F60)),0)</f>
        <v/>
      </c>
      <c r="T60" s="59">
        <f>'Sim Data'!$J$127</f>
        <v/>
      </c>
      <c r="U60" s="14">
        <f>IF(D60=0,IF(P60&gt;0,"No new arrivals: the line left from earlier drains",""),IF(H60&gt;=1,"Over capacity: the line grows by about "&amp;TEXT((D60-G60*F60)*10,"0")&amp;" in 10 min (to "&amp;TEXT(Q60,"0")&amp;")",IF(P60&gt;=1,"Under capacity, but "&amp;TEXT(P60,"0")&amp;" were already in line: it drains to "&amp;TEXT(Q60,"0"),IF(ISNUMBER(O60),IF(ABS(O60-1)&lt;=0.2,"Steady: Little's Law holds",IF(O60&gt;1,"Draining a line left from earlier","Line still building")),"Hardly any line"))))</f>
        <v/>
      </c>
    </row>
    <row r="61" ht="21.95" customHeight="1">
      <c r="A61" s="14" t="inlineStr">
        <is>
          <t>Today (no screens)</t>
        </is>
      </c>
      <c r="B61" s="14" t="inlineStr">
        <is>
          <t>Munch Mess</t>
        </is>
      </c>
      <c r="C61" s="27" t="inlineStr">
        <is>
          <t>14:00</t>
        </is>
      </c>
      <c r="D61" s="54">
        <f>'Sim Data'!$E$128</f>
        <v/>
      </c>
      <c r="E61" s="55">
        <f>'Sim Data'!$G$128</f>
        <v/>
      </c>
      <c r="F61" s="56">
        <f>IF(E61&gt;0,1/E61,'Assumptions'!$B$21)</f>
        <v/>
      </c>
      <c r="G61" s="57">
        <f>'Assumptions'!$B$20</f>
        <v/>
      </c>
      <c r="H61" s="58">
        <f>D61/(G61*F61)</f>
        <v/>
      </c>
      <c r="I61" s="27">
        <f>IF(D61=0,"no arrivals",IF(H61&lt;0.85,"stable",IF(H61&lt;1,"near capacity","over capacity")))</f>
        <v/>
      </c>
      <c r="J61" s="49">
        <f>IF(AND(D61&gt;0,H61&lt;1),((D61/F61)^G61/FACT(G61)/(1-H61))/(SUMPRODUCT(--({0,1,2,3,4,5,6,7,8,9}&lt;G61),(D61/F61)^{0,1,2,3,4,5,6,7,8,9}/FACT({0,1,2,3,4,5,6,7,8,9}))+((D61/F61)^G61/FACT(G61)/(1-H61)))/(G61*F61-D61),"—")</f>
        <v/>
      </c>
      <c r="K61" s="49">
        <f>IF(ISNUMBER(J61),(1+'Assumptions'!$B$22^2)/2*J61,"—")</f>
        <v/>
      </c>
      <c r="L61" s="59">
        <f>'Sim Data'!$F$128</f>
        <v/>
      </c>
      <c r="M61" s="54">
        <f>'Sim Data'!$H$128</f>
        <v/>
      </c>
      <c r="N61" s="56">
        <f>D61*L61</f>
        <v/>
      </c>
      <c r="O61" s="49">
        <f>IF(MAX(M61,N61)&lt;0.5,"both ≈ 0",IF(N61=0,"no new arrivals",M61/N61))</f>
        <v/>
      </c>
      <c r="P61" s="48">
        <f>Q60</f>
        <v/>
      </c>
      <c r="Q61" s="48">
        <f>MAX(0,P61+D61*'Assumptions'!$B$47-G61*F61*('Assumptions'!$B$47-'Sim Data'!$L$128))</f>
        <v/>
      </c>
      <c r="R61" s="49">
        <f>(P61+Q61)/2/(G61*F61)</f>
        <v/>
      </c>
      <c r="S61" s="49">
        <f>IF(D61&gt;0,R61+(1+'Assumptions'!$B$22^2)/2*((MIN(D61,0.95*G61*F61)/F61)^G61/FACT(G61)/(1-MIN(D61,0.95*G61*F61)/(G61*F61)))/(SUMPRODUCT(--({0,1,2,3,4,5,6,7,8,9}&lt;G61),(MIN(D61,0.95*G61*F61)/F61)^{0,1,2,3,4,5,6,7,8,9}/FACT({0,1,2,3,4,5,6,7,8,9}))+((MIN(D61,0.95*G61*F61)/F61)^G61/FACT(G61)/(1-MIN(D61,0.95*G61*F61)/(G61*F61))))/(G61*F61-MIN(D61,0.95*G61*F61)),0)</f>
        <v/>
      </c>
      <c r="T61" s="59">
        <f>'Sim Data'!$J$128</f>
        <v/>
      </c>
      <c r="U61" s="14">
        <f>IF(D61=0,IF(P61&gt;0,"No new arrivals: the line left from earlier drains",""),IF(H61&gt;=1,"Over capacity: the line grows by about "&amp;TEXT((D61-G61*F61)*10,"0")&amp;" in 10 min (to "&amp;TEXT(Q61,"0")&amp;")",IF(P61&gt;=1,"Under capacity, but "&amp;TEXT(P61,"0")&amp;" were already in line: it drains to "&amp;TEXT(Q61,"0"),IF(ISNUMBER(O61),IF(ABS(O61-1)&lt;=0.2,"Steady: Little's Law holds",IF(O61&gt;1,"Draining a line left from earlier","Line still building")),"Hardly any line"))))</f>
        <v/>
      </c>
    </row>
    <row r="62" ht="21.95" customHeight="1">
      <c r="A62" s="14" t="inlineStr">
        <is>
          <t>Today (no screens)</t>
        </is>
      </c>
      <c r="B62" s="14" t="inlineStr">
        <is>
          <t>Munch Mess</t>
        </is>
      </c>
      <c r="C62" s="27" t="inlineStr">
        <is>
          <t>14:10</t>
        </is>
      </c>
      <c r="D62" s="54">
        <f>'Sim Data'!$E$129</f>
        <v/>
      </c>
      <c r="E62" s="55">
        <f>'Sim Data'!$G$129</f>
        <v/>
      </c>
      <c r="F62" s="56">
        <f>IF(E62&gt;0,1/E62,'Assumptions'!$B$21)</f>
        <v/>
      </c>
      <c r="G62" s="57">
        <f>'Assumptions'!$B$20</f>
        <v/>
      </c>
      <c r="H62" s="58">
        <f>D62/(G62*F62)</f>
        <v/>
      </c>
      <c r="I62" s="27">
        <f>IF(D62=0,"no arrivals",IF(H62&lt;0.85,"stable",IF(H62&lt;1,"near capacity","over capacity")))</f>
        <v/>
      </c>
      <c r="J62" s="49">
        <f>IF(AND(D62&gt;0,H62&lt;1),((D62/F62)^G62/FACT(G62)/(1-H62))/(SUMPRODUCT(--({0,1,2,3,4,5,6,7,8,9}&lt;G62),(D62/F62)^{0,1,2,3,4,5,6,7,8,9}/FACT({0,1,2,3,4,5,6,7,8,9}))+((D62/F62)^G62/FACT(G62)/(1-H62)))/(G62*F62-D62),"—")</f>
        <v/>
      </c>
      <c r="K62" s="49">
        <f>IF(ISNUMBER(J62),(1+'Assumptions'!$B$22^2)/2*J62,"—")</f>
        <v/>
      </c>
      <c r="L62" s="59">
        <f>'Sim Data'!$F$129</f>
        <v/>
      </c>
      <c r="M62" s="54">
        <f>'Sim Data'!$H$129</f>
        <v/>
      </c>
      <c r="N62" s="56">
        <f>D62*L62</f>
        <v/>
      </c>
      <c r="O62" s="49">
        <f>IF(MAX(M62,N62)&lt;0.5,"both ≈ 0",IF(N62=0,"no new arrivals",M62/N62))</f>
        <v/>
      </c>
      <c r="P62" s="48">
        <f>Q61</f>
        <v/>
      </c>
      <c r="Q62" s="48">
        <f>MAX(0,P62+D62*'Assumptions'!$B$47-G62*F62*('Assumptions'!$B$47-'Sim Data'!$L$129))</f>
        <v/>
      </c>
      <c r="R62" s="49">
        <f>(P62+Q62)/2/(G62*F62)</f>
        <v/>
      </c>
      <c r="S62" s="49">
        <f>IF(D62&gt;0,R62+(1+'Assumptions'!$B$22^2)/2*((MIN(D62,0.95*G62*F62)/F62)^G62/FACT(G62)/(1-MIN(D62,0.95*G62*F62)/(G62*F62)))/(SUMPRODUCT(--({0,1,2,3,4,5,6,7,8,9}&lt;G62),(MIN(D62,0.95*G62*F62)/F62)^{0,1,2,3,4,5,6,7,8,9}/FACT({0,1,2,3,4,5,6,7,8,9}))+((MIN(D62,0.95*G62*F62)/F62)^G62/FACT(G62)/(1-MIN(D62,0.95*G62*F62)/(G62*F62))))/(G62*F62-MIN(D62,0.95*G62*F62)),0)</f>
        <v/>
      </c>
      <c r="T62" s="59">
        <f>'Sim Data'!$J$129</f>
        <v/>
      </c>
      <c r="U62" s="14">
        <f>IF(D62=0,IF(P62&gt;0,"No new arrivals: the line left from earlier drains",""),IF(H62&gt;=1,"Over capacity: the line grows by about "&amp;TEXT((D62-G62*F62)*10,"0")&amp;" in 10 min (to "&amp;TEXT(Q62,"0")&amp;")",IF(P62&gt;=1,"Under capacity, but "&amp;TEXT(P62,"0")&amp;" were already in line: it drains to "&amp;TEXT(Q62,"0"),IF(ISNUMBER(O62),IF(ABS(O62-1)&lt;=0.2,"Steady: Little's Law holds",IF(O62&gt;1,"Draining a line left from earlier","Line still building")),"Hardly any line"))))</f>
        <v/>
      </c>
    </row>
    <row r="63" ht="21.95" customHeight="1">
      <c r="A63" s="14" t="inlineStr">
        <is>
          <t>Today (no screens)</t>
        </is>
      </c>
      <c r="B63" s="14" t="inlineStr">
        <is>
          <t>Munch Mess</t>
        </is>
      </c>
      <c r="C63" s="27" t="inlineStr">
        <is>
          <t>14:20</t>
        </is>
      </c>
      <c r="D63" s="54">
        <f>'Sim Data'!$E$130</f>
        <v/>
      </c>
      <c r="E63" s="55">
        <f>'Sim Data'!$G$130</f>
        <v/>
      </c>
      <c r="F63" s="56">
        <f>IF(E63&gt;0,1/E63,'Assumptions'!$B$21)</f>
        <v/>
      </c>
      <c r="G63" s="57">
        <f>'Assumptions'!$B$20</f>
        <v/>
      </c>
      <c r="H63" s="58">
        <f>D63/(G63*F63)</f>
        <v/>
      </c>
      <c r="I63" s="27">
        <f>IF(D63=0,"no arrivals",IF(H63&lt;0.85,"stable",IF(H63&lt;1,"near capacity","over capacity")))</f>
        <v/>
      </c>
      <c r="J63" s="49">
        <f>IF(AND(D63&gt;0,H63&lt;1),((D63/F63)^G63/FACT(G63)/(1-H63))/(SUMPRODUCT(--({0,1,2,3,4,5,6,7,8,9}&lt;G63),(D63/F63)^{0,1,2,3,4,5,6,7,8,9}/FACT({0,1,2,3,4,5,6,7,8,9}))+((D63/F63)^G63/FACT(G63)/(1-H63)))/(G63*F63-D63),"—")</f>
        <v/>
      </c>
      <c r="K63" s="49">
        <f>IF(ISNUMBER(J63),(1+'Assumptions'!$B$22^2)/2*J63,"—")</f>
        <v/>
      </c>
      <c r="L63" s="59">
        <f>'Sim Data'!$F$130</f>
        <v/>
      </c>
      <c r="M63" s="54">
        <f>'Sim Data'!$H$130</f>
        <v/>
      </c>
      <c r="N63" s="56">
        <f>D63*L63</f>
        <v/>
      </c>
      <c r="O63" s="49">
        <f>IF(MAX(M63,N63)&lt;0.5,"both ≈ 0",IF(N63=0,"no new arrivals",M63/N63))</f>
        <v/>
      </c>
      <c r="P63" s="48">
        <f>Q62</f>
        <v/>
      </c>
      <c r="Q63" s="48">
        <f>MAX(0,P63+D63*'Assumptions'!$B$47-G63*F63*('Assumptions'!$B$47-'Sim Data'!$L$130))</f>
        <v/>
      </c>
      <c r="R63" s="49">
        <f>(P63+Q63)/2/(G63*F63)</f>
        <v/>
      </c>
      <c r="S63" s="49">
        <f>IF(D63&gt;0,R63+(1+'Assumptions'!$B$22^2)/2*((MIN(D63,0.95*G63*F63)/F63)^G63/FACT(G63)/(1-MIN(D63,0.95*G63*F63)/(G63*F63)))/(SUMPRODUCT(--({0,1,2,3,4,5,6,7,8,9}&lt;G63),(MIN(D63,0.95*G63*F63)/F63)^{0,1,2,3,4,5,6,7,8,9}/FACT({0,1,2,3,4,5,6,7,8,9}))+((MIN(D63,0.95*G63*F63)/F63)^G63/FACT(G63)/(1-MIN(D63,0.95*G63*F63)/(G63*F63))))/(G63*F63-MIN(D63,0.95*G63*F63)),0)</f>
        <v/>
      </c>
      <c r="T63" s="59">
        <f>'Sim Data'!$J$130</f>
        <v/>
      </c>
      <c r="U63" s="14">
        <f>IF(D63=0,IF(P63&gt;0,"No new arrivals: the line left from earlier drains",""),IF(H63&gt;=1,"Over capacity: the line grows by about "&amp;TEXT((D63-G63*F63)*10,"0")&amp;" in 10 min (to "&amp;TEXT(Q63,"0")&amp;")",IF(P63&gt;=1,"Under capacity, but "&amp;TEXT(P63,"0")&amp;" were already in line: it drains to "&amp;TEXT(Q63,"0"),IF(ISNUMBER(O63),IF(ABS(O63-1)&lt;=0.2,"Steady: Little's Law holds",IF(O63&gt;1,"Draining a line left from earlier","Line still building")),"Hardly any line"))))</f>
        <v/>
      </c>
    </row>
    <row r="64" ht="21.95" customHeight="1">
      <c r="A64" s="14" t="inlineStr">
        <is>
          <t>With Smart Scan screens</t>
        </is>
      </c>
      <c r="B64" s="14" t="inlineStr">
        <is>
          <t>Central CT</t>
        </is>
      </c>
      <c r="C64" s="27" t="inlineStr">
        <is>
          <t>11:30</t>
        </is>
      </c>
      <c r="D64" s="54">
        <f>'Sim Data'!$E$203</f>
        <v/>
      </c>
      <c r="E64" s="55">
        <f>'Sim Data'!$G$203</f>
        <v/>
      </c>
      <c r="F64" s="56">
        <f>IF(E64&gt;0,1/E64,'Assumptions'!$B$21)</f>
        <v/>
      </c>
      <c r="G64" s="57">
        <f>'Assumptions'!$B$20</f>
        <v/>
      </c>
      <c r="H64" s="58">
        <f>D64/(G64*F64)</f>
        <v/>
      </c>
      <c r="I64" s="27">
        <f>IF(D64=0,"no arrivals",IF(H64&lt;0.85,"stable",IF(H64&lt;1,"near capacity","over capacity")))</f>
        <v/>
      </c>
      <c r="J64" s="49">
        <f>IF(AND(D64&gt;0,H64&lt;1),((D64/F64)^G64/FACT(G64)/(1-H64))/(SUMPRODUCT(--({0,1,2,3,4,5,6,7,8,9}&lt;G64),(D64/F64)^{0,1,2,3,4,5,6,7,8,9}/FACT({0,1,2,3,4,5,6,7,8,9}))+((D64/F64)^G64/FACT(G64)/(1-H64)))/(G64*F64-D64),"—")</f>
        <v/>
      </c>
      <c r="K64" s="49">
        <f>IF(ISNUMBER(J64),(1+'Assumptions'!$B$22^2)/2*J64,"—")</f>
        <v/>
      </c>
      <c r="L64" s="59">
        <f>'Sim Data'!$F$203</f>
        <v/>
      </c>
      <c r="M64" s="54">
        <f>'Sim Data'!$H$203</f>
        <v/>
      </c>
      <c r="N64" s="56">
        <f>D64*L64</f>
        <v/>
      </c>
      <c r="O64" s="49">
        <f>IF(MAX(M64,N64)&lt;0.5,"both ≈ 0",IF(N64=0,"no new arrivals",M64/N64))</f>
        <v/>
      </c>
      <c r="P64" s="48">
        <f>0</f>
        <v/>
      </c>
      <c r="Q64" s="48">
        <f>MAX(0,P64+D64*'Assumptions'!$B$47-G64*F64*('Assumptions'!$B$47-'Sim Data'!$L$203))</f>
        <v/>
      </c>
      <c r="R64" s="49">
        <f>(P64+Q64)/2/(G64*F64)</f>
        <v/>
      </c>
      <c r="S64" s="49">
        <f>IF(D64&gt;0,R64+(1+'Assumptions'!$B$22^2)/2*((MIN(D64,0.95*G64*F64)/F64)^G64/FACT(G64)/(1-MIN(D64,0.95*G64*F64)/(G64*F64)))/(SUMPRODUCT(--({0,1,2,3,4,5,6,7,8,9}&lt;G64),(MIN(D64,0.95*G64*F64)/F64)^{0,1,2,3,4,5,6,7,8,9}/FACT({0,1,2,3,4,5,6,7,8,9}))+((MIN(D64,0.95*G64*F64)/F64)^G64/FACT(G64)/(1-MIN(D64,0.95*G64*F64)/(G64*F64))))/(G64*F64-MIN(D64,0.95*G64*F64)),0)</f>
        <v/>
      </c>
      <c r="T64" s="59">
        <f>'Sim Data'!$J$203</f>
        <v/>
      </c>
      <c r="U64" s="14">
        <f>IF(D64=0,IF(P64&gt;0,"No new arrivals: the line left from earlier drains",""),IF(H64&gt;=1,"Over capacity: the line grows by about "&amp;TEXT((D64-G64*F64)*10,"0")&amp;" in 10 min (to "&amp;TEXT(Q64,"0")&amp;")",IF(P64&gt;=1,"Under capacity, but "&amp;TEXT(P64,"0")&amp;" were already in line: it drains to "&amp;TEXT(Q64,"0"),IF(ISNUMBER(O64),IF(ABS(O64-1)&lt;=0.2,"Steady: Little's Law holds",IF(O64&gt;1,"Draining a line left from earlier","Line still building")),"Hardly any line"))))</f>
        <v/>
      </c>
    </row>
    <row r="65" ht="21.95" customHeight="1">
      <c r="A65" s="14" t="inlineStr">
        <is>
          <t>With Smart Scan screens</t>
        </is>
      </c>
      <c r="B65" s="14" t="inlineStr">
        <is>
          <t>Central CT</t>
        </is>
      </c>
      <c r="C65" s="27" t="inlineStr">
        <is>
          <t>11:40</t>
        </is>
      </c>
      <c r="D65" s="54">
        <f>'Sim Data'!$E$204</f>
        <v/>
      </c>
      <c r="E65" s="55">
        <f>'Sim Data'!$G$204</f>
        <v/>
      </c>
      <c r="F65" s="56">
        <f>IF(E65&gt;0,1/E65,'Assumptions'!$B$21)</f>
        <v/>
      </c>
      <c r="G65" s="57">
        <f>'Assumptions'!$B$20</f>
        <v/>
      </c>
      <c r="H65" s="58">
        <f>D65/(G65*F65)</f>
        <v/>
      </c>
      <c r="I65" s="27">
        <f>IF(D65=0,"no arrivals",IF(H65&lt;0.85,"stable",IF(H65&lt;1,"near capacity","over capacity")))</f>
        <v/>
      </c>
      <c r="J65" s="49">
        <f>IF(AND(D65&gt;0,H65&lt;1),((D65/F65)^G65/FACT(G65)/(1-H65))/(SUMPRODUCT(--({0,1,2,3,4,5,6,7,8,9}&lt;G65),(D65/F65)^{0,1,2,3,4,5,6,7,8,9}/FACT({0,1,2,3,4,5,6,7,8,9}))+((D65/F65)^G65/FACT(G65)/(1-H65)))/(G65*F65-D65),"—")</f>
        <v/>
      </c>
      <c r="K65" s="49">
        <f>IF(ISNUMBER(J65),(1+'Assumptions'!$B$22^2)/2*J65,"—")</f>
        <v/>
      </c>
      <c r="L65" s="59">
        <f>'Sim Data'!$F$204</f>
        <v/>
      </c>
      <c r="M65" s="54">
        <f>'Sim Data'!$H$204</f>
        <v/>
      </c>
      <c r="N65" s="56">
        <f>D65*L65</f>
        <v/>
      </c>
      <c r="O65" s="49">
        <f>IF(MAX(M65,N65)&lt;0.5,"both ≈ 0",IF(N65=0,"no new arrivals",M65/N65))</f>
        <v/>
      </c>
      <c r="P65" s="48">
        <f>Q64</f>
        <v/>
      </c>
      <c r="Q65" s="48">
        <f>MAX(0,P65+D65*'Assumptions'!$B$47-G65*F65*('Assumptions'!$B$47-'Sim Data'!$L$204))</f>
        <v/>
      </c>
      <c r="R65" s="49">
        <f>(P65+Q65)/2/(G65*F65)</f>
        <v/>
      </c>
      <c r="S65" s="49">
        <f>IF(D65&gt;0,R65+(1+'Assumptions'!$B$22^2)/2*((MIN(D65,0.95*G65*F65)/F65)^G65/FACT(G65)/(1-MIN(D65,0.95*G65*F65)/(G65*F65)))/(SUMPRODUCT(--({0,1,2,3,4,5,6,7,8,9}&lt;G65),(MIN(D65,0.95*G65*F65)/F65)^{0,1,2,3,4,5,6,7,8,9}/FACT({0,1,2,3,4,5,6,7,8,9}))+((MIN(D65,0.95*G65*F65)/F65)^G65/FACT(G65)/(1-MIN(D65,0.95*G65*F65)/(G65*F65))))/(G65*F65-MIN(D65,0.95*G65*F65)),0)</f>
        <v/>
      </c>
      <c r="T65" s="59">
        <f>'Sim Data'!$J$204</f>
        <v/>
      </c>
      <c r="U65" s="14">
        <f>IF(D65=0,IF(P65&gt;0,"No new arrivals: the line left from earlier drains",""),IF(H65&gt;=1,"Over capacity: the line grows by about "&amp;TEXT((D65-G65*F65)*10,"0")&amp;" in 10 min (to "&amp;TEXT(Q65,"0")&amp;")",IF(P65&gt;=1,"Under capacity, but "&amp;TEXT(P65,"0")&amp;" were already in line: it drains to "&amp;TEXT(Q65,"0"),IF(ISNUMBER(O65),IF(ABS(O65-1)&lt;=0.2,"Steady: Little's Law holds",IF(O65&gt;1,"Draining a line left from earlier","Line still building")),"Hardly any line"))))</f>
        <v/>
      </c>
    </row>
    <row r="66" ht="21.95" customHeight="1">
      <c r="A66" s="14" t="inlineStr">
        <is>
          <t>With Smart Scan screens</t>
        </is>
      </c>
      <c r="B66" s="14" t="inlineStr">
        <is>
          <t>Central CT</t>
        </is>
      </c>
      <c r="C66" s="27" t="inlineStr">
        <is>
          <t>11:50</t>
        </is>
      </c>
      <c r="D66" s="54">
        <f>'Sim Data'!$E$205</f>
        <v/>
      </c>
      <c r="E66" s="55">
        <f>'Sim Data'!$G$205</f>
        <v/>
      </c>
      <c r="F66" s="56">
        <f>IF(E66&gt;0,1/E66,'Assumptions'!$B$21)</f>
        <v/>
      </c>
      <c r="G66" s="57">
        <f>'Assumptions'!$B$20</f>
        <v/>
      </c>
      <c r="H66" s="58">
        <f>D66/(G66*F66)</f>
        <v/>
      </c>
      <c r="I66" s="27">
        <f>IF(D66=0,"no arrivals",IF(H66&lt;0.85,"stable",IF(H66&lt;1,"near capacity","over capacity")))</f>
        <v/>
      </c>
      <c r="J66" s="49">
        <f>IF(AND(D66&gt;0,H66&lt;1),((D66/F66)^G66/FACT(G66)/(1-H66))/(SUMPRODUCT(--({0,1,2,3,4,5,6,7,8,9}&lt;G66),(D66/F66)^{0,1,2,3,4,5,6,7,8,9}/FACT({0,1,2,3,4,5,6,7,8,9}))+((D66/F66)^G66/FACT(G66)/(1-H66)))/(G66*F66-D66),"—")</f>
        <v/>
      </c>
      <c r="K66" s="49">
        <f>IF(ISNUMBER(J66),(1+'Assumptions'!$B$22^2)/2*J66,"—")</f>
        <v/>
      </c>
      <c r="L66" s="59">
        <f>'Sim Data'!$F$205</f>
        <v/>
      </c>
      <c r="M66" s="54">
        <f>'Sim Data'!$H$205</f>
        <v/>
      </c>
      <c r="N66" s="56">
        <f>D66*L66</f>
        <v/>
      </c>
      <c r="O66" s="49">
        <f>IF(MAX(M66,N66)&lt;0.5,"both ≈ 0",IF(N66=0,"no new arrivals",M66/N66))</f>
        <v/>
      </c>
      <c r="P66" s="48">
        <f>Q65</f>
        <v/>
      </c>
      <c r="Q66" s="48">
        <f>MAX(0,P66+D66*'Assumptions'!$B$47-G66*F66*('Assumptions'!$B$47-'Sim Data'!$L$205))</f>
        <v/>
      </c>
      <c r="R66" s="49">
        <f>(P66+Q66)/2/(G66*F66)</f>
        <v/>
      </c>
      <c r="S66" s="49">
        <f>IF(D66&gt;0,R66+(1+'Assumptions'!$B$22^2)/2*((MIN(D66,0.95*G66*F66)/F66)^G66/FACT(G66)/(1-MIN(D66,0.95*G66*F66)/(G66*F66)))/(SUMPRODUCT(--({0,1,2,3,4,5,6,7,8,9}&lt;G66),(MIN(D66,0.95*G66*F66)/F66)^{0,1,2,3,4,5,6,7,8,9}/FACT({0,1,2,3,4,5,6,7,8,9}))+((MIN(D66,0.95*G66*F66)/F66)^G66/FACT(G66)/(1-MIN(D66,0.95*G66*F66)/(G66*F66))))/(G66*F66-MIN(D66,0.95*G66*F66)),0)</f>
        <v/>
      </c>
      <c r="T66" s="59">
        <f>'Sim Data'!$J$205</f>
        <v/>
      </c>
      <c r="U66" s="14">
        <f>IF(D66=0,IF(P66&gt;0,"No new arrivals: the line left from earlier drains",""),IF(H66&gt;=1,"Over capacity: the line grows by about "&amp;TEXT((D66-G66*F66)*10,"0")&amp;" in 10 min (to "&amp;TEXT(Q66,"0")&amp;")",IF(P66&gt;=1,"Under capacity, but "&amp;TEXT(P66,"0")&amp;" were already in line: it drains to "&amp;TEXT(Q66,"0"),IF(ISNUMBER(O66),IF(ABS(O66-1)&lt;=0.2,"Steady: Little's Law holds",IF(O66&gt;1,"Draining a line left from earlier","Line still building")),"Hardly any line"))))</f>
        <v/>
      </c>
    </row>
    <row r="67" ht="21.95" customHeight="1">
      <c r="A67" s="14" t="inlineStr">
        <is>
          <t>With Smart Scan screens</t>
        </is>
      </c>
      <c r="B67" s="14" t="inlineStr">
        <is>
          <t>Central CT</t>
        </is>
      </c>
      <c r="C67" s="27" t="inlineStr">
        <is>
          <t>12:00</t>
        </is>
      </c>
      <c r="D67" s="54">
        <f>'Sim Data'!$E$206</f>
        <v/>
      </c>
      <c r="E67" s="55">
        <f>'Sim Data'!$G$206</f>
        <v/>
      </c>
      <c r="F67" s="56">
        <f>IF(E67&gt;0,1/E67,'Assumptions'!$B$21)</f>
        <v/>
      </c>
      <c r="G67" s="57">
        <f>'Assumptions'!$B$20</f>
        <v/>
      </c>
      <c r="H67" s="58">
        <f>D67/(G67*F67)</f>
        <v/>
      </c>
      <c r="I67" s="27">
        <f>IF(D67=0,"no arrivals",IF(H67&lt;0.85,"stable",IF(H67&lt;1,"near capacity","over capacity")))</f>
        <v/>
      </c>
      <c r="J67" s="49">
        <f>IF(AND(D67&gt;0,H67&lt;1),((D67/F67)^G67/FACT(G67)/(1-H67))/(SUMPRODUCT(--({0,1,2,3,4,5,6,7,8,9}&lt;G67),(D67/F67)^{0,1,2,3,4,5,6,7,8,9}/FACT({0,1,2,3,4,5,6,7,8,9}))+((D67/F67)^G67/FACT(G67)/(1-H67)))/(G67*F67-D67),"—")</f>
        <v/>
      </c>
      <c r="K67" s="49">
        <f>IF(ISNUMBER(J67),(1+'Assumptions'!$B$22^2)/2*J67,"—")</f>
        <v/>
      </c>
      <c r="L67" s="59">
        <f>'Sim Data'!$F$206</f>
        <v/>
      </c>
      <c r="M67" s="54">
        <f>'Sim Data'!$H$206</f>
        <v/>
      </c>
      <c r="N67" s="56">
        <f>D67*L67</f>
        <v/>
      </c>
      <c r="O67" s="49">
        <f>IF(MAX(M67,N67)&lt;0.5,"both ≈ 0",IF(N67=0,"no new arrivals",M67/N67))</f>
        <v/>
      </c>
      <c r="P67" s="48">
        <f>Q66</f>
        <v/>
      </c>
      <c r="Q67" s="48">
        <f>MAX(0,P67+D67*'Assumptions'!$B$47-G67*F67*('Assumptions'!$B$47-'Sim Data'!$L$206))</f>
        <v/>
      </c>
      <c r="R67" s="49">
        <f>(P67+Q67)/2/(G67*F67)</f>
        <v/>
      </c>
      <c r="S67" s="49">
        <f>IF(D67&gt;0,R67+(1+'Assumptions'!$B$22^2)/2*((MIN(D67,0.95*G67*F67)/F67)^G67/FACT(G67)/(1-MIN(D67,0.95*G67*F67)/(G67*F67)))/(SUMPRODUCT(--({0,1,2,3,4,5,6,7,8,9}&lt;G67),(MIN(D67,0.95*G67*F67)/F67)^{0,1,2,3,4,5,6,7,8,9}/FACT({0,1,2,3,4,5,6,7,8,9}))+((MIN(D67,0.95*G67*F67)/F67)^G67/FACT(G67)/(1-MIN(D67,0.95*G67*F67)/(G67*F67))))/(G67*F67-MIN(D67,0.95*G67*F67)),0)</f>
        <v/>
      </c>
      <c r="T67" s="59">
        <f>'Sim Data'!$J$206</f>
        <v/>
      </c>
      <c r="U67" s="14">
        <f>IF(D67=0,IF(P67&gt;0,"No new arrivals: the line left from earlier drains",""),IF(H67&gt;=1,"Over capacity: the line grows by about "&amp;TEXT((D67-G67*F67)*10,"0")&amp;" in 10 min (to "&amp;TEXT(Q67,"0")&amp;")",IF(P67&gt;=1,"Under capacity, but "&amp;TEXT(P67,"0")&amp;" were already in line: it drains to "&amp;TEXT(Q67,"0"),IF(ISNUMBER(O67),IF(ABS(O67-1)&lt;=0.2,"Steady: Little's Law holds",IF(O67&gt;1,"Draining a line left from earlier","Line still building")),"Hardly any line"))))</f>
        <v/>
      </c>
    </row>
    <row r="68" ht="21.95" customHeight="1">
      <c r="A68" s="14" t="inlineStr">
        <is>
          <t>With Smart Scan screens</t>
        </is>
      </c>
      <c r="B68" s="14" t="inlineStr">
        <is>
          <t>Central CT</t>
        </is>
      </c>
      <c r="C68" s="27" t="inlineStr">
        <is>
          <t>12:10</t>
        </is>
      </c>
      <c r="D68" s="54">
        <f>'Sim Data'!$E$207</f>
        <v/>
      </c>
      <c r="E68" s="55">
        <f>'Sim Data'!$G$207</f>
        <v/>
      </c>
      <c r="F68" s="56">
        <f>IF(E68&gt;0,1/E68,'Assumptions'!$B$21)</f>
        <v/>
      </c>
      <c r="G68" s="57">
        <f>'Assumptions'!$B$20</f>
        <v/>
      </c>
      <c r="H68" s="58">
        <f>D68/(G68*F68)</f>
        <v/>
      </c>
      <c r="I68" s="27">
        <f>IF(D68=0,"no arrivals",IF(H68&lt;0.85,"stable",IF(H68&lt;1,"near capacity","over capacity")))</f>
        <v/>
      </c>
      <c r="J68" s="49">
        <f>IF(AND(D68&gt;0,H68&lt;1),((D68/F68)^G68/FACT(G68)/(1-H68))/(SUMPRODUCT(--({0,1,2,3,4,5,6,7,8,9}&lt;G68),(D68/F68)^{0,1,2,3,4,5,6,7,8,9}/FACT({0,1,2,3,4,5,6,7,8,9}))+((D68/F68)^G68/FACT(G68)/(1-H68)))/(G68*F68-D68),"—")</f>
        <v/>
      </c>
      <c r="K68" s="49">
        <f>IF(ISNUMBER(J68),(1+'Assumptions'!$B$22^2)/2*J68,"—")</f>
        <v/>
      </c>
      <c r="L68" s="59">
        <f>'Sim Data'!$F$207</f>
        <v/>
      </c>
      <c r="M68" s="54">
        <f>'Sim Data'!$H$207</f>
        <v/>
      </c>
      <c r="N68" s="56">
        <f>D68*L68</f>
        <v/>
      </c>
      <c r="O68" s="49">
        <f>IF(MAX(M68,N68)&lt;0.5,"both ≈ 0",IF(N68=0,"no new arrivals",M68/N68))</f>
        <v/>
      </c>
      <c r="P68" s="48">
        <f>Q67</f>
        <v/>
      </c>
      <c r="Q68" s="48">
        <f>MAX(0,P68+D68*'Assumptions'!$B$47-G68*F68*('Assumptions'!$B$47-'Sim Data'!$L$207))</f>
        <v/>
      </c>
      <c r="R68" s="49">
        <f>(P68+Q68)/2/(G68*F68)</f>
        <v/>
      </c>
      <c r="S68" s="49">
        <f>IF(D68&gt;0,R68+(1+'Assumptions'!$B$22^2)/2*((MIN(D68,0.95*G68*F68)/F68)^G68/FACT(G68)/(1-MIN(D68,0.95*G68*F68)/(G68*F68)))/(SUMPRODUCT(--({0,1,2,3,4,5,6,7,8,9}&lt;G68),(MIN(D68,0.95*G68*F68)/F68)^{0,1,2,3,4,5,6,7,8,9}/FACT({0,1,2,3,4,5,6,7,8,9}))+((MIN(D68,0.95*G68*F68)/F68)^G68/FACT(G68)/(1-MIN(D68,0.95*G68*F68)/(G68*F68))))/(G68*F68-MIN(D68,0.95*G68*F68)),0)</f>
        <v/>
      </c>
      <c r="T68" s="59">
        <f>'Sim Data'!$J$207</f>
        <v/>
      </c>
      <c r="U68" s="14">
        <f>IF(D68=0,IF(P68&gt;0,"No new arrivals: the line left from earlier drains",""),IF(H68&gt;=1,"Over capacity: the line grows by about "&amp;TEXT((D68-G68*F68)*10,"0")&amp;" in 10 min (to "&amp;TEXT(Q68,"0")&amp;")",IF(P68&gt;=1,"Under capacity, but "&amp;TEXT(P68,"0")&amp;" were already in line: it drains to "&amp;TEXT(Q68,"0"),IF(ISNUMBER(O68),IF(ABS(O68-1)&lt;=0.2,"Steady: Little's Law holds",IF(O68&gt;1,"Draining a line left from earlier","Line still building")),"Hardly any line"))))</f>
        <v/>
      </c>
    </row>
    <row r="69" ht="21.95" customHeight="1">
      <c r="A69" s="14" t="inlineStr">
        <is>
          <t>With Smart Scan screens</t>
        </is>
      </c>
      <c r="B69" s="14" t="inlineStr">
        <is>
          <t>Central CT</t>
        </is>
      </c>
      <c r="C69" s="27" t="inlineStr">
        <is>
          <t>12:20</t>
        </is>
      </c>
      <c r="D69" s="54">
        <f>'Sim Data'!$E$208</f>
        <v/>
      </c>
      <c r="E69" s="55">
        <f>'Sim Data'!$G$208</f>
        <v/>
      </c>
      <c r="F69" s="56">
        <f>IF(E69&gt;0,1/E69,'Assumptions'!$B$21)</f>
        <v/>
      </c>
      <c r="G69" s="57">
        <f>'Assumptions'!$B$20</f>
        <v/>
      </c>
      <c r="H69" s="58">
        <f>D69/(G69*F69)</f>
        <v/>
      </c>
      <c r="I69" s="27">
        <f>IF(D69=0,"no arrivals",IF(H69&lt;0.85,"stable",IF(H69&lt;1,"near capacity","over capacity")))</f>
        <v/>
      </c>
      <c r="J69" s="49">
        <f>IF(AND(D69&gt;0,H69&lt;1),((D69/F69)^G69/FACT(G69)/(1-H69))/(SUMPRODUCT(--({0,1,2,3,4,5,6,7,8,9}&lt;G69),(D69/F69)^{0,1,2,3,4,5,6,7,8,9}/FACT({0,1,2,3,4,5,6,7,8,9}))+((D69/F69)^G69/FACT(G69)/(1-H69)))/(G69*F69-D69),"—")</f>
        <v/>
      </c>
      <c r="K69" s="49">
        <f>IF(ISNUMBER(J69),(1+'Assumptions'!$B$22^2)/2*J69,"—")</f>
        <v/>
      </c>
      <c r="L69" s="59">
        <f>'Sim Data'!$F$208</f>
        <v/>
      </c>
      <c r="M69" s="54">
        <f>'Sim Data'!$H$208</f>
        <v/>
      </c>
      <c r="N69" s="56">
        <f>D69*L69</f>
        <v/>
      </c>
      <c r="O69" s="49">
        <f>IF(MAX(M69,N69)&lt;0.5,"both ≈ 0",IF(N69=0,"no new arrivals",M69/N69))</f>
        <v/>
      </c>
      <c r="P69" s="48">
        <f>Q68</f>
        <v/>
      </c>
      <c r="Q69" s="48">
        <f>MAX(0,P69+D69*'Assumptions'!$B$47-G69*F69*('Assumptions'!$B$47-'Sim Data'!$L$208))</f>
        <v/>
      </c>
      <c r="R69" s="49">
        <f>(P69+Q69)/2/(G69*F69)</f>
        <v/>
      </c>
      <c r="S69" s="49">
        <f>IF(D69&gt;0,R69+(1+'Assumptions'!$B$22^2)/2*((MIN(D69,0.95*G69*F69)/F69)^G69/FACT(G69)/(1-MIN(D69,0.95*G69*F69)/(G69*F69)))/(SUMPRODUCT(--({0,1,2,3,4,5,6,7,8,9}&lt;G69),(MIN(D69,0.95*G69*F69)/F69)^{0,1,2,3,4,5,6,7,8,9}/FACT({0,1,2,3,4,5,6,7,8,9}))+((MIN(D69,0.95*G69*F69)/F69)^G69/FACT(G69)/(1-MIN(D69,0.95*G69*F69)/(G69*F69))))/(G69*F69-MIN(D69,0.95*G69*F69)),0)</f>
        <v/>
      </c>
      <c r="T69" s="59">
        <f>'Sim Data'!$J$208</f>
        <v/>
      </c>
      <c r="U69" s="14">
        <f>IF(D69=0,IF(P69&gt;0,"No new arrivals: the line left from earlier drains",""),IF(H69&gt;=1,"Over capacity: the line grows by about "&amp;TEXT((D69-G69*F69)*10,"0")&amp;" in 10 min (to "&amp;TEXT(Q69,"0")&amp;")",IF(P69&gt;=1,"Under capacity, but "&amp;TEXT(P69,"0")&amp;" were already in line: it drains to "&amp;TEXT(Q69,"0"),IF(ISNUMBER(O69),IF(ABS(O69-1)&lt;=0.2,"Steady: Little's Law holds",IF(O69&gt;1,"Draining a line left from earlier","Line still building")),"Hardly any line"))))</f>
        <v/>
      </c>
    </row>
    <row r="70" ht="21.95" customHeight="1">
      <c r="A70" s="14" t="inlineStr">
        <is>
          <t>With Smart Scan screens</t>
        </is>
      </c>
      <c r="B70" s="14" t="inlineStr">
        <is>
          <t>Central CT</t>
        </is>
      </c>
      <c r="C70" s="27" t="inlineStr">
        <is>
          <t>12:30</t>
        </is>
      </c>
      <c r="D70" s="54">
        <f>'Sim Data'!$E$209</f>
        <v/>
      </c>
      <c r="E70" s="55">
        <f>'Sim Data'!$G$209</f>
        <v/>
      </c>
      <c r="F70" s="56">
        <f>IF(E70&gt;0,1/E70,'Assumptions'!$B$21)</f>
        <v/>
      </c>
      <c r="G70" s="57">
        <f>'Assumptions'!$B$20</f>
        <v/>
      </c>
      <c r="H70" s="58">
        <f>D70/(G70*F70)</f>
        <v/>
      </c>
      <c r="I70" s="27">
        <f>IF(D70=0,"no arrivals",IF(H70&lt;0.85,"stable",IF(H70&lt;1,"near capacity","over capacity")))</f>
        <v/>
      </c>
      <c r="J70" s="49">
        <f>IF(AND(D70&gt;0,H70&lt;1),((D70/F70)^G70/FACT(G70)/(1-H70))/(SUMPRODUCT(--({0,1,2,3,4,5,6,7,8,9}&lt;G70),(D70/F70)^{0,1,2,3,4,5,6,7,8,9}/FACT({0,1,2,3,4,5,6,7,8,9}))+((D70/F70)^G70/FACT(G70)/(1-H70)))/(G70*F70-D70),"—")</f>
        <v/>
      </c>
      <c r="K70" s="49">
        <f>IF(ISNUMBER(J70),(1+'Assumptions'!$B$22^2)/2*J70,"—")</f>
        <v/>
      </c>
      <c r="L70" s="59">
        <f>'Sim Data'!$F$209</f>
        <v/>
      </c>
      <c r="M70" s="54">
        <f>'Sim Data'!$H$209</f>
        <v/>
      </c>
      <c r="N70" s="56">
        <f>D70*L70</f>
        <v/>
      </c>
      <c r="O70" s="49">
        <f>IF(MAX(M70,N70)&lt;0.5,"both ≈ 0",IF(N70=0,"no new arrivals",M70/N70))</f>
        <v/>
      </c>
      <c r="P70" s="48">
        <f>Q69</f>
        <v/>
      </c>
      <c r="Q70" s="48">
        <f>MAX(0,P70+D70*'Assumptions'!$B$47-G70*F70*('Assumptions'!$B$47-'Sim Data'!$L$209))</f>
        <v/>
      </c>
      <c r="R70" s="49">
        <f>(P70+Q70)/2/(G70*F70)</f>
        <v/>
      </c>
      <c r="S70" s="49">
        <f>IF(D70&gt;0,R70+(1+'Assumptions'!$B$22^2)/2*((MIN(D70,0.95*G70*F70)/F70)^G70/FACT(G70)/(1-MIN(D70,0.95*G70*F70)/(G70*F70)))/(SUMPRODUCT(--({0,1,2,3,4,5,6,7,8,9}&lt;G70),(MIN(D70,0.95*G70*F70)/F70)^{0,1,2,3,4,5,6,7,8,9}/FACT({0,1,2,3,4,5,6,7,8,9}))+((MIN(D70,0.95*G70*F70)/F70)^G70/FACT(G70)/(1-MIN(D70,0.95*G70*F70)/(G70*F70))))/(G70*F70-MIN(D70,0.95*G70*F70)),0)</f>
        <v/>
      </c>
      <c r="T70" s="59">
        <f>'Sim Data'!$J$209</f>
        <v/>
      </c>
      <c r="U70" s="14">
        <f>IF(D70=0,IF(P70&gt;0,"No new arrivals: the line left from earlier drains",""),IF(H70&gt;=1,"Over capacity: the line grows by about "&amp;TEXT((D70-G70*F70)*10,"0")&amp;" in 10 min (to "&amp;TEXT(Q70,"0")&amp;")",IF(P70&gt;=1,"Under capacity, but "&amp;TEXT(P70,"0")&amp;" were already in line: it drains to "&amp;TEXT(Q70,"0"),IF(ISNUMBER(O70),IF(ABS(O70-1)&lt;=0.2,"Steady: Little's Law holds",IF(O70&gt;1,"Draining a line left from earlier","Line still building")),"Hardly any line"))))</f>
        <v/>
      </c>
    </row>
    <row r="71" ht="21.95" customHeight="1">
      <c r="A71" s="14" t="inlineStr">
        <is>
          <t>With Smart Scan screens</t>
        </is>
      </c>
      <c r="B71" s="14" t="inlineStr">
        <is>
          <t>Central CT</t>
        </is>
      </c>
      <c r="C71" s="27" t="inlineStr">
        <is>
          <t>12:40</t>
        </is>
      </c>
      <c r="D71" s="54">
        <f>'Sim Data'!$E$210</f>
        <v/>
      </c>
      <c r="E71" s="55">
        <f>'Sim Data'!$G$210</f>
        <v/>
      </c>
      <c r="F71" s="56">
        <f>IF(E71&gt;0,1/E71,'Assumptions'!$B$21)</f>
        <v/>
      </c>
      <c r="G71" s="57">
        <f>'Assumptions'!$B$20</f>
        <v/>
      </c>
      <c r="H71" s="58">
        <f>D71/(G71*F71)</f>
        <v/>
      </c>
      <c r="I71" s="27">
        <f>IF(D71=0,"no arrivals",IF(H71&lt;0.85,"stable",IF(H71&lt;1,"near capacity","over capacity")))</f>
        <v/>
      </c>
      <c r="J71" s="49">
        <f>IF(AND(D71&gt;0,H71&lt;1),((D71/F71)^G71/FACT(G71)/(1-H71))/(SUMPRODUCT(--({0,1,2,3,4,5,6,7,8,9}&lt;G71),(D71/F71)^{0,1,2,3,4,5,6,7,8,9}/FACT({0,1,2,3,4,5,6,7,8,9}))+((D71/F71)^G71/FACT(G71)/(1-H71)))/(G71*F71-D71),"—")</f>
        <v/>
      </c>
      <c r="K71" s="49">
        <f>IF(ISNUMBER(J71),(1+'Assumptions'!$B$22^2)/2*J71,"—")</f>
        <v/>
      </c>
      <c r="L71" s="59">
        <f>'Sim Data'!$F$210</f>
        <v/>
      </c>
      <c r="M71" s="54">
        <f>'Sim Data'!$H$210</f>
        <v/>
      </c>
      <c r="N71" s="56">
        <f>D71*L71</f>
        <v/>
      </c>
      <c r="O71" s="49">
        <f>IF(MAX(M71,N71)&lt;0.5,"both ≈ 0",IF(N71=0,"no new arrivals",M71/N71))</f>
        <v/>
      </c>
      <c r="P71" s="48">
        <f>Q70</f>
        <v/>
      </c>
      <c r="Q71" s="48">
        <f>MAX(0,P71+D71*'Assumptions'!$B$47-G71*F71*('Assumptions'!$B$47-'Sim Data'!$L$210))</f>
        <v/>
      </c>
      <c r="R71" s="49">
        <f>(P71+Q71)/2/(G71*F71)</f>
        <v/>
      </c>
      <c r="S71" s="49">
        <f>IF(D71&gt;0,R71+(1+'Assumptions'!$B$22^2)/2*((MIN(D71,0.95*G71*F71)/F71)^G71/FACT(G71)/(1-MIN(D71,0.95*G71*F71)/(G71*F71)))/(SUMPRODUCT(--({0,1,2,3,4,5,6,7,8,9}&lt;G71),(MIN(D71,0.95*G71*F71)/F71)^{0,1,2,3,4,5,6,7,8,9}/FACT({0,1,2,3,4,5,6,7,8,9}))+((MIN(D71,0.95*G71*F71)/F71)^G71/FACT(G71)/(1-MIN(D71,0.95*G71*F71)/(G71*F71))))/(G71*F71-MIN(D71,0.95*G71*F71)),0)</f>
        <v/>
      </c>
      <c r="T71" s="59">
        <f>'Sim Data'!$J$210</f>
        <v/>
      </c>
      <c r="U71" s="14">
        <f>IF(D71=0,IF(P71&gt;0,"No new arrivals: the line left from earlier drains",""),IF(H71&gt;=1,"Over capacity: the line grows by about "&amp;TEXT((D71-G71*F71)*10,"0")&amp;" in 10 min (to "&amp;TEXT(Q71,"0")&amp;")",IF(P71&gt;=1,"Under capacity, but "&amp;TEXT(P71,"0")&amp;" were already in line: it drains to "&amp;TEXT(Q71,"0"),IF(ISNUMBER(O71),IF(ABS(O71-1)&lt;=0.2,"Steady: Little's Law holds",IF(O71&gt;1,"Draining a line left from earlier","Line still building")),"Hardly any line"))))</f>
        <v/>
      </c>
    </row>
    <row r="72" ht="21.95" customHeight="1">
      <c r="A72" s="14" t="inlineStr">
        <is>
          <t>With Smart Scan screens</t>
        </is>
      </c>
      <c r="B72" s="14" t="inlineStr">
        <is>
          <t>Central CT</t>
        </is>
      </c>
      <c r="C72" s="27" t="inlineStr">
        <is>
          <t>12:50</t>
        </is>
      </c>
      <c r="D72" s="54">
        <f>'Sim Data'!$E$211</f>
        <v/>
      </c>
      <c r="E72" s="55">
        <f>'Sim Data'!$G$211</f>
        <v/>
      </c>
      <c r="F72" s="56">
        <f>IF(E72&gt;0,1/E72,'Assumptions'!$B$21)</f>
        <v/>
      </c>
      <c r="G72" s="57">
        <f>'Assumptions'!$B$20</f>
        <v/>
      </c>
      <c r="H72" s="58">
        <f>D72/(G72*F72)</f>
        <v/>
      </c>
      <c r="I72" s="27">
        <f>IF(D72=0,"no arrivals",IF(H72&lt;0.85,"stable",IF(H72&lt;1,"near capacity","over capacity")))</f>
        <v/>
      </c>
      <c r="J72" s="49">
        <f>IF(AND(D72&gt;0,H72&lt;1),((D72/F72)^G72/FACT(G72)/(1-H72))/(SUMPRODUCT(--({0,1,2,3,4,5,6,7,8,9}&lt;G72),(D72/F72)^{0,1,2,3,4,5,6,7,8,9}/FACT({0,1,2,3,4,5,6,7,8,9}))+((D72/F72)^G72/FACT(G72)/(1-H72)))/(G72*F72-D72),"—")</f>
        <v/>
      </c>
      <c r="K72" s="49">
        <f>IF(ISNUMBER(J72),(1+'Assumptions'!$B$22^2)/2*J72,"—")</f>
        <v/>
      </c>
      <c r="L72" s="59">
        <f>'Sim Data'!$F$211</f>
        <v/>
      </c>
      <c r="M72" s="54">
        <f>'Sim Data'!$H$211</f>
        <v/>
      </c>
      <c r="N72" s="56">
        <f>D72*L72</f>
        <v/>
      </c>
      <c r="O72" s="49">
        <f>IF(MAX(M72,N72)&lt;0.5,"both ≈ 0",IF(N72=0,"no new arrivals",M72/N72))</f>
        <v/>
      </c>
      <c r="P72" s="48">
        <f>Q71</f>
        <v/>
      </c>
      <c r="Q72" s="48">
        <f>MAX(0,P72+D72*'Assumptions'!$B$47-G72*F72*('Assumptions'!$B$47-'Sim Data'!$L$211))</f>
        <v/>
      </c>
      <c r="R72" s="49">
        <f>(P72+Q72)/2/(G72*F72)</f>
        <v/>
      </c>
      <c r="S72" s="49">
        <f>IF(D72&gt;0,R72+(1+'Assumptions'!$B$22^2)/2*((MIN(D72,0.95*G72*F72)/F72)^G72/FACT(G72)/(1-MIN(D72,0.95*G72*F72)/(G72*F72)))/(SUMPRODUCT(--({0,1,2,3,4,5,6,7,8,9}&lt;G72),(MIN(D72,0.95*G72*F72)/F72)^{0,1,2,3,4,5,6,7,8,9}/FACT({0,1,2,3,4,5,6,7,8,9}))+((MIN(D72,0.95*G72*F72)/F72)^G72/FACT(G72)/(1-MIN(D72,0.95*G72*F72)/(G72*F72))))/(G72*F72-MIN(D72,0.95*G72*F72)),0)</f>
        <v/>
      </c>
      <c r="T72" s="59">
        <f>'Sim Data'!$J$211</f>
        <v/>
      </c>
      <c r="U72" s="14">
        <f>IF(D72=0,IF(P72&gt;0,"No new arrivals: the line left from earlier drains",""),IF(H72&gt;=1,"Over capacity: the line grows by about "&amp;TEXT((D72-G72*F72)*10,"0")&amp;" in 10 min (to "&amp;TEXT(Q72,"0")&amp;")",IF(P72&gt;=1,"Under capacity, but "&amp;TEXT(P72,"0")&amp;" were already in line: it drains to "&amp;TEXT(Q72,"0"),IF(ISNUMBER(O72),IF(ABS(O72-1)&lt;=0.2,"Steady: Little's Law holds",IF(O72&gt;1,"Draining a line left from earlier","Line still building")),"Hardly any line"))))</f>
        <v/>
      </c>
    </row>
    <row r="73" ht="21.95" customHeight="1">
      <c r="A73" s="14" t="inlineStr">
        <is>
          <t>With Smart Scan screens</t>
        </is>
      </c>
      <c r="B73" s="14" t="inlineStr">
        <is>
          <t>Central CT</t>
        </is>
      </c>
      <c r="C73" s="27" t="inlineStr">
        <is>
          <t>13:00</t>
        </is>
      </c>
      <c r="D73" s="54">
        <f>'Sim Data'!$E$212</f>
        <v/>
      </c>
      <c r="E73" s="55">
        <f>'Sim Data'!$G$212</f>
        <v/>
      </c>
      <c r="F73" s="56">
        <f>IF(E73&gt;0,1/E73,'Assumptions'!$B$21)</f>
        <v/>
      </c>
      <c r="G73" s="57">
        <f>'Assumptions'!$B$20</f>
        <v/>
      </c>
      <c r="H73" s="58">
        <f>D73/(G73*F73)</f>
        <v/>
      </c>
      <c r="I73" s="27">
        <f>IF(D73=0,"no arrivals",IF(H73&lt;0.85,"stable",IF(H73&lt;1,"near capacity","over capacity")))</f>
        <v/>
      </c>
      <c r="J73" s="49">
        <f>IF(AND(D73&gt;0,H73&lt;1),((D73/F73)^G73/FACT(G73)/(1-H73))/(SUMPRODUCT(--({0,1,2,3,4,5,6,7,8,9}&lt;G73),(D73/F73)^{0,1,2,3,4,5,6,7,8,9}/FACT({0,1,2,3,4,5,6,7,8,9}))+((D73/F73)^G73/FACT(G73)/(1-H73)))/(G73*F73-D73),"—")</f>
        <v/>
      </c>
      <c r="K73" s="49">
        <f>IF(ISNUMBER(J73),(1+'Assumptions'!$B$22^2)/2*J73,"—")</f>
        <v/>
      </c>
      <c r="L73" s="59">
        <f>'Sim Data'!$F$212</f>
        <v/>
      </c>
      <c r="M73" s="54">
        <f>'Sim Data'!$H$212</f>
        <v/>
      </c>
      <c r="N73" s="56">
        <f>D73*L73</f>
        <v/>
      </c>
      <c r="O73" s="49">
        <f>IF(MAX(M73,N73)&lt;0.5,"both ≈ 0",IF(N73=0,"no new arrivals",M73/N73))</f>
        <v/>
      </c>
      <c r="P73" s="48">
        <f>Q72</f>
        <v/>
      </c>
      <c r="Q73" s="48">
        <f>MAX(0,P73+D73*'Assumptions'!$B$47-G73*F73*('Assumptions'!$B$47-'Sim Data'!$L$212))</f>
        <v/>
      </c>
      <c r="R73" s="49">
        <f>(P73+Q73)/2/(G73*F73)</f>
        <v/>
      </c>
      <c r="S73" s="49">
        <f>IF(D73&gt;0,R73+(1+'Assumptions'!$B$22^2)/2*((MIN(D73,0.95*G73*F73)/F73)^G73/FACT(G73)/(1-MIN(D73,0.95*G73*F73)/(G73*F73)))/(SUMPRODUCT(--({0,1,2,3,4,5,6,7,8,9}&lt;G73),(MIN(D73,0.95*G73*F73)/F73)^{0,1,2,3,4,5,6,7,8,9}/FACT({0,1,2,3,4,5,6,7,8,9}))+((MIN(D73,0.95*G73*F73)/F73)^G73/FACT(G73)/(1-MIN(D73,0.95*G73*F73)/(G73*F73))))/(G73*F73-MIN(D73,0.95*G73*F73)),0)</f>
        <v/>
      </c>
      <c r="T73" s="59">
        <f>'Sim Data'!$J$212</f>
        <v/>
      </c>
      <c r="U73" s="14">
        <f>IF(D73=0,IF(P73&gt;0,"No new arrivals: the line left from earlier drains",""),IF(H73&gt;=1,"Over capacity: the line grows by about "&amp;TEXT((D73-G73*F73)*10,"0")&amp;" in 10 min (to "&amp;TEXT(Q73,"0")&amp;")",IF(P73&gt;=1,"Under capacity, but "&amp;TEXT(P73,"0")&amp;" were already in line: it drains to "&amp;TEXT(Q73,"0"),IF(ISNUMBER(O73),IF(ABS(O73-1)&lt;=0.2,"Steady: Little's Law holds",IF(O73&gt;1,"Draining a line left from earlier","Line still building")),"Hardly any line"))))</f>
        <v/>
      </c>
    </row>
    <row r="74" ht="21.95" customHeight="1">
      <c r="A74" s="14" t="inlineStr">
        <is>
          <t>With Smart Scan screens</t>
        </is>
      </c>
      <c r="B74" s="14" t="inlineStr">
        <is>
          <t>Central CT</t>
        </is>
      </c>
      <c r="C74" s="27" t="inlineStr">
        <is>
          <t>13:10</t>
        </is>
      </c>
      <c r="D74" s="54">
        <f>'Sim Data'!$E$213</f>
        <v/>
      </c>
      <c r="E74" s="55">
        <f>'Sim Data'!$G$213</f>
        <v/>
      </c>
      <c r="F74" s="56">
        <f>IF(E74&gt;0,1/E74,'Assumptions'!$B$21)</f>
        <v/>
      </c>
      <c r="G74" s="57">
        <f>'Assumptions'!$B$20</f>
        <v/>
      </c>
      <c r="H74" s="58">
        <f>D74/(G74*F74)</f>
        <v/>
      </c>
      <c r="I74" s="27">
        <f>IF(D74=0,"no arrivals",IF(H74&lt;0.85,"stable",IF(H74&lt;1,"near capacity","over capacity")))</f>
        <v/>
      </c>
      <c r="J74" s="49">
        <f>IF(AND(D74&gt;0,H74&lt;1),((D74/F74)^G74/FACT(G74)/(1-H74))/(SUMPRODUCT(--({0,1,2,3,4,5,6,7,8,9}&lt;G74),(D74/F74)^{0,1,2,3,4,5,6,7,8,9}/FACT({0,1,2,3,4,5,6,7,8,9}))+((D74/F74)^G74/FACT(G74)/(1-H74)))/(G74*F74-D74),"—")</f>
        <v/>
      </c>
      <c r="K74" s="49">
        <f>IF(ISNUMBER(J74),(1+'Assumptions'!$B$22^2)/2*J74,"—")</f>
        <v/>
      </c>
      <c r="L74" s="59">
        <f>'Sim Data'!$F$213</f>
        <v/>
      </c>
      <c r="M74" s="54">
        <f>'Sim Data'!$H$213</f>
        <v/>
      </c>
      <c r="N74" s="56">
        <f>D74*L74</f>
        <v/>
      </c>
      <c r="O74" s="49">
        <f>IF(MAX(M74,N74)&lt;0.5,"both ≈ 0",IF(N74=0,"no new arrivals",M74/N74))</f>
        <v/>
      </c>
      <c r="P74" s="48">
        <f>Q73</f>
        <v/>
      </c>
      <c r="Q74" s="48">
        <f>MAX(0,P74+D74*'Assumptions'!$B$47-G74*F74*('Assumptions'!$B$47-'Sim Data'!$L$213))</f>
        <v/>
      </c>
      <c r="R74" s="49">
        <f>(P74+Q74)/2/(G74*F74)</f>
        <v/>
      </c>
      <c r="S74" s="49">
        <f>IF(D74&gt;0,R74+(1+'Assumptions'!$B$22^2)/2*((MIN(D74,0.95*G74*F74)/F74)^G74/FACT(G74)/(1-MIN(D74,0.95*G74*F74)/(G74*F74)))/(SUMPRODUCT(--({0,1,2,3,4,5,6,7,8,9}&lt;G74),(MIN(D74,0.95*G74*F74)/F74)^{0,1,2,3,4,5,6,7,8,9}/FACT({0,1,2,3,4,5,6,7,8,9}))+((MIN(D74,0.95*G74*F74)/F74)^G74/FACT(G74)/(1-MIN(D74,0.95*G74*F74)/(G74*F74))))/(G74*F74-MIN(D74,0.95*G74*F74)),0)</f>
        <v/>
      </c>
      <c r="T74" s="59">
        <f>'Sim Data'!$J$213</f>
        <v/>
      </c>
      <c r="U74" s="14">
        <f>IF(D74=0,IF(P74&gt;0,"No new arrivals: the line left from earlier drains",""),IF(H74&gt;=1,"Over capacity: the line grows by about "&amp;TEXT((D74-G74*F74)*10,"0")&amp;" in 10 min (to "&amp;TEXT(Q74,"0")&amp;")",IF(P74&gt;=1,"Under capacity, but "&amp;TEXT(P74,"0")&amp;" were already in line: it drains to "&amp;TEXT(Q74,"0"),IF(ISNUMBER(O74),IF(ABS(O74-1)&lt;=0.2,"Steady: Little's Law holds",IF(O74&gt;1,"Draining a line left from earlier","Line still building")),"Hardly any line"))))</f>
        <v/>
      </c>
    </row>
    <row r="75" ht="21.95" customHeight="1">
      <c r="A75" s="14" t="inlineStr">
        <is>
          <t>With Smart Scan screens</t>
        </is>
      </c>
      <c r="B75" s="14" t="inlineStr">
        <is>
          <t>Central CT</t>
        </is>
      </c>
      <c r="C75" s="27" t="inlineStr">
        <is>
          <t>13:20</t>
        </is>
      </c>
      <c r="D75" s="54">
        <f>'Sim Data'!$E$214</f>
        <v/>
      </c>
      <c r="E75" s="55">
        <f>'Sim Data'!$G$214</f>
        <v/>
      </c>
      <c r="F75" s="56">
        <f>IF(E75&gt;0,1/E75,'Assumptions'!$B$21)</f>
        <v/>
      </c>
      <c r="G75" s="57">
        <f>'Assumptions'!$B$20</f>
        <v/>
      </c>
      <c r="H75" s="58">
        <f>D75/(G75*F75)</f>
        <v/>
      </c>
      <c r="I75" s="27">
        <f>IF(D75=0,"no arrivals",IF(H75&lt;0.85,"stable",IF(H75&lt;1,"near capacity","over capacity")))</f>
        <v/>
      </c>
      <c r="J75" s="49">
        <f>IF(AND(D75&gt;0,H75&lt;1),((D75/F75)^G75/FACT(G75)/(1-H75))/(SUMPRODUCT(--({0,1,2,3,4,5,6,7,8,9}&lt;G75),(D75/F75)^{0,1,2,3,4,5,6,7,8,9}/FACT({0,1,2,3,4,5,6,7,8,9}))+((D75/F75)^G75/FACT(G75)/(1-H75)))/(G75*F75-D75),"—")</f>
        <v/>
      </c>
      <c r="K75" s="49">
        <f>IF(ISNUMBER(J75),(1+'Assumptions'!$B$22^2)/2*J75,"—")</f>
        <v/>
      </c>
      <c r="L75" s="59">
        <f>'Sim Data'!$F$214</f>
        <v/>
      </c>
      <c r="M75" s="54">
        <f>'Sim Data'!$H$214</f>
        <v/>
      </c>
      <c r="N75" s="56">
        <f>D75*L75</f>
        <v/>
      </c>
      <c r="O75" s="49">
        <f>IF(MAX(M75,N75)&lt;0.5,"both ≈ 0",IF(N75=0,"no new arrivals",M75/N75))</f>
        <v/>
      </c>
      <c r="P75" s="48">
        <f>Q74</f>
        <v/>
      </c>
      <c r="Q75" s="48">
        <f>MAX(0,P75+D75*'Assumptions'!$B$47-G75*F75*('Assumptions'!$B$47-'Sim Data'!$L$214))</f>
        <v/>
      </c>
      <c r="R75" s="49">
        <f>(P75+Q75)/2/(G75*F75)</f>
        <v/>
      </c>
      <c r="S75" s="49">
        <f>IF(D75&gt;0,R75+(1+'Assumptions'!$B$22^2)/2*((MIN(D75,0.95*G75*F75)/F75)^G75/FACT(G75)/(1-MIN(D75,0.95*G75*F75)/(G75*F75)))/(SUMPRODUCT(--({0,1,2,3,4,5,6,7,8,9}&lt;G75),(MIN(D75,0.95*G75*F75)/F75)^{0,1,2,3,4,5,6,7,8,9}/FACT({0,1,2,3,4,5,6,7,8,9}))+((MIN(D75,0.95*G75*F75)/F75)^G75/FACT(G75)/(1-MIN(D75,0.95*G75*F75)/(G75*F75))))/(G75*F75-MIN(D75,0.95*G75*F75)),0)</f>
        <v/>
      </c>
      <c r="T75" s="59">
        <f>'Sim Data'!$J$214</f>
        <v/>
      </c>
      <c r="U75" s="14">
        <f>IF(D75=0,IF(P75&gt;0,"No new arrivals: the line left from earlier drains",""),IF(H75&gt;=1,"Over capacity: the line grows by about "&amp;TEXT((D75-G75*F75)*10,"0")&amp;" in 10 min (to "&amp;TEXT(Q75,"0")&amp;")",IF(P75&gt;=1,"Under capacity, but "&amp;TEXT(P75,"0")&amp;" were already in line: it drains to "&amp;TEXT(Q75,"0"),IF(ISNUMBER(O75),IF(ABS(O75-1)&lt;=0.2,"Steady: Little's Law holds",IF(O75&gt;1,"Draining a line left from earlier","Line still building")),"Hardly any line"))))</f>
        <v/>
      </c>
    </row>
    <row r="76" ht="21.95" customHeight="1">
      <c r="A76" s="14" t="inlineStr">
        <is>
          <t>With Smart Scan screens</t>
        </is>
      </c>
      <c r="B76" s="14" t="inlineStr">
        <is>
          <t>Central CT</t>
        </is>
      </c>
      <c r="C76" s="27" t="inlineStr">
        <is>
          <t>13:30</t>
        </is>
      </c>
      <c r="D76" s="54">
        <f>'Sim Data'!$E$215</f>
        <v/>
      </c>
      <c r="E76" s="55">
        <f>'Sim Data'!$G$215</f>
        <v/>
      </c>
      <c r="F76" s="56">
        <f>IF(E76&gt;0,1/E76,'Assumptions'!$B$21)</f>
        <v/>
      </c>
      <c r="G76" s="57">
        <f>'Assumptions'!$B$20</f>
        <v/>
      </c>
      <c r="H76" s="58">
        <f>D76/(G76*F76)</f>
        <v/>
      </c>
      <c r="I76" s="27">
        <f>IF(D76=0,"no arrivals",IF(H76&lt;0.85,"stable",IF(H76&lt;1,"near capacity","over capacity")))</f>
        <v/>
      </c>
      <c r="J76" s="49">
        <f>IF(AND(D76&gt;0,H76&lt;1),((D76/F76)^G76/FACT(G76)/(1-H76))/(SUMPRODUCT(--({0,1,2,3,4,5,6,7,8,9}&lt;G76),(D76/F76)^{0,1,2,3,4,5,6,7,8,9}/FACT({0,1,2,3,4,5,6,7,8,9}))+((D76/F76)^G76/FACT(G76)/(1-H76)))/(G76*F76-D76),"—")</f>
        <v/>
      </c>
      <c r="K76" s="49">
        <f>IF(ISNUMBER(J76),(1+'Assumptions'!$B$22^2)/2*J76,"—")</f>
        <v/>
      </c>
      <c r="L76" s="59">
        <f>'Sim Data'!$F$215</f>
        <v/>
      </c>
      <c r="M76" s="54">
        <f>'Sim Data'!$H$215</f>
        <v/>
      </c>
      <c r="N76" s="56">
        <f>D76*L76</f>
        <v/>
      </c>
      <c r="O76" s="49">
        <f>IF(MAX(M76,N76)&lt;0.5,"both ≈ 0",IF(N76=0,"no new arrivals",M76/N76))</f>
        <v/>
      </c>
      <c r="P76" s="48">
        <f>Q75</f>
        <v/>
      </c>
      <c r="Q76" s="48">
        <f>MAX(0,P76+D76*'Assumptions'!$B$47-G76*F76*('Assumptions'!$B$47-'Sim Data'!$L$215))</f>
        <v/>
      </c>
      <c r="R76" s="49">
        <f>(P76+Q76)/2/(G76*F76)</f>
        <v/>
      </c>
      <c r="S76" s="49">
        <f>IF(D76&gt;0,R76+(1+'Assumptions'!$B$22^2)/2*((MIN(D76,0.95*G76*F76)/F76)^G76/FACT(G76)/(1-MIN(D76,0.95*G76*F76)/(G76*F76)))/(SUMPRODUCT(--({0,1,2,3,4,5,6,7,8,9}&lt;G76),(MIN(D76,0.95*G76*F76)/F76)^{0,1,2,3,4,5,6,7,8,9}/FACT({0,1,2,3,4,5,6,7,8,9}))+((MIN(D76,0.95*G76*F76)/F76)^G76/FACT(G76)/(1-MIN(D76,0.95*G76*F76)/(G76*F76))))/(G76*F76-MIN(D76,0.95*G76*F76)),0)</f>
        <v/>
      </c>
      <c r="T76" s="59">
        <f>'Sim Data'!$J$215</f>
        <v/>
      </c>
      <c r="U76" s="14">
        <f>IF(D76=0,IF(P76&gt;0,"No new arrivals: the line left from earlier drains",""),IF(H76&gt;=1,"Over capacity: the line grows by about "&amp;TEXT((D76-G76*F76)*10,"0")&amp;" in 10 min (to "&amp;TEXT(Q76,"0")&amp;")",IF(P76&gt;=1,"Under capacity, but "&amp;TEXT(P76,"0")&amp;" were already in line: it drains to "&amp;TEXT(Q76,"0"),IF(ISNUMBER(O76),IF(ABS(O76-1)&lt;=0.2,"Steady: Little's Law holds",IF(O76&gt;1,"Draining a line left from earlier","Line still building")),"Hardly any line"))))</f>
        <v/>
      </c>
    </row>
    <row r="77" ht="21.95" customHeight="1">
      <c r="A77" s="14" t="inlineStr">
        <is>
          <t>With Smart Scan screens</t>
        </is>
      </c>
      <c r="B77" s="14" t="inlineStr">
        <is>
          <t>Central CT</t>
        </is>
      </c>
      <c r="C77" s="27" t="inlineStr">
        <is>
          <t>13:40</t>
        </is>
      </c>
      <c r="D77" s="54">
        <f>'Sim Data'!$E$216</f>
        <v/>
      </c>
      <c r="E77" s="55">
        <f>'Sim Data'!$G$216</f>
        <v/>
      </c>
      <c r="F77" s="56">
        <f>IF(E77&gt;0,1/E77,'Assumptions'!$B$21)</f>
        <v/>
      </c>
      <c r="G77" s="57">
        <f>'Assumptions'!$B$20</f>
        <v/>
      </c>
      <c r="H77" s="58">
        <f>D77/(G77*F77)</f>
        <v/>
      </c>
      <c r="I77" s="27">
        <f>IF(D77=0,"no arrivals",IF(H77&lt;0.85,"stable",IF(H77&lt;1,"near capacity","over capacity")))</f>
        <v/>
      </c>
      <c r="J77" s="49">
        <f>IF(AND(D77&gt;0,H77&lt;1),((D77/F77)^G77/FACT(G77)/(1-H77))/(SUMPRODUCT(--({0,1,2,3,4,5,6,7,8,9}&lt;G77),(D77/F77)^{0,1,2,3,4,5,6,7,8,9}/FACT({0,1,2,3,4,5,6,7,8,9}))+((D77/F77)^G77/FACT(G77)/(1-H77)))/(G77*F77-D77),"—")</f>
        <v/>
      </c>
      <c r="K77" s="49">
        <f>IF(ISNUMBER(J77),(1+'Assumptions'!$B$22^2)/2*J77,"—")</f>
        <v/>
      </c>
      <c r="L77" s="59">
        <f>'Sim Data'!$F$216</f>
        <v/>
      </c>
      <c r="M77" s="54">
        <f>'Sim Data'!$H$216</f>
        <v/>
      </c>
      <c r="N77" s="56">
        <f>D77*L77</f>
        <v/>
      </c>
      <c r="O77" s="49">
        <f>IF(MAX(M77,N77)&lt;0.5,"both ≈ 0",IF(N77=0,"no new arrivals",M77/N77))</f>
        <v/>
      </c>
      <c r="P77" s="48">
        <f>Q76</f>
        <v/>
      </c>
      <c r="Q77" s="48">
        <f>MAX(0,P77+D77*'Assumptions'!$B$47-G77*F77*('Assumptions'!$B$47-'Sim Data'!$L$216))</f>
        <v/>
      </c>
      <c r="R77" s="49">
        <f>(P77+Q77)/2/(G77*F77)</f>
        <v/>
      </c>
      <c r="S77" s="49">
        <f>IF(D77&gt;0,R77+(1+'Assumptions'!$B$22^2)/2*((MIN(D77,0.95*G77*F77)/F77)^G77/FACT(G77)/(1-MIN(D77,0.95*G77*F77)/(G77*F77)))/(SUMPRODUCT(--({0,1,2,3,4,5,6,7,8,9}&lt;G77),(MIN(D77,0.95*G77*F77)/F77)^{0,1,2,3,4,5,6,7,8,9}/FACT({0,1,2,3,4,5,6,7,8,9}))+((MIN(D77,0.95*G77*F77)/F77)^G77/FACT(G77)/(1-MIN(D77,0.95*G77*F77)/(G77*F77))))/(G77*F77-MIN(D77,0.95*G77*F77)),0)</f>
        <v/>
      </c>
      <c r="T77" s="59">
        <f>'Sim Data'!$J$216</f>
        <v/>
      </c>
      <c r="U77" s="14">
        <f>IF(D77=0,IF(P77&gt;0,"No new arrivals: the line left from earlier drains",""),IF(H77&gt;=1,"Over capacity: the line grows by about "&amp;TEXT((D77-G77*F77)*10,"0")&amp;" in 10 min (to "&amp;TEXT(Q77,"0")&amp;")",IF(P77&gt;=1,"Under capacity, but "&amp;TEXT(P77,"0")&amp;" were already in line: it drains to "&amp;TEXT(Q77,"0"),IF(ISNUMBER(O77),IF(ABS(O77-1)&lt;=0.2,"Steady: Little's Law holds",IF(O77&gt;1,"Draining a line left from earlier","Line still building")),"Hardly any line"))))</f>
        <v/>
      </c>
    </row>
    <row r="78" ht="21.95" customHeight="1">
      <c r="A78" s="14" t="inlineStr">
        <is>
          <t>With Smart Scan screens</t>
        </is>
      </c>
      <c r="B78" s="14" t="inlineStr">
        <is>
          <t>Central CT</t>
        </is>
      </c>
      <c r="C78" s="27" t="inlineStr">
        <is>
          <t>13:50</t>
        </is>
      </c>
      <c r="D78" s="54">
        <f>'Sim Data'!$E$217</f>
        <v/>
      </c>
      <c r="E78" s="55">
        <f>'Sim Data'!$G$217</f>
        <v/>
      </c>
      <c r="F78" s="56">
        <f>IF(E78&gt;0,1/E78,'Assumptions'!$B$21)</f>
        <v/>
      </c>
      <c r="G78" s="57">
        <f>'Assumptions'!$B$20</f>
        <v/>
      </c>
      <c r="H78" s="58">
        <f>D78/(G78*F78)</f>
        <v/>
      </c>
      <c r="I78" s="27">
        <f>IF(D78=0,"no arrivals",IF(H78&lt;0.85,"stable",IF(H78&lt;1,"near capacity","over capacity")))</f>
        <v/>
      </c>
      <c r="J78" s="49">
        <f>IF(AND(D78&gt;0,H78&lt;1),((D78/F78)^G78/FACT(G78)/(1-H78))/(SUMPRODUCT(--({0,1,2,3,4,5,6,7,8,9}&lt;G78),(D78/F78)^{0,1,2,3,4,5,6,7,8,9}/FACT({0,1,2,3,4,5,6,7,8,9}))+((D78/F78)^G78/FACT(G78)/(1-H78)))/(G78*F78-D78),"—")</f>
        <v/>
      </c>
      <c r="K78" s="49">
        <f>IF(ISNUMBER(J78),(1+'Assumptions'!$B$22^2)/2*J78,"—")</f>
        <v/>
      </c>
      <c r="L78" s="59">
        <f>'Sim Data'!$F$217</f>
        <v/>
      </c>
      <c r="M78" s="54">
        <f>'Sim Data'!$H$217</f>
        <v/>
      </c>
      <c r="N78" s="56">
        <f>D78*L78</f>
        <v/>
      </c>
      <c r="O78" s="49">
        <f>IF(MAX(M78,N78)&lt;0.5,"both ≈ 0",IF(N78=0,"no new arrivals",M78/N78))</f>
        <v/>
      </c>
      <c r="P78" s="48">
        <f>Q77</f>
        <v/>
      </c>
      <c r="Q78" s="48">
        <f>MAX(0,P78+D78*'Assumptions'!$B$47-G78*F78*('Assumptions'!$B$47-'Sim Data'!$L$217))</f>
        <v/>
      </c>
      <c r="R78" s="49">
        <f>(P78+Q78)/2/(G78*F78)</f>
        <v/>
      </c>
      <c r="S78" s="49">
        <f>IF(D78&gt;0,R78+(1+'Assumptions'!$B$22^2)/2*((MIN(D78,0.95*G78*F78)/F78)^G78/FACT(G78)/(1-MIN(D78,0.95*G78*F78)/(G78*F78)))/(SUMPRODUCT(--({0,1,2,3,4,5,6,7,8,9}&lt;G78),(MIN(D78,0.95*G78*F78)/F78)^{0,1,2,3,4,5,6,7,8,9}/FACT({0,1,2,3,4,5,6,7,8,9}))+((MIN(D78,0.95*G78*F78)/F78)^G78/FACT(G78)/(1-MIN(D78,0.95*G78*F78)/(G78*F78))))/(G78*F78-MIN(D78,0.95*G78*F78)),0)</f>
        <v/>
      </c>
      <c r="T78" s="59">
        <f>'Sim Data'!$J$217</f>
        <v/>
      </c>
      <c r="U78" s="14">
        <f>IF(D78=0,IF(P78&gt;0,"No new arrivals: the line left from earlier drains",""),IF(H78&gt;=1,"Over capacity: the line grows by about "&amp;TEXT((D78-G78*F78)*10,"0")&amp;" in 10 min (to "&amp;TEXT(Q78,"0")&amp;")",IF(P78&gt;=1,"Under capacity, but "&amp;TEXT(P78,"0")&amp;" were already in line: it drains to "&amp;TEXT(Q78,"0"),IF(ISNUMBER(O78),IF(ABS(O78-1)&lt;=0.2,"Steady: Little's Law holds",IF(O78&gt;1,"Draining a line left from earlier","Line still building")),"Hardly any line"))))</f>
        <v/>
      </c>
    </row>
    <row r="79" ht="21.95" customHeight="1">
      <c r="A79" s="14" t="inlineStr">
        <is>
          <t>With Smart Scan screens</t>
        </is>
      </c>
      <c r="B79" s="14" t="inlineStr">
        <is>
          <t>Central CT</t>
        </is>
      </c>
      <c r="C79" s="27" t="inlineStr">
        <is>
          <t>14:00</t>
        </is>
      </c>
      <c r="D79" s="54">
        <f>'Sim Data'!$E$218</f>
        <v/>
      </c>
      <c r="E79" s="55">
        <f>'Sim Data'!$G$218</f>
        <v/>
      </c>
      <c r="F79" s="56">
        <f>IF(E79&gt;0,1/E79,'Assumptions'!$B$21)</f>
        <v/>
      </c>
      <c r="G79" s="57">
        <f>'Assumptions'!$B$20</f>
        <v/>
      </c>
      <c r="H79" s="58">
        <f>D79/(G79*F79)</f>
        <v/>
      </c>
      <c r="I79" s="27">
        <f>IF(D79=0,"no arrivals",IF(H79&lt;0.85,"stable",IF(H79&lt;1,"near capacity","over capacity")))</f>
        <v/>
      </c>
      <c r="J79" s="49">
        <f>IF(AND(D79&gt;0,H79&lt;1),((D79/F79)^G79/FACT(G79)/(1-H79))/(SUMPRODUCT(--({0,1,2,3,4,5,6,7,8,9}&lt;G79),(D79/F79)^{0,1,2,3,4,5,6,7,8,9}/FACT({0,1,2,3,4,5,6,7,8,9}))+((D79/F79)^G79/FACT(G79)/(1-H79)))/(G79*F79-D79),"—")</f>
        <v/>
      </c>
      <c r="K79" s="49">
        <f>IF(ISNUMBER(J79),(1+'Assumptions'!$B$22^2)/2*J79,"—")</f>
        <v/>
      </c>
      <c r="L79" s="59">
        <f>'Sim Data'!$F$218</f>
        <v/>
      </c>
      <c r="M79" s="54">
        <f>'Sim Data'!$H$218</f>
        <v/>
      </c>
      <c r="N79" s="56">
        <f>D79*L79</f>
        <v/>
      </c>
      <c r="O79" s="49">
        <f>IF(MAX(M79,N79)&lt;0.5,"both ≈ 0",IF(N79=0,"no new arrivals",M79/N79))</f>
        <v/>
      </c>
      <c r="P79" s="48">
        <f>Q78</f>
        <v/>
      </c>
      <c r="Q79" s="48">
        <f>MAX(0,P79+D79*'Assumptions'!$B$47-G79*F79*('Assumptions'!$B$47-'Sim Data'!$L$218))</f>
        <v/>
      </c>
      <c r="R79" s="49">
        <f>(P79+Q79)/2/(G79*F79)</f>
        <v/>
      </c>
      <c r="S79" s="49">
        <f>IF(D79&gt;0,R79+(1+'Assumptions'!$B$22^2)/2*((MIN(D79,0.95*G79*F79)/F79)^G79/FACT(G79)/(1-MIN(D79,0.95*G79*F79)/(G79*F79)))/(SUMPRODUCT(--({0,1,2,3,4,5,6,7,8,9}&lt;G79),(MIN(D79,0.95*G79*F79)/F79)^{0,1,2,3,4,5,6,7,8,9}/FACT({0,1,2,3,4,5,6,7,8,9}))+((MIN(D79,0.95*G79*F79)/F79)^G79/FACT(G79)/(1-MIN(D79,0.95*G79*F79)/(G79*F79))))/(G79*F79-MIN(D79,0.95*G79*F79)),0)</f>
        <v/>
      </c>
      <c r="T79" s="59">
        <f>'Sim Data'!$J$218</f>
        <v/>
      </c>
      <c r="U79" s="14">
        <f>IF(D79=0,IF(P79&gt;0,"No new arrivals: the line left from earlier drains",""),IF(H79&gt;=1,"Over capacity: the line grows by about "&amp;TEXT((D79-G79*F79)*10,"0")&amp;" in 10 min (to "&amp;TEXT(Q79,"0")&amp;")",IF(P79&gt;=1,"Under capacity, but "&amp;TEXT(P79,"0")&amp;" were already in line: it drains to "&amp;TEXT(Q79,"0"),IF(ISNUMBER(O79),IF(ABS(O79-1)&lt;=0.2,"Steady: Little's Law holds",IF(O79&gt;1,"Draining a line left from earlier","Line still building")),"Hardly any line"))))</f>
        <v/>
      </c>
    </row>
    <row r="80" ht="21.95" customHeight="1">
      <c r="A80" s="14" t="inlineStr">
        <is>
          <t>With Smart Scan screens</t>
        </is>
      </c>
      <c r="B80" s="14" t="inlineStr">
        <is>
          <t>Central CT</t>
        </is>
      </c>
      <c r="C80" s="27" t="inlineStr">
        <is>
          <t>14:10</t>
        </is>
      </c>
      <c r="D80" s="54">
        <f>'Sim Data'!$E$219</f>
        <v/>
      </c>
      <c r="E80" s="55">
        <f>'Sim Data'!$G$219</f>
        <v/>
      </c>
      <c r="F80" s="56">
        <f>IF(E80&gt;0,1/E80,'Assumptions'!$B$21)</f>
        <v/>
      </c>
      <c r="G80" s="57">
        <f>'Assumptions'!$B$20</f>
        <v/>
      </c>
      <c r="H80" s="58">
        <f>D80/(G80*F80)</f>
        <v/>
      </c>
      <c r="I80" s="27">
        <f>IF(D80=0,"no arrivals",IF(H80&lt;0.85,"stable",IF(H80&lt;1,"near capacity","over capacity")))</f>
        <v/>
      </c>
      <c r="J80" s="49">
        <f>IF(AND(D80&gt;0,H80&lt;1),((D80/F80)^G80/FACT(G80)/(1-H80))/(SUMPRODUCT(--({0,1,2,3,4,5,6,7,8,9}&lt;G80),(D80/F80)^{0,1,2,3,4,5,6,7,8,9}/FACT({0,1,2,3,4,5,6,7,8,9}))+((D80/F80)^G80/FACT(G80)/(1-H80)))/(G80*F80-D80),"—")</f>
        <v/>
      </c>
      <c r="K80" s="49">
        <f>IF(ISNUMBER(J80),(1+'Assumptions'!$B$22^2)/2*J80,"—")</f>
        <v/>
      </c>
      <c r="L80" s="59">
        <f>'Sim Data'!$F$219</f>
        <v/>
      </c>
      <c r="M80" s="54">
        <f>'Sim Data'!$H$219</f>
        <v/>
      </c>
      <c r="N80" s="56">
        <f>D80*L80</f>
        <v/>
      </c>
      <c r="O80" s="49">
        <f>IF(MAX(M80,N80)&lt;0.5,"both ≈ 0",IF(N80=0,"no new arrivals",M80/N80))</f>
        <v/>
      </c>
      <c r="P80" s="48">
        <f>Q79</f>
        <v/>
      </c>
      <c r="Q80" s="48">
        <f>MAX(0,P80+D80*'Assumptions'!$B$47-G80*F80*('Assumptions'!$B$47-'Sim Data'!$L$219))</f>
        <v/>
      </c>
      <c r="R80" s="49">
        <f>(P80+Q80)/2/(G80*F80)</f>
        <v/>
      </c>
      <c r="S80" s="49">
        <f>IF(D80&gt;0,R80+(1+'Assumptions'!$B$22^2)/2*((MIN(D80,0.95*G80*F80)/F80)^G80/FACT(G80)/(1-MIN(D80,0.95*G80*F80)/(G80*F80)))/(SUMPRODUCT(--({0,1,2,3,4,5,6,7,8,9}&lt;G80),(MIN(D80,0.95*G80*F80)/F80)^{0,1,2,3,4,5,6,7,8,9}/FACT({0,1,2,3,4,5,6,7,8,9}))+((MIN(D80,0.95*G80*F80)/F80)^G80/FACT(G80)/(1-MIN(D80,0.95*G80*F80)/(G80*F80))))/(G80*F80-MIN(D80,0.95*G80*F80)),0)</f>
        <v/>
      </c>
      <c r="T80" s="59">
        <f>'Sim Data'!$J$219</f>
        <v/>
      </c>
      <c r="U80" s="14">
        <f>IF(D80=0,IF(P80&gt;0,"No new arrivals: the line left from earlier drains",""),IF(H80&gt;=1,"Over capacity: the line grows by about "&amp;TEXT((D80-G80*F80)*10,"0")&amp;" in 10 min (to "&amp;TEXT(Q80,"0")&amp;")",IF(P80&gt;=1,"Under capacity, but "&amp;TEXT(P80,"0")&amp;" were already in line: it drains to "&amp;TEXT(Q80,"0"),IF(ISNUMBER(O80),IF(ABS(O80-1)&lt;=0.2,"Steady: Little's Law holds",IF(O80&gt;1,"Draining a line left from earlier","Line still building")),"Hardly any line"))))</f>
        <v/>
      </c>
    </row>
    <row r="81" ht="21.95" customHeight="1">
      <c r="A81" s="14" t="inlineStr">
        <is>
          <t>With Smart Scan screens</t>
        </is>
      </c>
      <c r="B81" s="14" t="inlineStr">
        <is>
          <t>Central CT</t>
        </is>
      </c>
      <c r="C81" s="27" t="inlineStr">
        <is>
          <t>14:20</t>
        </is>
      </c>
      <c r="D81" s="54">
        <f>'Sim Data'!$E$220</f>
        <v/>
      </c>
      <c r="E81" s="55">
        <f>'Sim Data'!$G$220</f>
        <v/>
      </c>
      <c r="F81" s="56">
        <f>IF(E81&gt;0,1/E81,'Assumptions'!$B$21)</f>
        <v/>
      </c>
      <c r="G81" s="57">
        <f>'Assumptions'!$B$20</f>
        <v/>
      </c>
      <c r="H81" s="58">
        <f>D81/(G81*F81)</f>
        <v/>
      </c>
      <c r="I81" s="27">
        <f>IF(D81=0,"no arrivals",IF(H81&lt;0.85,"stable",IF(H81&lt;1,"near capacity","over capacity")))</f>
        <v/>
      </c>
      <c r="J81" s="49">
        <f>IF(AND(D81&gt;0,H81&lt;1),((D81/F81)^G81/FACT(G81)/(1-H81))/(SUMPRODUCT(--({0,1,2,3,4,5,6,7,8,9}&lt;G81),(D81/F81)^{0,1,2,3,4,5,6,7,8,9}/FACT({0,1,2,3,4,5,6,7,8,9}))+((D81/F81)^G81/FACT(G81)/(1-H81)))/(G81*F81-D81),"—")</f>
        <v/>
      </c>
      <c r="K81" s="49">
        <f>IF(ISNUMBER(J81),(1+'Assumptions'!$B$22^2)/2*J81,"—")</f>
        <v/>
      </c>
      <c r="L81" s="59">
        <f>'Sim Data'!$F$220</f>
        <v/>
      </c>
      <c r="M81" s="54">
        <f>'Sim Data'!$H$220</f>
        <v/>
      </c>
      <c r="N81" s="56">
        <f>D81*L81</f>
        <v/>
      </c>
      <c r="O81" s="49">
        <f>IF(MAX(M81,N81)&lt;0.5,"both ≈ 0",IF(N81=0,"no new arrivals",M81/N81))</f>
        <v/>
      </c>
      <c r="P81" s="48">
        <f>Q80</f>
        <v/>
      </c>
      <c r="Q81" s="48">
        <f>MAX(0,P81+D81*'Assumptions'!$B$47-G81*F81*('Assumptions'!$B$47-'Sim Data'!$L$220))</f>
        <v/>
      </c>
      <c r="R81" s="49">
        <f>(P81+Q81)/2/(G81*F81)</f>
        <v/>
      </c>
      <c r="S81" s="49">
        <f>IF(D81&gt;0,R81+(1+'Assumptions'!$B$22^2)/2*((MIN(D81,0.95*G81*F81)/F81)^G81/FACT(G81)/(1-MIN(D81,0.95*G81*F81)/(G81*F81)))/(SUMPRODUCT(--({0,1,2,3,4,5,6,7,8,9}&lt;G81),(MIN(D81,0.95*G81*F81)/F81)^{0,1,2,3,4,5,6,7,8,9}/FACT({0,1,2,3,4,5,6,7,8,9}))+((MIN(D81,0.95*G81*F81)/F81)^G81/FACT(G81)/(1-MIN(D81,0.95*G81*F81)/(G81*F81))))/(G81*F81-MIN(D81,0.95*G81*F81)),0)</f>
        <v/>
      </c>
      <c r="T81" s="59">
        <f>'Sim Data'!$J$220</f>
        <v/>
      </c>
      <c r="U81" s="14">
        <f>IF(D81=0,IF(P81&gt;0,"No new arrivals: the line left from earlier drains",""),IF(H81&gt;=1,"Over capacity: the line grows by about "&amp;TEXT((D81-G81*F81)*10,"0")&amp;" in 10 min (to "&amp;TEXT(Q81,"0")&amp;")",IF(P81&gt;=1,"Under capacity, but "&amp;TEXT(P81,"0")&amp;" were already in line: it drains to "&amp;TEXT(Q81,"0"),IF(ISNUMBER(O81),IF(ABS(O81-1)&lt;=0.2,"Steady: Little's Law holds",IF(O81&gt;1,"Draining a line left from earlier","Line still building")),"Hardly any line"))))</f>
        <v/>
      </c>
    </row>
    <row r="82" ht="21.95" customHeight="1">
      <c r="A82" s="14" t="inlineStr">
        <is>
          <t>With Smart Scan screens</t>
        </is>
      </c>
      <c r="B82" s="14" t="inlineStr">
        <is>
          <t>Munch Mess</t>
        </is>
      </c>
      <c r="C82" s="27" t="inlineStr">
        <is>
          <t>11:30</t>
        </is>
      </c>
      <c r="D82" s="54">
        <f>'Sim Data'!$E$293</f>
        <v/>
      </c>
      <c r="E82" s="55">
        <f>'Sim Data'!$G$293</f>
        <v/>
      </c>
      <c r="F82" s="56">
        <f>IF(E82&gt;0,1/E82,'Assumptions'!$B$21)</f>
        <v/>
      </c>
      <c r="G82" s="57">
        <f>'Assumptions'!$B$20</f>
        <v/>
      </c>
      <c r="H82" s="58">
        <f>D82/(G82*F82)</f>
        <v/>
      </c>
      <c r="I82" s="27">
        <f>IF(D82=0,"no arrivals",IF(H82&lt;0.85,"stable",IF(H82&lt;1,"near capacity","over capacity")))</f>
        <v/>
      </c>
      <c r="J82" s="49">
        <f>IF(AND(D82&gt;0,H82&lt;1),((D82/F82)^G82/FACT(G82)/(1-H82))/(SUMPRODUCT(--({0,1,2,3,4,5,6,7,8,9}&lt;G82),(D82/F82)^{0,1,2,3,4,5,6,7,8,9}/FACT({0,1,2,3,4,5,6,7,8,9}))+((D82/F82)^G82/FACT(G82)/(1-H82)))/(G82*F82-D82),"—")</f>
        <v/>
      </c>
      <c r="K82" s="49">
        <f>IF(ISNUMBER(J82),(1+'Assumptions'!$B$22^2)/2*J82,"—")</f>
        <v/>
      </c>
      <c r="L82" s="59">
        <f>'Sim Data'!$F$293</f>
        <v/>
      </c>
      <c r="M82" s="54">
        <f>'Sim Data'!$H$293</f>
        <v/>
      </c>
      <c r="N82" s="56">
        <f>D82*L82</f>
        <v/>
      </c>
      <c r="O82" s="49">
        <f>IF(MAX(M82,N82)&lt;0.5,"both ≈ 0",IF(N82=0,"no new arrivals",M82/N82))</f>
        <v/>
      </c>
      <c r="P82" s="48">
        <f>0</f>
        <v/>
      </c>
      <c r="Q82" s="48">
        <f>MAX(0,P82+D82*'Assumptions'!$B$47-G82*F82*('Assumptions'!$B$47-'Sim Data'!$L$293))</f>
        <v/>
      </c>
      <c r="R82" s="49">
        <f>(P82+Q82)/2/(G82*F82)</f>
        <v/>
      </c>
      <c r="S82" s="49">
        <f>IF(D82&gt;0,R82+(1+'Assumptions'!$B$22^2)/2*((MIN(D82,0.95*G82*F82)/F82)^G82/FACT(G82)/(1-MIN(D82,0.95*G82*F82)/(G82*F82)))/(SUMPRODUCT(--({0,1,2,3,4,5,6,7,8,9}&lt;G82),(MIN(D82,0.95*G82*F82)/F82)^{0,1,2,3,4,5,6,7,8,9}/FACT({0,1,2,3,4,5,6,7,8,9}))+((MIN(D82,0.95*G82*F82)/F82)^G82/FACT(G82)/(1-MIN(D82,0.95*G82*F82)/(G82*F82))))/(G82*F82-MIN(D82,0.95*G82*F82)),0)</f>
        <v/>
      </c>
      <c r="T82" s="59">
        <f>'Sim Data'!$J$293</f>
        <v/>
      </c>
      <c r="U82" s="14">
        <f>IF(D82=0,IF(P82&gt;0,"No new arrivals: the line left from earlier drains",""),IF(H82&gt;=1,"Over capacity: the line grows by about "&amp;TEXT((D82-G82*F82)*10,"0")&amp;" in 10 min (to "&amp;TEXT(Q82,"0")&amp;")",IF(P82&gt;=1,"Under capacity, but "&amp;TEXT(P82,"0")&amp;" were already in line: it drains to "&amp;TEXT(Q82,"0"),IF(ISNUMBER(O82),IF(ABS(O82-1)&lt;=0.2,"Steady: Little's Law holds",IF(O82&gt;1,"Draining a line left from earlier","Line still building")),"Hardly any line"))))</f>
        <v/>
      </c>
    </row>
    <row r="83" ht="21.95" customHeight="1">
      <c r="A83" s="14" t="inlineStr">
        <is>
          <t>With Smart Scan screens</t>
        </is>
      </c>
      <c r="B83" s="14" t="inlineStr">
        <is>
          <t>Munch Mess</t>
        </is>
      </c>
      <c r="C83" s="27" t="inlineStr">
        <is>
          <t>11:40</t>
        </is>
      </c>
      <c r="D83" s="54">
        <f>'Sim Data'!$E$294</f>
        <v/>
      </c>
      <c r="E83" s="55">
        <f>'Sim Data'!$G$294</f>
        <v/>
      </c>
      <c r="F83" s="56">
        <f>IF(E83&gt;0,1/E83,'Assumptions'!$B$21)</f>
        <v/>
      </c>
      <c r="G83" s="57">
        <f>'Assumptions'!$B$20</f>
        <v/>
      </c>
      <c r="H83" s="58">
        <f>D83/(G83*F83)</f>
        <v/>
      </c>
      <c r="I83" s="27">
        <f>IF(D83=0,"no arrivals",IF(H83&lt;0.85,"stable",IF(H83&lt;1,"near capacity","over capacity")))</f>
        <v/>
      </c>
      <c r="J83" s="49">
        <f>IF(AND(D83&gt;0,H83&lt;1),((D83/F83)^G83/FACT(G83)/(1-H83))/(SUMPRODUCT(--({0,1,2,3,4,5,6,7,8,9}&lt;G83),(D83/F83)^{0,1,2,3,4,5,6,7,8,9}/FACT({0,1,2,3,4,5,6,7,8,9}))+((D83/F83)^G83/FACT(G83)/(1-H83)))/(G83*F83-D83),"—")</f>
        <v/>
      </c>
      <c r="K83" s="49">
        <f>IF(ISNUMBER(J83),(1+'Assumptions'!$B$22^2)/2*J83,"—")</f>
        <v/>
      </c>
      <c r="L83" s="59">
        <f>'Sim Data'!$F$294</f>
        <v/>
      </c>
      <c r="M83" s="54">
        <f>'Sim Data'!$H$294</f>
        <v/>
      </c>
      <c r="N83" s="56">
        <f>D83*L83</f>
        <v/>
      </c>
      <c r="O83" s="49">
        <f>IF(MAX(M83,N83)&lt;0.5,"both ≈ 0",IF(N83=0,"no new arrivals",M83/N83))</f>
        <v/>
      </c>
      <c r="P83" s="48">
        <f>Q82</f>
        <v/>
      </c>
      <c r="Q83" s="48">
        <f>MAX(0,P83+D83*'Assumptions'!$B$47-G83*F83*('Assumptions'!$B$47-'Sim Data'!$L$294))</f>
        <v/>
      </c>
      <c r="R83" s="49">
        <f>(P83+Q83)/2/(G83*F83)</f>
        <v/>
      </c>
      <c r="S83" s="49">
        <f>IF(D83&gt;0,R83+(1+'Assumptions'!$B$22^2)/2*((MIN(D83,0.95*G83*F83)/F83)^G83/FACT(G83)/(1-MIN(D83,0.95*G83*F83)/(G83*F83)))/(SUMPRODUCT(--({0,1,2,3,4,5,6,7,8,9}&lt;G83),(MIN(D83,0.95*G83*F83)/F83)^{0,1,2,3,4,5,6,7,8,9}/FACT({0,1,2,3,4,5,6,7,8,9}))+((MIN(D83,0.95*G83*F83)/F83)^G83/FACT(G83)/(1-MIN(D83,0.95*G83*F83)/(G83*F83))))/(G83*F83-MIN(D83,0.95*G83*F83)),0)</f>
        <v/>
      </c>
      <c r="T83" s="59">
        <f>'Sim Data'!$J$294</f>
        <v/>
      </c>
      <c r="U83" s="14">
        <f>IF(D83=0,IF(P83&gt;0,"No new arrivals: the line left from earlier drains",""),IF(H83&gt;=1,"Over capacity: the line grows by about "&amp;TEXT((D83-G83*F83)*10,"0")&amp;" in 10 min (to "&amp;TEXT(Q83,"0")&amp;")",IF(P83&gt;=1,"Under capacity, but "&amp;TEXT(P83,"0")&amp;" were already in line: it drains to "&amp;TEXT(Q83,"0"),IF(ISNUMBER(O83),IF(ABS(O83-1)&lt;=0.2,"Steady: Little's Law holds",IF(O83&gt;1,"Draining a line left from earlier","Line still building")),"Hardly any line"))))</f>
        <v/>
      </c>
    </row>
    <row r="84" ht="21.95" customHeight="1">
      <c r="A84" s="14" t="inlineStr">
        <is>
          <t>With Smart Scan screens</t>
        </is>
      </c>
      <c r="B84" s="14" t="inlineStr">
        <is>
          <t>Munch Mess</t>
        </is>
      </c>
      <c r="C84" s="27" t="inlineStr">
        <is>
          <t>11:50</t>
        </is>
      </c>
      <c r="D84" s="54">
        <f>'Sim Data'!$E$295</f>
        <v/>
      </c>
      <c r="E84" s="55">
        <f>'Sim Data'!$G$295</f>
        <v/>
      </c>
      <c r="F84" s="56">
        <f>IF(E84&gt;0,1/E84,'Assumptions'!$B$21)</f>
        <v/>
      </c>
      <c r="G84" s="57">
        <f>'Assumptions'!$B$20</f>
        <v/>
      </c>
      <c r="H84" s="58">
        <f>D84/(G84*F84)</f>
        <v/>
      </c>
      <c r="I84" s="27">
        <f>IF(D84=0,"no arrivals",IF(H84&lt;0.85,"stable",IF(H84&lt;1,"near capacity","over capacity")))</f>
        <v/>
      </c>
      <c r="J84" s="49">
        <f>IF(AND(D84&gt;0,H84&lt;1),((D84/F84)^G84/FACT(G84)/(1-H84))/(SUMPRODUCT(--({0,1,2,3,4,5,6,7,8,9}&lt;G84),(D84/F84)^{0,1,2,3,4,5,6,7,8,9}/FACT({0,1,2,3,4,5,6,7,8,9}))+((D84/F84)^G84/FACT(G84)/(1-H84)))/(G84*F84-D84),"—")</f>
        <v/>
      </c>
      <c r="K84" s="49">
        <f>IF(ISNUMBER(J84),(1+'Assumptions'!$B$22^2)/2*J84,"—")</f>
        <v/>
      </c>
      <c r="L84" s="59">
        <f>'Sim Data'!$F$295</f>
        <v/>
      </c>
      <c r="M84" s="54">
        <f>'Sim Data'!$H$295</f>
        <v/>
      </c>
      <c r="N84" s="56">
        <f>D84*L84</f>
        <v/>
      </c>
      <c r="O84" s="49">
        <f>IF(MAX(M84,N84)&lt;0.5,"both ≈ 0",IF(N84=0,"no new arrivals",M84/N84))</f>
        <v/>
      </c>
      <c r="P84" s="48">
        <f>Q83</f>
        <v/>
      </c>
      <c r="Q84" s="48">
        <f>MAX(0,P84+D84*'Assumptions'!$B$47-G84*F84*('Assumptions'!$B$47-'Sim Data'!$L$295))</f>
        <v/>
      </c>
      <c r="R84" s="49">
        <f>(P84+Q84)/2/(G84*F84)</f>
        <v/>
      </c>
      <c r="S84" s="49">
        <f>IF(D84&gt;0,R84+(1+'Assumptions'!$B$22^2)/2*((MIN(D84,0.95*G84*F84)/F84)^G84/FACT(G84)/(1-MIN(D84,0.95*G84*F84)/(G84*F84)))/(SUMPRODUCT(--({0,1,2,3,4,5,6,7,8,9}&lt;G84),(MIN(D84,0.95*G84*F84)/F84)^{0,1,2,3,4,5,6,7,8,9}/FACT({0,1,2,3,4,5,6,7,8,9}))+((MIN(D84,0.95*G84*F84)/F84)^G84/FACT(G84)/(1-MIN(D84,0.95*G84*F84)/(G84*F84))))/(G84*F84-MIN(D84,0.95*G84*F84)),0)</f>
        <v/>
      </c>
      <c r="T84" s="59">
        <f>'Sim Data'!$J$295</f>
        <v/>
      </c>
      <c r="U84" s="14">
        <f>IF(D84=0,IF(P84&gt;0,"No new arrivals: the line left from earlier drains",""),IF(H84&gt;=1,"Over capacity: the line grows by about "&amp;TEXT((D84-G84*F84)*10,"0")&amp;" in 10 min (to "&amp;TEXT(Q84,"0")&amp;")",IF(P84&gt;=1,"Under capacity, but "&amp;TEXT(P84,"0")&amp;" were already in line: it drains to "&amp;TEXT(Q84,"0"),IF(ISNUMBER(O84),IF(ABS(O84-1)&lt;=0.2,"Steady: Little's Law holds",IF(O84&gt;1,"Draining a line left from earlier","Line still building")),"Hardly any line"))))</f>
        <v/>
      </c>
    </row>
    <row r="85" ht="21.95" customHeight="1">
      <c r="A85" s="14" t="inlineStr">
        <is>
          <t>With Smart Scan screens</t>
        </is>
      </c>
      <c r="B85" s="14" t="inlineStr">
        <is>
          <t>Munch Mess</t>
        </is>
      </c>
      <c r="C85" s="27" t="inlineStr">
        <is>
          <t>12:00</t>
        </is>
      </c>
      <c r="D85" s="54">
        <f>'Sim Data'!$E$296</f>
        <v/>
      </c>
      <c r="E85" s="55">
        <f>'Sim Data'!$G$296</f>
        <v/>
      </c>
      <c r="F85" s="56">
        <f>IF(E85&gt;0,1/E85,'Assumptions'!$B$21)</f>
        <v/>
      </c>
      <c r="G85" s="57">
        <f>'Assumptions'!$B$20</f>
        <v/>
      </c>
      <c r="H85" s="58">
        <f>D85/(G85*F85)</f>
        <v/>
      </c>
      <c r="I85" s="27">
        <f>IF(D85=0,"no arrivals",IF(H85&lt;0.85,"stable",IF(H85&lt;1,"near capacity","over capacity")))</f>
        <v/>
      </c>
      <c r="J85" s="49">
        <f>IF(AND(D85&gt;0,H85&lt;1),((D85/F85)^G85/FACT(G85)/(1-H85))/(SUMPRODUCT(--({0,1,2,3,4,5,6,7,8,9}&lt;G85),(D85/F85)^{0,1,2,3,4,5,6,7,8,9}/FACT({0,1,2,3,4,5,6,7,8,9}))+((D85/F85)^G85/FACT(G85)/(1-H85)))/(G85*F85-D85),"—")</f>
        <v/>
      </c>
      <c r="K85" s="49">
        <f>IF(ISNUMBER(J85),(1+'Assumptions'!$B$22^2)/2*J85,"—")</f>
        <v/>
      </c>
      <c r="L85" s="59">
        <f>'Sim Data'!$F$296</f>
        <v/>
      </c>
      <c r="M85" s="54">
        <f>'Sim Data'!$H$296</f>
        <v/>
      </c>
      <c r="N85" s="56">
        <f>D85*L85</f>
        <v/>
      </c>
      <c r="O85" s="49">
        <f>IF(MAX(M85,N85)&lt;0.5,"both ≈ 0",IF(N85=0,"no new arrivals",M85/N85))</f>
        <v/>
      </c>
      <c r="P85" s="48">
        <f>Q84</f>
        <v/>
      </c>
      <c r="Q85" s="48">
        <f>MAX(0,P85+D85*'Assumptions'!$B$47-G85*F85*('Assumptions'!$B$47-'Sim Data'!$L$296))</f>
        <v/>
      </c>
      <c r="R85" s="49">
        <f>(P85+Q85)/2/(G85*F85)</f>
        <v/>
      </c>
      <c r="S85" s="49">
        <f>IF(D85&gt;0,R85+(1+'Assumptions'!$B$22^2)/2*((MIN(D85,0.95*G85*F85)/F85)^G85/FACT(G85)/(1-MIN(D85,0.95*G85*F85)/(G85*F85)))/(SUMPRODUCT(--({0,1,2,3,4,5,6,7,8,9}&lt;G85),(MIN(D85,0.95*G85*F85)/F85)^{0,1,2,3,4,5,6,7,8,9}/FACT({0,1,2,3,4,5,6,7,8,9}))+((MIN(D85,0.95*G85*F85)/F85)^G85/FACT(G85)/(1-MIN(D85,0.95*G85*F85)/(G85*F85))))/(G85*F85-MIN(D85,0.95*G85*F85)),0)</f>
        <v/>
      </c>
      <c r="T85" s="59">
        <f>'Sim Data'!$J$296</f>
        <v/>
      </c>
      <c r="U85" s="14">
        <f>IF(D85=0,IF(P85&gt;0,"No new arrivals: the line left from earlier drains",""),IF(H85&gt;=1,"Over capacity: the line grows by about "&amp;TEXT((D85-G85*F85)*10,"0")&amp;" in 10 min (to "&amp;TEXT(Q85,"0")&amp;")",IF(P85&gt;=1,"Under capacity, but "&amp;TEXT(P85,"0")&amp;" were already in line: it drains to "&amp;TEXT(Q85,"0"),IF(ISNUMBER(O85),IF(ABS(O85-1)&lt;=0.2,"Steady: Little's Law holds",IF(O85&gt;1,"Draining a line left from earlier","Line still building")),"Hardly any line"))))</f>
        <v/>
      </c>
    </row>
    <row r="86" ht="21.95" customHeight="1">
      <c r="A86" s="14" t="inlineStr">
        <is>
          <t>With Smart Scan screens</t>
        </is>
      </c>
      <c r="B86" s="14" t="inlineStr">
        <is>
          <t>Munch Mess</t>
        </is>
      </c>
      <c r="C86" s="27" t="inlineStr">
        <is>
          <t>12:10</t>
        </is>
      </c>
      <c r="D86" s="54">
        <f>'Sim Data'!$E$297</f>
        <v/>
      </c>
      <c r="E86" s="55">
        <f>'Sim Data'!$G$297</f>
        <v/>
      </c>
      <c r="F86" s="56">
        <f>IF(E86&gt;0,1/E86,'Assumptions'!$B$21)</f>
        <v/>
      </c>
      <c r="G86" s="57">
        <f>'Assumptions'!$B$20</f>
        <v/>
      </c>
      <c r="H86" s="58">
        <f>D86/(G86*F86)</f>
        <v/>
      </c>
      <c r="I86" s="27">
        <f>IF(D86=0,"no arrivals",IF(H86&lt;0.85,"stable",IF(H86&lt;1,"near capacity","over capacity")))</f>
        <v/>
      </c>
      <c r="J86" s="49">
        <f>IF(AND(D86&gt;0,H86&lt;1),((D86/F86)^G86/FACT(G86)/(1-H86))/(SUMPRODUCT(--({0,1,2,3,4,5,6,7,8,9}&lt;G86),(D86/F86)^{0,1,2,3,4,5,6,7,8,9}/FACT({0,1,2,3,4,5,6,7,8,9}))+((D86/F86)^G86/FACT(G86)/(1-H86)))/(G86*F86-D86),"—")</f>
        <v/>
      </c>
      <c r="K86" s="49">
        <f>IF(ISNUMBER(J86),(1+'Assumptions'!$B$22^2)/2*J86,"—")</f>
        <v/>
      </c>
      <c r="L86" s="59">
        <f>'Sim Data'!$F$297</f>
        <v/>
      </c>
      <c r="M86" s="54">
        <f>'Sim Data'!$H$297</f>
        <v/>
      </c>
      <c r="N86" s="56">
        <f>D86*L86</f>
        <v/>
      </c>
      <c r="O86" s="49">
        <f>IF(MAX(M86,N86)&lt;0.5,"both ≈ 0",IF(N86=0,"no new arrivals",M86/N86))</f>
        <v/>
      </c>
      <c r="P86" s="48">
        <f>Q85</f>
        <v/>
      </c>
      <c r="Q86" s="48">
        <f>MAX(0,P86+D86*'Assumptions'!$B$47-G86*F86*('Assumptions'!$B$47-'Sim Data'!$L$297))</f>
        <v/>
      </c>
      <c r="R86" s="49">
        <f>(P86+Q86)/2/(G86*F86)</f>
        <v/>
      </c>
      <c r="S86" s="49">
        <f>IF(D86&gt;0,R86+(1+'Assumptions'!$B$22^2)/2*((MIN(D86,0.95*G86*F86)/F86)^G86/FACT(G86)/(1-MIN(D86,0.95*G86*F86)/(G86*F86)))/(SUMPRODUCT(--({0,1,2,3,4,5,6,7,8,9}&lt;G86),(MIN(D86,0.95*G86*F86)/F86)^{0,1,2,3,4,5,6,7,8,9}/FACT({0,1,2,3,4,5,6,7,8,9}))+((MIN(D86,0.95*G86*F86)/F86)^G86/FACT(G86)/(1-MIN(D86,0.95*G86*F86)/(G86*F86))))/(G86*F86-MIN(D86,0.95*G86*F86)),0)</f>
        <v/>
      </c>
      <c r="T86" s="59">
        <f>'Sim Data'!$J$297</f>
        <v/>
      </c>
      <c r="U86" s="14">
        <f>IF(D86=0,IF(P86&gt;0,"No new arrivals: the line left from earlier drains",""),IF(H86&gt;=1,"Over capacity: the line grows by about "&amp;TEXT((D86-G86*F86)*10,"0")&amp;" in 10 min (to "&amp;TEXT(Q86,"0")&amp;")",IF(P86&gt;=1,"Under capacity, but "&amp;TEXT(P86,"0")&amp;" were already in line: it drains to "&amp;TEXT(Q86,"0"),IF(ISNUMBER(O86),IF(ABS(O86-1)&lt;=0.2,"Steady: Little's Law holds",IF(O86&gt;1,"Draining a line left from earlier","Line still building")),"Hardly any line"))))</f>
        <v/>
      </c>
    </row>
    <row r="87" ht="21.95" customHeight="1">
      <c r="A87" s="14" t="inlineStr">
        <is>
          <t>With Smart Scan screens</t>
        </is>
      </c>
      <c r="B87" s="14" t="inlineStr">
        <is>
          <t>Munch Mess</t>
        </is>
      </c>
      <c r="C87" s="27" t="inlineStr">
        <is>
          <t>12:20</t>
        </is>
      </c>
      <c r="D87" s="54">
        <f>'Sim Data'!$E$298</f>
        <v/>
      </c>
      <c r="E87" s="55">
        <f>'Sim Data'!$G$298</f>
        <v/>
      </c>
      <c r="F87" s="56">
        <f>IF(E87&gt;0,1/E87,'Assumptions'!$B$21)</f>
        <v/>
      </c>
      <c r="G87" s="57">
        <f>'Assumptions'!$B$20</f>
        <v/>
      </c>
      <c r="H87" s="58">
        <f>D87/(G87*F87)</f>
        <v/>
      </c>
      <c r="I87" s="27">
        <f>IF(D87=0,"no arrivals",IF(H87&lt;0.85,"stable",IF(H87&lt;1,"near capacity","over capacity")))</f>
        <v/>
      </c>
      <c r="J87" s="49">
        <f>IF(AND(D87&gt;0,H87&lt;1),((D87/F87)^G87/FACT(G87)/(1-H87))/(SUMPRODUCT(--({0,1,2,3,4,5,6,7,8,9}&lt;G87),(D87/F87)^{0,1,2,3,4,5,6,7,8,9}/FACT({0,1,2,3,4,5,6,7,8,9}))+((D87/F87)^G87/FACT(G87)/(1-H87)))/(G87*F87-D87),"—")</f>
        <v/>
      </c>
      <c r="K87" s="49">
        <f>IF(ISNUMBER(J87),(1+'Assumptions'!$B$22^2)/2*J87,"—")</f>
        <v/>
      </c>
      <c r="L87" s="59">
        <f>'Sim Data'!$F$298</f>
        <v/>
      </c>
      <c r="M87" s="54">
        <f>'Sim Data'!$H$298</f>
        <v/>
      </c>
      <c r="N87" s="56">
        <f>D87*L87</f>
        <v/>
      </c>
      <c r="O87" s="49">
        <f>IF(MAX(M87,N87)&lt;0.5,"both ≈ 0",IF(N87=0,"no new arrivals",M87/N87))</f>
        <v/>
      </c>
      <c r="P87" s="48">
        <f>Q86</f>
        <v/>
      </c>
      <c r="Q87" s="48">
        <f>MAX(0,P87+D87*'Assumptions'!$B$47-G87*F87*('Assumptions'!$B$47-'Sim Data'!$L$298))</f>
        <v/>
      </c>
      <c r="R87" s="49">
        <f>(P87+Q87)/2/(G87*F87)</f>
        <v/>
      </c>
      <c r="S87" s="49">
        <f>IF(D87&gt;0,R87+(1+'Assumptions'!$B$22^2)/2*((MIN(D87,0.95*G87*F87)/F87)^G87/FACT(G87)/(1-MIN(D87,0.95*G87*F87)/(G87*F87)))/(SUMPRODUCT(--({0,1,2,3,4,5,6,7,8,9}&lt;G87),(MIN(D87,0.95*G87*F87)/F87)^{0,1,2,3,4,5,6,7,8,9}/FACT({0,1,2,3,4,5,6,7,8,9}))+((MIN(D87,0.95*G87*F87)/F87)^G87/FACT(G87)/(1-MIN(D87,0.95*G87*F87)/(G87*F87))))/(G87*F87-MIN(D87,0.95*G87*F87)),0)</f>
        <v/>
      </c>
      <c r="T87" s="59">
        <f>'Sim Data'!$J$298</f>
        <v/>
      </c>
      <c r="U87" s="14">
        <f>IF(D87=0,IF(P87&gt;0,"No new arrivals: the line left from earlier drains",""),IF(H87&gt;=1,"Over capacity: the line grows by about "&amp;TEXT((D87-G87*F87)*10,"0")&amp;" in 10 min (to "&amp;TEXT(Q87,"0")&amp;")",IF(P87&gt;=1,"Under capacity, but "&amp;TEXT(P87,"0")&amp;" were already in line: it drains to "&amp;TEXT(Q87,"0"),IF(ISNUMBER(O87),IF(ABS(O87-1)&lt;=0.2,"Steady: Little's Law holds",IF(O87&gt;1,"Draining a line left from earlier","Line still building")),"Hardly any line"))))</f>
        <v/>
      </c>
    </row>
    <row r="88" ht="21.95" customHeight="1">
      <c r="A88" s="14" t="inlineStr">
        <is>
          <t>With Smart Scan screens</t>
        </is>
      </c>
      <c r="B88" s="14" t="inlineStr">
        <is>
          <t>Munch Mess</t>
        </is>
      </c>
      <c r="C88" s="27" t="inlineStr">
        <is>
          <t>12:30</t>
        </is>
      </c>
      <c r="D88" s="54">
        <f>'Sim Data'!$E$299</f>
        <v/>
      </c>
      <c r="E88" s="55">
        <f>'Sim Data'!$G$299</f>
        <v/>
      </c>
      <c r="F88" s="56">
        <f>IF(E88&gt;0,1/E88,'Assumptions'!$B$21)</f>
        <v/>
      </c>
      <c r="G88" s="57">
        <f>'Assumptions'!$B$20</f>
        <v/>
      </c>
      <c r="H88" s="58">
        <f>D88/(G88*F88)</f>
        <v/>
      </c>
      <c r="I88" s="27">
        <f>IF(D88=0,"no arrivals",IF(H88&lt;0.85,"stable",IF(H88&lt;1,"near capacity","over capacity")))</f>
        <v/>
      </c>
      <c r="J88" s="49">
        <f>IF(AND(D88&gt;0,H88&lt;1),((D88/F88)^G88/FACT(G88)/(1-H88))/(SUMPRODUCT(--({0,1,2,3,4,5,6,7,8,9}&lt;G88),(D88/F88)^{0,1,2,3,4,5,6,7,8,9}/FACT({0,1,2,3,4,5,6,7,8,9}))+((D88/F88)^G88/FACT(G88)/(1-H88)))/(G88*F88-D88),"—")</f>
        <v/>
      </c>
      <c r="K88" s="49">
        <f>IF(ISNUMBER(J88),(1+'Assumptions'!$B$22^2)/2*J88,"—")</f>
        <v/>
      </c>
      <c r="L88" s="59">
        <f>'Sim Data'!$F$299</f>
        <v/>
      </c>
      <c r="M88" s="54">
        <f>'Sim Data'!$H$299</f>
        <v/>
      </c>
      <c r="N88" s="56">
        <f>D88*L88</f>
        <v/>
      </c>
      <c r="O88" s="49">
        <f>IF(MAX(M88,N88)&lt;0.5,"both ≈ 0",IF(N88=0,"no new arrivals",M88/N88))</f>
        <v/>
      </c>
      <c r="P88" s="48">
        <f>Q87</f>
        <v/>
      </c>
      <c r="Q88" s="48">
        <f>MAX(0,P88+D88*'Assumptions'!$B$47-G88*F88*('Assumptions'!$B$47-'Sim Data'!$L$299))</f>
        <v/>
      </c>
      <c r="R88" s="49">
        <f>(P88+Q88)/2/(G88*F88)</f>
        <v/>
      </c>
      <c r="S88" s="49">
        <f>IF(D88&gt;0,R88+(1+'Assumptions'!$B$22^2)/2*((MIN(D88,0.95*G88*F88)/F88)^G88/FACT(G88)/(1-MIN(D88,0.95*G88*F88)/(G88*F88)))/(SUMPRODUCT(--({0,1,2,3,4,5,6,7,8,9}&lt;G88),(MIN(D88,0.95*G88*F88)/F88)^{0,1,2,3,4,5,6,7,8,9}/FACT({0,1,2,3,4,5,6,7,8,9}))+((MIN(D88,0.95*G88*F88)/F88)^G88/FACT(G88)/(1-MIN(D88,0.95*G88*F88)/(G88*F88))))/(G88*F88-MIN(D88,0.95*G88*F88)),0)</f>
        <v/>
      </c>
      <c r="T88" s="59">
        <f>'Sim Data'!$J$299</f>
        <v/>
      </c>
      <c r="U88" s="14">
        <f>IF(D88=0,IF(P88&gt;0,"No new arrivals: the line left from earlier drains",""),IF(H88&gt;=1,"Over capacity: the line grows by about "&amp;TEXT((D88-G88*F88)*10,"0")&amp;" in 10 min (to "&amp;TEXT(Q88,"0")&amp;")",IF(P88&gt;=1,"Under capacity, but "&amp;TEXT(P88,"0")&amp;" were already in line: it drains to "&amp;TEXT(Q88,"0"),IF(ISNUMBER(O88),IF(ABS(O88-1)&lt;=0.2,"Steady: Little's Law holds",IF(O88&gt;1,"Draining a line left from earlier","Line still building")),"Hardly any line"))))</f>
        <v/>
      </c>
    </row>
    <row r="89" ht="21.95" customHeight="1">
      <c r="A89" s="14" t="inlineStr">
        <is>
          <t>With Smart Scan screens</t>
        </is>
      </c>
      <c r="B89" s="14" t="inlineStr">
        <is>
          <t>Munch Mess</t>
        </is>
      </c>
      <c r="C89" s="27" t="inlineStr">
        <is>
          <t>12:40</t>
        </is>
      </c>
      <c r="D89" s="54">
        <f>'Sim Data'!$E$300</f>
        <v/>
      </c>
      <c r="E89" s="55">
        <f>'Sim Data'!$G$300</f>
        <v/>
      </c>
      <c r="F89" s="56">
        <f>IF(E89&gt;0,1/E89,'Assumptions'!$B$21)</f>
        <v/>
      </c>
      <c r="G89" s="57">
        <f>'Assumptions'!$B$20</f>
        <v/>
      </c>
      <c r="H89" s="58">
        <f>D89/(G89*F89)</f>
        <v/>
      </c>
      <c r="I89" s="27">
        <f>IF(D89=0,"no arrivals",IF(H89&lt;0.85,"stable",IF(H89&lt;1,"near capacity","over capacity")))</f>
        <v/>
      </c>
      <c r="J89" s="49">
        <f>IF(AND(D89&gt;0,H89&lt;1),((D89/F89)^G89/FACT(G89)/(1-H89))/(SUMPRODUCT(--({0,1,2,3,4,5,6,7,8,9}&lt;G89),(D89/F89)^{0,1,2,3,4,5,6,7,8,9}/FACT({0,1,2,3,4,5,6,7,8,9}))+((D89/F89)^G89/FACT(G89)/(1-H89)))/(G89*F89-D89),"—")</f>
        <v/>
      </c>
      <c r="K89" s="49">
        <f>IF(ISNUMBER(J89),(1+'Assumptions'!$B$22^2)/2*J89,"—")</f>
        <v/>
      </c>
      <c r="L89" s="59">
        <f>'Sim Data'!$F$300</f>
        <v/>
      </c>
      <c r="M89" s="54">
        <f>'Sim Data'!$H$300</f>
        <v/>
      </c>
      <c r="N89" s="56">
        <f>D89*L89</f>
        <v/>
      </c>
      <c r="O89" s="49">
        <f>IF(MAX(M89,N89)&lt;0.5,"both ≈ 0",IF(N89=0,"no new arrivals",M89/N89))</f>
        <v/>
      </c>
      <c r="P89" s="48">
        <f>Q88</f>
        <v/>
      </c>
      <c r="Q89" s="48">
        <f>MAX(0,P89+D89*'Assumptions'!$B$47-G89*F89*('Assumptions'!$B$47-'Sim Data'!$L$300))</f>
        <v/>
      </c>
      <c r="R89" s="49">
        <f>(P89+Q89)/2/(G89*F89)</f>
        <v/>
      </c>
      <c r="S89" s="49">
        <f>IF(D89&gt;0,R89+(1+'Assumptions'!$B$22^2)/2*((MIN(D89,0.95*G89*F89)/F89)^G89/FACT(G89)/(1-MIN(D89,0.95*G89*F89)/(G89*F89)))/(SUMPRODUCT(--({0,1,2,3,4,5,6,7,8,9}&lt;G89),(MIN(D89,0.95*G89*F89)/F89)^{0,1,2,3,4,5,6,7,8,9}/FACT({0,1,2,3,4,5,6,7,8,9}))+((MIN(D89,0.95*G89*F89)/F89)^G89/FACT(G89)/(1-MIN(D89,0.95*G89*F89)/(G89*F89))))/(G89*F89-MIN(D89,0.95*G89*F89)),0)</f>
        <v/>
      </c>
      <c r="T89" s="59">
        <f>'Sim Data'!$J$300</f>
        <v/>
      </c>
      <c r="U89" s="14">
        <f>IF(D89=0,IF(P89&gt;0,"No new arrivals: the line left from earlier drains",""),IF(H89&gt;=1,"Over capacity: the line grows by about "&amp;TEXT((D89-G89*F89)*10,"0")&amp;" in 10 min (to "&amp;TEXT(Q89,"0")&amp;")",IF(P89&gt;=1,"Under capacity, but "&amp;TEXT(P89,"0")&amp;" were already in line: it drains to "&amp;TEXT(Q89,"0"),IF(ISNUMBER(O89),IF(ABS(O89-1)&lt;=0.2,"Steady: Little's Law holds",IF(O89&gt;1,"Draining a line left from earlier","Line still building")),"Hardly any line"))))</f>
        <v/>
      </c>
    </row>
    <row r="90" ht="21.95" customHeight="1">
      <c r="A90" s="14" t="inlineStr">
        <is>
          <t>With Smart Scan screens</t>
        </is>
      </c>
      <c r="B90" s="14" t="inlineStr">
        <is>
          <t>Munch Mess</t>
        </is>
      </c>
      <c r="C90" s="27" t="inlineStr">
        <is>
          <t>12:50</t>
        </is>
      </c>
      <c r="D90" s="54">
        <f>'Sim Data'!$E$301</f>
        <v/>
      </c>
      <c r="E90" s="55">
        <f>'Sim Data'!$G$301</f>
        <v/>
      </c>
      <c r="F90" s="56">
        <f>IF(E90&gt;0,1/E90,'Assumptions'!$B$21)</f>
        <v/>
      </c>
      <c r="G90" s="57">
        <f>'Assumptions'!$B$20</f>
        <v/>
      </c>
      <c r="H90" s="58">
        <f>D90/(G90*F90)</f>
        <v/>
      </c>
      <c r="I90" s="27">
        <f>IF(D90=0,"no arrivals",IF(H90&lt;0.85,"stable",IF(H90&lt;1,"near capacity","over capacity")))</f>
        <v/>
      </c>
      <c r="J90" s="49">
        <f>IF(AND(D90&gt;0,H90&lt;1),((D90/F90)^G90/FACT(G90)/(1-H90))/(SUMPRODUCT(--({0,1,2,3,4,5,6,7,8,9}&lt;G90),(D90/F90)^{0,1,2,3,4,5,6,7,8,9}/FACT({0,1,2,3,4,5,6,7,8,9}))+((D90/F90)^G90/FACT(G90)/(1-H90)))/(G90*F90-D90),"—")</f>
        <v/>
      </c>
      <c r="K90" s="49">
        <f>IF(ISNUMBER(J90),(1+'Assumptions'!$B$22^2)/2*J90,"—")</f>
        <v/>
      </c>
      <c r="L90" s="59">
        <f>'Sim Data'!$F$301</f>
        <v/>
      </c>
      <c r="M90" s="54">
        <f>'Sim Data'!$H$301</f>
        <v/>
      </c>
      <c r="N90" s="56">
        <f>D90*L90</f>
        <v/>
      </c>
      <c r="O90" s="49">
        <f>IF(MAX(M90,N90)&lt;0.5,"both ≈ 0",IF(N90=0,"no new arrivals",M90/N90))</f>
        <v/>
      </c>
      <c r="P90" s="48">
        <f>Q89</f>
        <v/>
      </c>
      <c r="Q90" s="48">
        <f>MAX(0,P90+D90*'Assumptions'!$B$47-G90*F90*('Assumptions'!$B$47-'Sim Data'!$L$301))</f>
        <v/>
      </c>
      <c r="R90" s="49">
        <f>(P90+Q90)/2/(G90*F90)</f>
        <v/>
      </c>
      <c r="S90" s="49">
        <f>IF(D90&gt;0,R90+(1+'Assumptions'!$B$22^2)/2*((MIN(D90,0.95*G90*F90)/F90)^G90/FACT(G90)/(1-MIN(D90,0.95*G90*F90)/(G90*F90)))/(SUMPRODUCT(--({0,1,2,3,4,5,6,7,8,9}&lt;G90),(MIN(D90,0.95*G90*F90)/F90)^{0,1,2,3,4,5,6,7,8,9}/FACT({0,1,2,3,4,5,6,7,8,9}))+((MIN(D90,0.95*G90*F90)/F90)^G90/FACT(G90)/(1-MIN(D90,0.95*G90*F90)/(G90*F90))))/(G90*F90-MIN(D90,0.95*G90*F90)),0)</f>
        <v/>
      </c>
      <c r="T90" s="59">
        <f>'Sim Data'!$J$301</f>
        <v/>
      </c>
      <c r="U90" s="14">
        <f>IF(D90=0,IF(P90&gt;0,"No new arrivals: the line left from earlier drains",""),IF(H90&gt;=1,"Over capacity: the line grows by about "&amp;TEXT((D90-G90*F90)*10,"0")&amp;" in 10 min (to "&amp;TEXT(Q90,"0")&amp;")",IF(P90&gt;=1,"Under capacity, but "&amp;TEXT(P90,"0")&amp;" were already in line: it drains to "&amp;TEXT(Q90,"0"),IF(ISNUMBER(O90),IF(ABS(O90-1)&lt;=0.2,"Steady: Little's Law holds",IF(O90&gt;1,"Draining a line left from earlier","Line still building")),"Hardly any line"))))</f>
        <v/>
      </c>
    </row>
    <row r="91" ht="21.95" customHeight="1">
      <c r="A91" s="14" t="inlineStr">
        <is>
          <t>With Smart Scan screens</t>
        </is>
      </c>
      <c r="B91" s="14" t="inlineStr">
        <is>
          <t>Munch Mess</t>
        </is>
      </c>
      <c r="C91" s="27" t="inlineStr">
        <is>
          <t>13:00</t>
        </is>
      </c>
      <c r="D91" s="54">
        <f>'Sim Data'!$E$302</f>
        <v/>
      </c>
      <c r="E91" s="55">
        <f>'Sim Data'!$G$302</f>
        <v/>
      </c>
      <c r="F91" s="56">
        <f>IF(E91&gt;0,1/E91,'Assumptions'!$B$21)</f>
        <v/>
      </c>
      <c r="G91" s="57">
        <f>'Assumptions'!$B$20</f>
        <v/>
      </c>
      <c r="H91" s="58">
        <f>D91/(G91*F91)</f>
        <v/>
      </c>
      <c r="I91" s="27">
        <f>IF(D91=0,"no arrivals",IF(H91&lt;0.85,"stable",IF(H91&lt;1,"near capacity","over capacity")))</f>
        <v/>
      </c>
      <c r="J91" s="49">
        <f>IF(AND(D91&gt;0,H91&lt;1),((D91/F91)^G91/FACT(G91)/(1-H91))/(SUMPRODUCT(--({0,1,2,3,4,5,6,7,8,9}&lt;G91),(D91/F91)^{0,1,2,3,4,5,6,7,8,9}/FACT({0,1,2,3,4,5,6,7,8,9}))+((D91/F91)^G91/FACT(G91)/(1-H91)))/(G91*F91-D91),"—")</f>
        <v/>
      </c>
      <c r="K91" s="49">
        <f>IF(ISNUMBER(J91),(1+'Assumptions'!$B$22^2)/2*J91,"—")</f>
        <v/>
      </c>
      <c r="L91" s="59">
        <f>'Sim Data'!$F$302</f>
        <v/>
      </c>
      <c r="M91" s="54">
        <f>'Sim Data'!$H$302</f>
        <v/>
      </c>
      <c r="N91" s="56">
        <f>D91*L91</f>
        <v/>
      </c>
      <c r="O91" s="49">
        <f>IF(MAX(M91,N91)&lt;0.5,"both ≈ 0",IF(N91=0,"no new arrivals",M91/N91))</f>
        <v/>
      </c>
      <c r="P91" s="48">
        <f>Q90</f>
        <v/>
      </c>
      <c r="Q91" s="48">
        <f>MAX(0,P91+D91*'Assumptions'!$B$47-G91*F91*('Assumptions'!$B$47-'Sim Data'!$L$302))</f>
        <v/>
      </c>
      <c r="R91" s="49">
        <f>(P91+Q91)/2/(G91*F91)</f>
        <v/>
      </c>
      <c r="S91" s="49">
        <f>IF(D91&gt;0,R91+(1+'Assumptions'!$B$22^2)/2*((MIN(D91,0.95*G91*F91)/F91)^G91/FACT(G91)/(1-MIN(D91,0.95*G91*F91)/(G91*F91)))/(SUMPRODUCT(--({0,1,2,3,4,5,6,7,8,9}&lt;G91),(MIN(D91,0.95*G91*F91)/F91)^{0,1,2,3,4,5,6,7,8,9}/FACT({0,1,2,3,4,5,6,7,8,9}))+((MIN(D91,0.95*G91*F91)/F91)^G91/FACT(G91)/(1-MIN(D91,0.95*G91*F91)/(G91*F91))))/(G91*F91-MIN(D91,0.95*G91*F91)),0)</f>
        <v/>
      </c>
      <c r="T91" s="59">
        <f>'Sim Data'!$J$302</f>
        <v/>
      </c>
      <c r="U91" s="14">
        <f>IF(D91=0,IF(P91&gt;0,"No new arrivals: the line left from earlier drains",""),IF(H91&gt;=1,"Over capacity: the line grows by about "&amp;TEXT((D91-G91*F91)*10,"0")&amp;" in 10 min (to "&amp;TEXT(Q91,"0")&amp;")",IF(P91&gt;=1,"Under capacity, but "&amp;TEXT(P91,"0")&amp;" were already in line: it drains to "&amp;TEXT(Q91,"0"),IF(ISNUMBER(O91),IF(ABS(O91-1)&lt;=0.2,"Steady: Little's Law holds",IF(O91&gt;1,"Draining a line left from earlier","Line still building")),"Hardly any line"))))</f>
        <v/>
      </c>
    </row>
    <row r="92" ht="21.95" customHeight="1">
      <c r="A92" s="14" t="inlineStr">
        <is>
          <t>With Smart Scan screens</t>
        </is>
      </c>
      <c r="B92" s="14" t="inlineStr">
        <is>
          <t>Munch Mess</t>
        </is>
      </c>
      <c r="C92" s="27" t="inlineStr">
        <is>
          <t>13:10</t>
        </is>
      </c>
      <c r="D92" s="54">
        <f>'Sim Data'!$E$303</f>
        <v/>
      </c>
      <c r="E92" s="55">
        <f>'Sim Data'!$G$303</f>
        <v/>
      </c>
      <c r="F92" s="56">
        <f>IF(E92&gt;0,1/E92,'Assumptions'!$B$21)</f>
        <v/>
      </c>
      <c r="G92" s="57">
        <f>'Assumptions'!$B$20</f>
        <v/>
      </c>
      <c r="H92" s="58">
        <f>D92/(G92*F92)</f>
        <v/>
      </c>
      <c r="I92" s="27">
        <f>IF(D92=0,"no arrivals",IF(H92&lt;0.85,"stable",IF(H92&lt;1,"near capacity","over capacity")))</f>
        <v/>
      </c>
      <c r="J92" s="49">
        <f>IF(AND(D92&gt;0,H92&lt;1),((D92/F92)^G92/FACT(G92)/(1-H92))/(SUMPRODUCT(--({0,1,2,3,4,5,6,7,8,9}&lt;G92),(D92/F92)^{0,1,2,3,4,5,6,7,8,9}/FACT({0,1,2,3,4,5,6,7,8,9}))+((D92/F92)^G92/FACT(G92)/(1-H92)))/(G92*F92-D92),"—")</f>
        <v/>
      </c>
      <c r="K92" s="49">
        <f>IF(ISNUMBER(J92),(1+'Assumptions'!$B$22^2)/2*J92,"—")</f>
        <v/>
      </c>
      <c r="L92" s="59">
        <f>'Sim Data'!$F$303</f>
        <v/>
      </c>
      <c r="M92" s="54">
        <f>'Sim Data'!$H$303</f>
        <v/>
      </c>
      <c r="N92" s="56">
        <f>D92*L92</f>
        <v/>
      </c>
      <c r="O92" s="49">
        <f>IF(MAX(M92,N92)&lt;0.5,"both ≈ 0",IF(N92=0,"no new arrivals",M92/N92))</f>
        <v/>
      </c>
      <c r="P92" s="48">
        <f>Q91</f>
        <v/>
      </c>
      <c r="Q92" s="48">
        <f>MAX(0,P92+D92*'Assumptions'!$B$47-G92*F92*('Assumptions'!$B$47-'Sim Data'!$L$303))</f>
        <v/>
      </c>
      <c r="R92" s="49">
        <f>(P92+Q92)/2/(G92*F92)</f>
        <v/>
      </c>
      <c r="S92" s="49">
        <f>IF(D92&gt;0,R92+(1+'Assumptions'!$B$22^2)/2*((MIN(D92,0.95*G92*F92)/F92)^G92/FACT(G92)/(1-MIN(D92,0.95*G92*F92)/(G92*F92)))/(SUMPRODUCT(--({0,1,2,3,4,5,6,7,8,9}&lt;G92),(MIN(D92,0.95*G92*F92)/F92)^{0,1,2,3,4,5,6,7,8,9}/FACT({0,1,2,3,4,5,6,7,8,9}))+((MIN(D92,0.95*G92*F92)/F92)^G92/FACT(G92)/(1-MIN(D92,0.95*G92*F92)/(G92*F92))))/(G92*F92-MIN(D92,0.95*G92*F92)),0)</f>
        <v/>
      </c>
      <c r="T92" s="59">
        <f>'Sim Data'!$J$303</f>
        <v/>
      </c>
      <c r="U92" s="14">
        <f>IF(D92=0,IF(P92&gt;0,"No new arrivals: the line left from earlier drains",""),IF(H92&gt;=1,"Over capacity: the line grows by about "&amp;TEXT((D92-G92*F92)*10,"0")&amp;" in 10 min (to "&amp;TEXT(Q92,"0")&amp;")",IF(P92&gt;=1,"Under capacity, but "&amp;TEXT(P92,"0")&amp;" were already in line: it drains to "&amp;TEXT(Q92,"0"),IF(ISNUMBER(O92),IF(ABS(O92-1)&lt;=0.2,"Steady: Little's Law holds",IF(O92&gt;1,"Draining a line left from earlier","Line still building")),"Hardly any line"))))</f>
        <v/>
      </c>
    </row>
    <row r="93" ht="21.95" customHeight="1">
      <c r="A93" s="14" t="inlineStr">
        <is>
          <t>With Smart Scan screens</t>
        </is>
      </c>
      <c r="B93" s="14" t="inlineStr">
        <is>
          <t>Munch Mess</t>
        </is>
      </c>
      <c r="C93" s="27" t="inlineStr">
        <is>
          <t>13:20</t>
        </is>
      </c>
      <c r="D93" s="54">
        <f>'Sim Data'!$E$304</f>
        <v/>
      </c>
      <c r="E93" s="55">
        <f>'Sim Data'!$G$304</f>
        <v/>
      </c>
      <c r="F93" s="56">
        <f>IF(E93&gt;0,1/E93,'Assumptions'!$B$21)</f>
        <v/>
      </c>
      <c r="G93" s="57">
        <f>'Assumptions'!$B$20</f>
        <v/>
      </c>
      <c r="H93" s="58">
        <f>D93/(G93*F93)</f>
        <v/>
      </c>
      <c r="I93" s="27">
        <f>IF(D93=0,"no arrivals",IF(H93&lt;0.85,"stable",IF(H93&lt;1,"near capacity","over capacity")))</f>
        <v/>
      </c>
      <c r="J93" s="49">
        <f>IF(AND(D93&gt;0,H93&lt;1),((D93/F93)^G93/FACT(G93)/(1-H93))/(SUMPRODUCT(--({0,1,2,3,4,5,6,7,8,9}&lt;G93),(D93/F93)^{0,1,2,3,4,5,6,7,8,9}/FACT({0,1,2,3,4,5,6,7,8,9}))+((D93/F93)^G93/FACT(G93)/(1-H93)))/(G93*F93-D93),"—")</f>
        <v/>
      </c>
      <c r="K93" s="49">
        <f>IF(ISNUMBER(J93),(1+'Assumptions'!$B$22^2)/2*J93,"—")</f>
        <v/>
      </c>
      <c r="L93" s="59">
        <f>'Sim Data'!$F$304</f>
        <v/>
      </c>
      <c r="M93" s="54">
        <f>'Sim Data'!$H$304</f>
        <v/>
      </c>
      <c r="N93" s="56">
        <f>D93*L93</f>
        <v/>
      </c>
      <c r="O93" s="49">
        <f>IF(MAX(M93,N93)&lt;0.5,"both ≈ 0",IF(N93=0,"no new arrivals",M93/N93))</f>
        <v/>
      </c>
      <c r="P93" s="48">
        <f>Q92</f>
        <v/>
      </c>
      <c r="Q93" s="48">
        <f>MAX(0,P93+D93*'Assumptions'!$B$47-G93*F93*('Assumptions'!$B$47-'Sim Data'!$L$304))</f>
        <v/>
      </c>
      <c r="R93" s="49">
        <f>(P93+Q93)/2/(G93*F93)</f>
        <v/>
      </c>
      <c r="S93" s="49">
        <f>IF(D93&gt;0,R93+(1+'Assumptions'!$B$22^2)/2*((MIN(D93,0.95*G93*F93)/F93)^G93/FACT(G93)/(1-MIN(D93,0.95*G93*F93)/(G93*F93)))/(SUMPRODUCT(--({0,1,2,3,4,5,6,7,8,9}&lt;G93),(MIN(D93,0.95*G93*F93)/F93)^{0,1,2,3,4,5,6,7,8,9}/FACT({0,1,2,3,4,5,6,7,8,9}))+((MIN(D93,0.95*G93*F93)/F93)^G93/FACT(G93)/(1-MIN(D93,0.95*G93*F93)/(G93*F93))))/(G93*F93-MIN(D93,0.95*G93*F93)),0)</f>
        <v/>
      </c>
      <c r="T93" s="59">
        <f>'Sim Data'!$J$304</f>
        <v/>
      </c>
      <c r="U93" s="14">
        <f>IF(D93=0,IF(P93&gt;0,"No new arrivals: the line left from earlier drains",""),IF(H93&gt;=1,"Over capacity: the line grows by about "&amp;TEXT((D93-G93*F93)*10,"0")&amp;" in 10 min (to "&amp;TEXT(Q93,"0")&amp;")",IF(P93&gt;=1,"Under capacity, but "&amp;TEXT(P93,"0")&amp;" were already in line: it drains to "&amp;TEXT(Q93,"0"),IF(ISNUMBER(O93),IF(ABS(O93-1)&lt;=0.2,"Steady: Little's Law holds",IF(O93&gt;1,"Draining a line left from earlier","Line still building")),"Hardly any line"))))</f>
        <v/>
      </c>
    </row>
    <row r="94" ht="21.95" customHeight="1">
      <c r="A94" s="14" t="inlineStr">
        <is>
          <t>With Smart Scan screens</t>
        </is>
      </c>
      <c r="B94" s="14" t="inlineStr">
        <is>
          <t>Munch Mess</t>
        </is>
      </c>
      <c r="C94" s="27" t="inlineStr">
        <is>
          <t>13:30</t>
        </is>
      </c>
      <c r="D94" s="54">
        <f>'Sim Data'!$E$305</f>
        <v/>
      </c>
      <c r="E94" s="55">
        <f>'Sim Data'!$G$305</f>
        <v/>
      </c>
      <c r="F94" s="56">
        <f>IF(E94&gt;0,1/E94,'Assumptions'!$B$21)</f>
        <v/>
      </c>
      <c r="G94" s="57">
        <f>'Assumptions'!$B$20</f>
        <v/>
      </c>
      <c r="H94" s="58">
        <f>D94/(G94*F94)</f>
        <v/>
      </c>
      <c r="I94" s="27">
        <f>IF(D94=0,"no arrivals",IF(H94&lt;0.85,"stable",IF(H94&lt;1,"near capacity","over capacity")))</f>
        <v/>
      </c>
      <c r="J94" s="49">
        <f>IF(AND(D94&gt;0,H94&lt;1),((D94/F94)^G94/FACT(G94)/(1-H94))/(SUMPRODUCT(--({0,1,2,3,4,5,6,7,8,9}&lt;G94),(D94/F94)^{0,1,2,3,4,5,6,7,8,9}/FACT({0,1,2,3,4,5,6,7,8,9}))+((D94/F94)^G94/FACT(G94)/(1-H94)))/(G94*F94-D94),"—")</f>
        <v/>
      </c>
      <c r="K94" s="49">
        <f>IF(ISNUMBER(J94),(1+'Assumptions'!$B$22^2)/2*J94,"—")</f>
        <v/>
      </c>
      <c r="L94" s="59">
        <f>'Sim Data'!$F$305</f>
        <v/>
      </c>
      <c r="M94" s="54">
        <f>'Sim Data'!$H$305</f>
        <v/>
      </c>
      <c r="N94" s="56">
        <f>D94*L94</f>
        <v/>
      </c>
      <c r="O94" s="49">
        <f>IF(MAX(M94,N94)&lt;0.5,"both ≈ 0",IF(N94=0,"no new arrivals",M94/N94))</f>
        <v/>
      </c>
      <c r="P94" s="48">
        <f>Q93</f>
        <v/>
      </c>
      <c r="Q94" s="48">
        <f>MAX(0,P94+D94*'Assumptions'!$B$47-G94*F94*('Assumptions'!$B$47-'Sim Data'!$L$305))</f>
        <v/>
      </c>
      <c r="R94" s="49">
        <f>(P94+Q94)/2/(G94*F94)</f>
        <v/>
      </c>
      <c r="S94" s="49">
        <f>IF(D94&gt;0,R94+(1+'Assumptions'!$B$22^2)/2*((MIN(D94,0.95*G94*F94)/F94)^G94/FACT(G94)/(1-MIN(D94,0.95*G94*F94)/(G94*F94)))/(SUMPRODUCT(--({0,1,2,3,4,5,6,7,8,9}&lt;G94),(MIN(D94,0.95*G94*F94)/F94)^{0,1,2,3,4,5,6,7,8,9}/FACT({0,1,2,3,4,5,6,7,8,9}))+((MIN(D94,0.95*G94*F94)/F94)^G94/FACT(G94)/(1-MIN(D94,0.95*G94*F94)/(G94*F94))))/(G94*F94-MIN(D94,0.95*G94*F94)),0)</f>
        <v/>
      </c>
      <c r="T94" s="59">
        <f>'Sim Data'!$J$305</f>
        <v/>
      </c>
      <c r="U94" s="14">
        <f>IF(D94=0,IF(P94&gt;0,"No new arrivals: the line left from earlier drains",""),IF(H94&gt;=1,"Over capacity: the line grows by about "&amp;TEXT((D94-G94*F94)*10,"0")&amp;" in 10 min (to "&amp;TEXT(Q94,"0")&amp;")",IF(P94&gt;=1,"Under capacity, but "&amp;TEXT(P94,"0")&amp;" were already in line: it drains to "&amp;TEXT(Q94,"0"),IF(ISNUMBER(O94),IF(ABS(O94-1)&lt;=0.2,"Steady: Little's Law holds",IF(O94&gt;1,"Draining a line left from earlier","Line still building")),"Hardly any line"))))</f>
        <v/>
      </c>
    </row>
    <row r="95" ht="21.95" customHeight="1">
      <c r="A95" s="14" t="inlineStr">
        <is>
          <t>With Smart Scan screens</t>
        </is>
      </c>
      <c r="B95" s="14" t="inlineStr">
        <is>
          <t>Munch Mess</t>
        </is>
      </c>
      <c r="C95" s="27" t="inlineStr">
        <is>
          <t>13:40</t>
        </is>
      </c>
      <c r="D95" s="54">
        <f>'Sim Data'!$E$306</f>
        <v/>
      </c>
      <c r="E95" s="55">
        <f>'Sim Data'!$G$306</f>
        <v/>
      </c>
      <c r="F95" s="56">
        <f>IF(E95&gt;0,1/E95,'Assumptions'!$B$21)</f>
        <v/>
      </c>
      <c r="G95" s="57">
        <f>'Assumptions'!$B$20</f>
        <v/>
      </c>
      <c r="H95" s="58">
        <f>D95/(G95*F95)</f>
        <v/>
      </c>
      <c r="I95" s="27">
        <f>IF(D95=0,"no arrivals",IF(H95&lt;0.85,"stable",IF(H95&lt;1,"near capacity","over capacity")))</f>
        <v/>
      </c>
      <c r="J95" s="49">
        <f>IF(AND(D95&gt;0,H95&lt;1),((D95/F95)^G95/FACT(G95)/(1-H95))/(SUMPRODUCT(--({0,1,2,3,4,5,6,7,8,9}&lt;G95),(D95/F95)^{0,1,2,3,4,5,6,7,8,9}/FACT({0,1,2,3,4,5,6,7,8,9}))+((D95/F95)^G95/FACT(G95)/(1-H95)))/(G95*F95-D95),"—")</f>
        <v/>
      </c>
      <c r="K95" s="49">
        <f>IF(ISNUMBER(J95),(1+'Assumptions'!$B$22^2)/2*J95,"—")</f>
        <v/>
      </c>
      <c r="L95" s="59">
        <f>'Sim Data'!$F$306</f>
        <v/>
      </c>
      <c r="M95" s="54">
        <f>'Sim Data'!$H$306</f>
        <v/>
      </c>
      <c r="N95" s="56">
        <f>D95*L95</f>
        <v/>
      </c>
      <c r="O95" s="49">
        <f>IF(MAX(M95,N95)&lt;0.5,"both ≈ 0",IF(N95=0,"no new arrivals",M95/N95))</f>
        <v/>
      </c>
      <c r="P95" s="48">
        <f>Q94</f>
        <v/>
      </c>
      <c r="Q95" s="48">
        <f>MAX(0,P95+D95*'Assumptions'!$B$47-G95*F95*('Assumptions'!$B$47-'Sim Data'!$L$306))</f>
        <v/>
      </c>
      <c r="R95" s="49">
        <f>(P95+Q95)/2/(G95*F95)</f>
        <v/>
      </c>
      <c r="S95" s="49">
        <f>IF(D95&gt;0,R95+(1+'Assumptions'!$B$22^2)/2*((MIN(D95,0.95*G95*F95)/F95)^G95/FACT(G95)/(1-MIN(D95,0.95*G95*F95)/(G95*F95)))/(SUMPRODUCT(--({0,1,2,3,4,5,6,7,8,9}&lt;G95),(MIN(D95,0.95*G95*F95)/F95)^{0,1,2,3,4,5,6,7,8,9}/FACT({0,1,2,3,4,5,6,7,8,9}))+((MIN(D95,0.95*G95*F95)/F95)^G95/FACT(G95)/(1-MIN(D95,0.95*G95*F95)/(G95*F95))))/(G95*F95-MIN(D95,0.95*G95*F95)),0)</f>
        <v/>
      </c>
      <c r="T95" s="59">
        <f>'Sim Data'!$J$306</f>
        <v/>
      </c>
      <c r="U95" s="14">
        <f>IF(D95=0,IF(P95&gt;0,"No new arrivals: the line left from earlier drains",""),IF(H95&gt;=1,"Over capacity: the line grows by about "&amp;TEXT((D95-G95*F95)*10,"0")&amp;" in 10 min (to "&amp;TEXT(Q95,"0")&amp;")",IF(P95&gt;=1,"Under capacity, but "&amp;TEXT(P95,"0")&amp;" were already in line: it drains to "&amp;TEXT(Q95,"0"),IF(ISNUMBER(O95),IF(ABS(O95-1)&lt;=0.2,"Steady: Little's Law holds",IF(O95&gt;1,"Draining a line left from earlier","Line still building")),"Hardly any line"))))</f>
        <v/>
      </c>
    </row>
    <row r="96" ht="21.95" customHeight="1">
      <c r="A96" s="14" t="inlineStr">
        <is>
          <t>With Smart Scan screens</t>
        </is>
      </c>
      <c r="B96" s="14" t="inlineStr">
        <is>
          <t>Munch Mess</t>
        </is>
      </c>
      <c r="C96" s="27" t="inlineStr">
        <is>
          <t>13:50</t>
        </is>
      </c>
      <c r="D96" s="54">
        <f>'Sim Data'!$E$307</f>
        <v/>
      </c>
      <c r="E96" s="55">
        <f>'Sim Data'!$G$307</f>
        <v/>
      </c>
      <c r="F96" s="56">
        <f>IF(E96&gt;0,1/E96,'Assumptions'!$B$21)</f>
        <v/>
      </c>
      <c r="G96" s="57">
        <f>'Assumptions'!$B$20</f>
        <v/>
      </c>
      <c r="H96" s="58">
        <f>D96/(G96*F96)</f>
        <v/>
      </c>
      <c r="I96" s="27">
        <f>IF(D96=0,"no arrivals",IF(H96&lt;0.85,"stable",IF(H96&lt;1,"near capacity","over capacity")))</f>
        <v/>
      </c>
      <c r="J96" s="49">
        <f>IF(AND(D96&gt;0,H96&lt;1),((D96/F96)^G96/FACT(G96)/(1-H96))/(SUMPRODUCT(--({0,1,2,3,4,5,6,7,8,9}&lt;G96),(D96/F96)^{0,1,2,3,4,5,6,7,8,9}/FACT({0,1,2,3,4,5,6,7,8,9}))+((D96/F96)^G96/FACT(G96)/(1-H96)))/(G96*F96-D96),"—")</f>
        <v/>
      </c>
      <c r="K96" s="49">
        <f>IF(ISNUMBER(J96),(1+'Assumptions'!$B$22^2)/2*J96,"—")</f>
        <v/>
      </c>
      <c r="L96" s="59">
        <f>'Sim Data'!$F$307</f>
        <v/>
      </c>
      <c r="M96" s="54">
        <f>'Sim Data'!$H$307</f>
        <v/>
      </c>
      <c r="N96" s="56">
        <f>D96*L96</f>
        <v/>
      </c>
      <c r="O96" s="49">
        <f>IF(MAX(M96,N96)&lt;0.5,"both ≈ 0",IF(N96=0,"no new arrivals",M96/N96))</f>
        <v/>
      </c>
      <c r="P96" s="48">
        <f>Q95</f>
        <v/>
      </c>
      <c r="Q96" s="48">
        <f>MAX(0,P96+D96*'Assumptions'!$B$47-G96*F96*('Assumptions'!$B$47-'Sim Data'!$L$307))</f>
        <v/>
      </c>
      <c r="R96" s="49">
        <f>(P96+Q96)/2/(G96*F96)</f>
        <v/>
      </c>
      <c r="S96" s="49">
        <f>IF(D96&gt;0,R96+(1+'Assumptions'!$B$22^2)/2*((MIN(D96,0.95*G96*F96)/F96)^G96/FACT(G96)/(1-MIN(D96,0.95*G96*F96)/(G96*F96)))/(SUMPRODUCT(--({0,1,2,3,4,5,6,7,8,9}&lt;G96),(MIN(D96,0.95*G96*F96)/F96)^{0,1,2,3,4,5,6,7,8,9}/FACT({0,1,2,3,4,5,6,7,8,9}))+((MIN(D96,0.95*G96*F96)/F96)^G96/FACT(G96)/(1-MIN(D96,0.95*G96*F96)/(G96*F96))))/(G96*F96-MIN(D96,0.95*G96*F96)),0)</f>
        <v/>
      </c>
      <c r="T96" s="59">
        <f>'Sim Data'!$J$307</f>
        <v/>
      </c>
      <c r="U96" s="14">
        <f>IF(D96=0,IF(P96&gt;0,"No new arrivals: the line left from earlier drains",""),IF(H96&gt;=1,"Over capacity: the line grows by about "&amp;TEXT((D96-G96*F96)*10,"0")&amp;" in 10 min (to "&amp;TEXT(Q96,"0")&amp;")",IF(P96&gt;=1,"Under capacity, but "&amp;TEXT(P96,"0")&amp;" were already in line: it drains to "&amp;TEXT(Q96,"0"),IF(ISNUMBER(O96),IF(ABS(O96-1)&lt;=0.2,"Steady: Little's Law holds",IF(O96&gt;1,"Draining a line left from earlier","Line still building")),"Hardly any line"))))</f>
        <v/>
      </c>
    </row>
    <row r="97" ht="21.95" customHeight="1">
      <c r="A97" s="14" t="inlineStr">
        <is>
          <t>With Smart Scan screens</t>
        </is>
      </c>
      <c r="B97" s="14" t="inlineStr">
        <is>
          <t>Munch Mess</t>
        </is>
      </c>
      <c r="C97" s="27" t="inlineStr">
        <is>
          <t>14:00</t>
        </is>
      </c>
      <c r="D97" s="54">
        <f>'Sim Data'!$E$308</f>
        <v/>
      </c>
      <c r="E97" s="55">
        <f>'Sim Data'!$G$308</f>
        <v/>
      </c>
      <c r="F97" s="56">
        <f>IF(E97&gt;0,1/E97,'Assumptions'!$B$21)</f>
        <v/>
      </c>
      <c r="G97" s="57">
        <f>'Assumptions'!$B$20</f>
        <v/>
      </c>
      <c r="H97" s="58">
        <f>D97/(G97*F97)</f>
        <v/>
      </c>
      <c r="I97" s="27">
        <f>IF(D97=0,"no arrivals",IF(H97&lt;0.85,"stable",IF(H97&lt;1,"near capacity","over capacity")))</f>
        <v/>
      </c>
      <c r="J97" s="49">
        <f>IF(AND(D97&gt;0,H97&lt;1),((D97/F97)^G97/FACT(G97)/(1-H97))/(SUMPRODUCT(--({0,1,2,3,4,5,6,7,8,9}&lt;G97),(D97/F97)^{0,1,2,3,4,5,6,7,8,9}/FACT({0,1,2,3,4,5,6,7,8,9}))+((D97/F97)^G97/FACT(G97)/(1-H97)))/(G97*F97-D97),"—")</f>
        <v/>
      </c>
      <c r="K97" s="49">
        <f>IF(ISNUMBER(J97),(1+'Assumptions'!$B$22^2)/2*J97,"—")</f>
        <v/>
      </c>
      <c r="L97" s="59">
        <f>'Sim Data'!$F$308</f>
        <v/>
      </c>
      <c r="M97" s="54">
        <f>'Sim Data'!$H$308</f>
        <v/>
      </c>
      <c r="N97" s="56">
        <f>D97*L97</f>
        <v/>
      </c>
      <c r="O97" s="49">
        <f>IF(MAX(M97,N97)&lt;0.5,"both ≈ 0",IF(N97=0,"no new arrivals",M97/N97))</f>
        <v/>
      </c>
      <c r="P97" s="48">
        <f>Q96</f>
        <v/>
      </c>
      <c r="Q97" s="48">
        <f>MAX(0,P97+D97*'Assumptions'!$B$47-G97*F97*('Assumptions'!$B$47-'Sim Data'!$L$308))</f>
        <v/>
      </c>
      <c r="R97" s="49">
        <f>(P97+Q97)/2/(G97*F97)</f>
        <v/>
      </c>
      <c r="S97" s="49">
        <f>IF(D97&gt;0,R97+(1+'Assumptions'!$B$22^2)/2*((MIN(D97,0.95*G97*F97)/F97)^G97/FACT(G97)/(1-MIN(D97,0.95*G97*F97)/(G97*F97)))/(SUMPRODUCT(--({0,1,2,3,4,5,6,7,8,9}&lt;G97),(MIN(D97,0.95*G97*F97)/F97)^{0,1,2,3,4,5,6,7,8,9}/FACT({0,1,2,3,4,5,6,7,8,9}))+((MIN(D97,0.95*G97*F97)/F97)^G97/FACT(G97)/(1-MIN(D97,0.95*G97*F97)/(G97*F97))))/(G97*F97-MIN(D97,0.95*G97*F97)),0)</f>
        <v/>
      </c>
      <c r="T97" s="59">
        <f>'Sim Data'!$J$308</f>
        <v/>
      </c>
      <c r="U97" s="14">
        <f>IF(D97=0,IF(P97&gt;0,"No new arrivals: the line left from earlier drains",""),IF(H97&gt;=1,"Over capacity: the line grows by about "&amp;TEXT((D97-G97*F97)*10,"0")&amp;" in 10 min (to "&amp;TEXT(Q97,"0")&amp;")",IF(P97&gt;=1,"Under capacity, but "&amp;TEXT(P97,"0")&amp;" were already in line: it drains to "&amp;TEXT(Q97,"0"),IF(ISNUMBER(O97),IF(ABS(O97-1)&lt;=0.2,"Steady: Little's Law holds",IF(O97&gt;1,"Draining a line left from earlier","Line still building")),"Hardly any line"))))</f>
        <v/>
      </c>
    </row>
    <row r="98" ht="21.95" customHeight="1">
      <c r="A98" s="14" t="inlineStr">
        <is>
          <t>With Smart Scan screens</t>
        </is>
      </c>
      <c r="B98" s="14" t="inlineStr">
        <is>
          <t>Munch Mess</t>
        </is>
      </c>
      <c r="C98" s="27" t="inlineStr">
        <is>
          <t>14:10</t>
        </is>
      </c>
      <c r="D98" s="54">
        <f>'Sim Data'!$E$309</f>
        <v/>
      </c>
      <c r="E98" s="55">
        <f>'Sim Data'!$G$309</f>
        <v/>
      </c>
      <c r="F98" s="56">
        <f>IF(E98&gt;0,1/E98,'Assumptions'!$B$21)</f>
        <v/>
      </c>
      <c r="G98" s="57">
        <f>'Assumptions'!$B$20</f>
        <v/>
      </c>
      <c r="H98" s="58">
        <f>D98/(G98*F98)</f>
        <v/>
      </c>
      <c r="I98" s="27">
        <f>IF(D98=0,"no arrivals",IF(H98&lt;0.85,"stable",IF(H98&lt;1,"near capacity","over capacity")))</f>
        <v/>
      </c>
      <c r="J98" s="49">
        <f>IF(AND(D98&gt;0,H98&lt;1),((D98/F98)^G98/FACT(G98)/(1-H98))/(SUMPRODUCT(--({0,1,2,3,4,5,6,7,8,9}&lt;G98),(D98/F98)^{0,1,2,3,4,5,6,7,8,9}/FACT({0,1,2,3,4,5,6,7,8,9}))+((D98/F98)^G98/FACT(G98)/(1-H98)))/(G98*F98-D98),"—")</f>
        <v/>
      </c>
      <c r="K98" s="49">
        <f>IF(ISNUMBER(J98),(1+'Assumptions'!$B$22^2)/2*J98,"—")</f>
        <v/>
      </c>
      <c r="L98" s="59">
        <f>'Sim Data'!$F$309</f>
        <v/>
      </c>
      <c r="M98" s="54">
        <f>'Sim Data'!$H$309</f>
        <v/>
      </c>
      <c r="N98" s="56">
        <f>D98*L98</f>
        <v/>
      </c>
      <c r="O98" s="49">
        <f>IF(MAX(M98,N98)&lt;0.5,"both ≈ 0",IF(N98=0,"no new arrivals",M98/N98))</f>
        <v/>
      </c>
      <c r="P98" s="48">
        <f>Q97</f>
        <v/>
      </c>
      <c r="Q98" s="48">
        <f>MAX(0,P98+D98*'Assumptions'!$B$47-G98*F98*('Assumptions'!$B$47-'Sim Data'!$L$309))</f>
        <v/>
      </c>
      <c r="R98" s="49">
        <f>(P98+Q98)/2/(G98*F98)</f>
        <v/>
      </c>
      <c r="S98" s="49">
        <f>IF(D98&gt;0,R98+(1+'Assumptions'!$B$22^2)/2*((MIN(D98,0.95*G98*F98)/F98)^G98/FACT(G98)/(1-MIN(D98,0.95*G98*F98)/(G98*F98)))/(SUMPRODUCT(--({0,1,2,3,4,5,6,7,8,9}&lt;G98),(MIN(D98,0.95*G98*F98)/F98)^{0,1,2,3,4,5,6,7,8,9}/FACT({0,1,2,3,4,5,6,7,8,9}))+((MIN(D98,0.95*G98*F98)/F98)^G98/FACT(G98)/(1-MIN(D98,0.95*G98*F98)/(G98*F98))))/(G98*F98-MIN(D98,0.95*G98*F98)),0)</f>
        <v/>
      </c>
      <c r="T98" s="59">
        <f>'Sim Data'!$J$309</f>
        <v/>
      </c>
      <c r="U98" s="14">
        <f>IF(D98=0,IF(P98&gt;0,"No new arrivals: the line left from earlier drains",""),IF(H98&gt;=1,"Over capacity: the line grows by about "&amp;TEXT((D98-G98*F98)*10,"0")&amp;" in 10 min (to "&amp;TEXT(Q98,"0")&amp;")",IF(P98&gt;=1,"Under capacity, but "&amp;TEXT(P98,"0")&amp;" were already in line: it drains to "&amp;TEXT(Q98,"0"),IF(ISNUMBER(O98),IF(ABS(O98-1)&lt;=0.2,"Steady: Little's Law holds",IF(O98&gt;1,"Draining a line left from earlier","Line still building")),"Hardly any line"))))</f>
        <v/>
      </c>
    </row>
    <row r="99" ht="21.95" customHeight="1">
      <c r="A99" s="14" t="inlineStr">
        <is>
          <t>With Smart Scan screens</t>
        </is>
      </c>
      <c r="B99" s="14" t="inlineStr">
        <is>
          <t>Munch Mess</t>
        </is>
      </c>
      <c r="C99" s="27" t="inlineStr">
        <is>
          <t>14:20</t>
        </is>
      </c>
      <c r="D99" s="54">
        <f>'Sim Data'!$E$310</f>
        <v/>
      </c>
      <c r="E99" s="55">
        <f>'Sim Data'!$G$310</f>
        <v/>
      </c>
      <c r="F99" s="56">
        <f>IF(E99&gt;0,1/E99,'Assumptions'!$B$21)</f>
        <v/>
      </c>
      <c r="G99" s="57">
        <f>'Assumptions'!$B$20</f>
        <v/>
      </c>
      <c r="H99" s="58">
        <f>D99/(G99*F99)</f>
        <v/>
      </c>
      <c r="I99" s="27">
        <f>IF(D99=0,"no arrivals",IF(H99&lt;0.85,"stable",IF(H99&lt;1,"near capacity","over capacity")))</f>
        <v/>
      </c>
      <c r="J99" s="49">
        <f>IF(AND(D99&gt;0,H99&lt;1),((D99/F99)^G99/FACT(G99)/(1-H99))/(SUMPRODUCT(--({0,1,2,3,4,5,6,7,8,9}&lt;G99),(D99/F99)^{0,1,2,3,4,5,6,7,8,9}/FACT({0,1,2,3,4,5,6,7,8,9}))+((D99/F99)^G99/FACT(G99)/(1-H99)))/(G99*F99-D99),"—")</f>
        <v/>
      </c>
      <c r="K99" s="49">
        <f>IF(ISNUMBER(J99),(1+'Assumptions'!$B$22^2)/2*J99,"—")</f>
        <v/>
      </c>
      <c r="L99" s="59">
        <f>'Sim Data'!$F$310</f>
        <v/>
      </c>
      <c r="M99" s="54">
        <f>'Sim Data'!$H$310</f>
        <v/>
      </c>
      <c r="N99" s="56">
        <f>D99*L99</f>
        <v/>
      </c>
      <c r="O99" s="49">
        <f>IF(MAX(M99,N99)&lt;0.5,"both ≈ 0",IF(N99=0,"no new arrivals",M99/N99))</f>
        <v/>
      </c>
      <c r="P99" s="48">
        <f>Q98</f>
        <v/>
      </c>
      <c r="Q99" s="48">
        <f>MAX(0,P99+D99*'Assumptions'!$B$47-G99*F99*('Assumptions'!$B$47-'Sim Data'!$L$310))</f>
        <v/>
      </c>
      <c r="R99" s="49">
        <f>(P99+Q99)/2/(G99*F99)</f>
        <v/>
      </c>
      <c r="S99" s="49">
        <f>IF(D99&gt;0,R99+(1+'Assumptions'!$B$22^2)/2*((MIN(D99,0.95*G99*F99)/F99)^G99/FACT(G99)/(1-MIN(D99,0.95*G99*F99)/(G99*F99)))/(SUMPRODUCT(--({0,1,2,3,4,5,6,7,8,9}&lt;G99),(MIN(D99,0.95*G99*F99)/F99)^{0,1,2,3,4,5,6,7,8,9}/FACT({0,1,2,3,4,5,6,7,8,9}))+((MIN(D99,0.95*G99*F99)/F99)^G99/FACT(G99)/(1-MIN(D99,0.95*G99*F99)/(G99*F99))))/(G99*F99-MIN(D99,0.95*G99*F99)),0)</f>
        <v/>
      </c>
      <c r="T99" s="59">
        <f>'Sim Data'!$J$310</f>
        <v/>
      </c>
      <c r="U99" s="14">
        <f>IF(D99=0,IF(P99&gt;0,"No new arrivals: the line left from earlier drains",""),IF(H99&gt;=1,"Over capacity: the line grows by about "&amp;TEXT((D99-G99*F99)*10,"0")&amp;" in 10 min (to "&amp;TEXT(Q99,"0")&amp;")",IF(P99&gt;=1,"Under capacity, but "&amp;TEXT(P99,"0")&amp;" were already in line: it drains to "&amp;TEXT(Q99,"0"),IF(ISNUMBER(O99),IF(ABS(O99-1)&lt;=0.2,"Steady: Little's Law holds",IF(O99&gt;1,"Draining a line left from earlier","Line still building")),"Hardly any line"))))</f>
        <v/>
      </c>
    </row>
    <row r="100"/>
    <row r="101"/>
    <row r="102" ht="24.85" customHeight="1">
      <c r="A102" s="4" t="inlineStr">
        <is>
          <t>Utilisation by slot (chart data)</t>
        </is>
      </c>
    </row>
    <row r="103" ht="53.85" customHeight="1">
      <c r="A103" s="7" t="inlineStr">
        <is>
          <t>Slot</t>
        </is>
      </c>
      <c r="B103" s="7" t="inlineStr">
        <is>
          <t>Central CT, today</t>
        </is>
      </c>
      <c r="C103" s="7" t="inlineStr">
        <is>
          <t>Munch Mess, today</t>
        </is>
      </c>
      <c r="D103" s="7" t="inlineStr">
        <is>
          <t>Central CT, with screens</t>
        </is>
      </c>
      <c r="E103" s="7" t="inlineStr">
        <is>
          <t>Munch Mess, with screens</t>
        </is>
      </c>
      <c r="F103" s="7" t="inlineStr">
        <is>
          <t>Capacity (ρ = 100%)</t>
        </is>
      </c>
    </row>
    <row r="104" ht="21.95" customHeight="1">
      <c r="A104" s="14" t="inlineStr">
        <is>
          <t>11:30</t>
        </is>
      </c>
      <c r="B104" s="60">
        <f>H28</f>
        <v/>
      </c>
      <c r="C104" s="60">
        <f>H46</f>
        <v/>
      </c>
      <c r="D104" s="60">
        <f>H64</f>
        <v/>
      </c>
      <c r="E104" s="60">
        <f>H82</f>
        <v/>
      </c>
      <c r="F104" s="60" t="n">
        <v>1</v>
      </c>
    </row>
    <row r="105" ht="21.95" customHeight="1">
      <c r="A105" s="14" t="inlineStr">
        <is>
          <t>11:40</t>
        </is>
      </c>
      <c r="B105" s="60">
        <f>H29</f>
        <v/>
      </c>
      <c r="C105" s="60">
        <f>H47</f>
        <v/>
      </c>
      <c r="D105" s="60">
        <f>H65</f>
        <v/>
      </c>
      <c r="E105" s="60">
        <f>H83</f>
        <v/>
      </c>
      <c r="F105" s="60" t="n">
        <v>1</v>
      </c>
    </row>
    <row r="106" ht="21.95" customHeight="1">
      <c r="A106" s="14" t="inlineStr">
        <is>
          <t>11:50</t>
        </is>
      </c>
      <c r="B106" s="60">
        <f>H30</f>
        <v/>
      </c>
      <c r="C106" s="60">
        <f>H48</f>
        <v/>
      </c>
      <c r="D106" s="60">
        <f>H66</f>
        <v/>
      </c>
      <c r="E106" s="60">
        <f>H84</f>
        <v/>
      </c>
      <c r="F106" s="60" t="n">
        <v>1</v>
      </c>
    </row>
    <row r="107" ht="21.95" customHeight="1">
      <c r="A107" s="14" t="inlineStr">
        <is>
          <t>12:00</t>
        </is>
      </c>
      <c r="B107" s="60">
        <f>H31</f>
        <v/>
      </c>
      <c r="C107" s="60">
        <f>H49</f>
        <v/>
      </c>
      <c r="D107" s="60">
        <f>H67</f>
        <v/>
      </c>
      <c r="E107" s="60">
        <f>H85</f>
        <v/>
      </c>
      <c r="F107" s="60" t="n">
        <v>1</v>
      </c>
    </row>
    <row r="108" ht="21.95" customHeight="1">
      <c r="A108" s="14" t="inlineStr">
        <is>
          <t>12:10</t>
        </is>
      </c>
      <c r="B108" s="60">
        <f>H32</f>
        <v/>
      </c>
      <c r="C108" s="60">
        <f>H50</f>
        <v/>
      </c>
      <c r="D108" s="60">
        <f>H68</f>
        <v/>
      </c>
      <c r="E108" s="60">
        <f>H86</f>
        <v/>
      </c>
      <c r="F108" s="60" t="n">
        <v>1</v>
      </c>
    </row>
    <row r="109" ht="21.95" customHeight="1">
      <c r="A109" s="14" t="inlineStr">
        <is>
          <t>12:20</t>
        </is>
      </c>
      <c r="B109" s="60">
        <f>H33</f>
        <v/>
      </c>
      <c r="C109" s="60">
        <f>H51</f>
        <v/>
      </c>
      <c r="D109" s="60">
        <f>H69</f>
        <v/>
      </c>
      <c r="E109" s="60">
        <f>H87</f>
        <v/>
      </c>
      <c r="F109" s="60" t="n">
        <v>1</v>
      </c>
    </row>
    <row r="110" ht="21.95" customHeight="1">
      <c r="A110" s="14" t="inlineStr">
        <is>
          <t>12:30</t>
        </is>
      </c>
      <c r="B110" s="60">
        <f>H34</f>
        <v/>
      </c>
      <c r="C110" s="60">
        <f>H52</f>
        <v/>
      </c>
      <c r="D110" s="60">
        <f>H70</f>
        <v/>
      </c>
      <c r="E110" s="60">
        <f>H88</f>
        <v/>
      </c>
      <c r="F110" s="60" t="n">
        <v>1</v>
      </c>
    </row>
    <row r="111" ht="21.95" customHeight="1">
      <c r="A111" s="14" t="inlineStr">
        <is>
          <t>12:40</t>
        </is>
      </c>
      <c r="B111" s="60">
        <f>H35</f>
        <v/>
      </c>
      <c r="C111" s="60">
        <f>H53</f>
        <v/>
      </c>
      <c r="D111" s="60">
        <f>H71</f>
        <v/>
      </c>
      <c r="E111" s="60">
        <f>H89</f>
        <v/>
      </c>
      <c r="F111" s="60" t="n">
        <v>1</v>
      </c>
    </row>
    <row r="112" ht="21.95" customHeight="1">
      <c r="A112" s="14" t="inlineStr">
        <is>
          <t>12:50</t>
        </is>
      </c>
      <c r="B112" s="60">
        <f>H36</f>
        <v/>
      </c>
      <c r="C112" s="60">
        <f>H54</f>
        <v/>
      </c>
      <c r="D112" s="60">
        <f>H72</f>
        <v/>
      </c>
      <c r="E112" s="60">
        <f>H90</f>
        <v/>
      </c>
      <c r="F112" s="60" t="n">
        <v>1</v>
      </c>
    </row>
    <row r="113" ht="21.95" customHeight="1">
      <c r="A113" s="14" t="inlineStr">
        <is>
          <t>13:00</t>
        </is>
      </c>
      <c r="B113" s="60">
        <f>H37</f>
        <v/>
      </c>
      <c r="C113" s="60">
        <f>H55</f>
        <v/>
      </c>
      <c r="D113" s="60">
        <f>H73</f>
        <v/>
      </c>
      <c r="E113" s="60">
        <f>H91</f>
        <v/>
      </c>
      <c r="F113" s="60" t="n">
        <v>1</v>
      </c>
    </row>
    <row r="114" ht="21.95" customHeight="1">
      <c r="A114" s="14" t="inlineStr">
        <is>
          <t>13:10</t>
        </is>
      </c>
      <c r="B114" s="60">
        <f>H38</f>
        <v/>
      </c>
      <c r="C114" s="60">
        <f>H56</f>
        <v/>
      </c>
      <c r="D114" s="60">
        <f>H74</f>
        <v/>
      </c>
      <c r="E114" s="60">
        <f>H92</f>
        <v/>
      </c>
      <c r="F114" s="60" t="n">
        <v>1</v>
      </c>
    </row>
    <row r="115" ht="21.95" customHeight="1">
      <c r="A115" s="14" t="inlineStr">
        <is>
          <t>13:20</t>
        </is>
      </c>
      <c r="B115" s="60">
        <f>H39</f>
        <v/>
      </c>
      <c r="C115" s="60">
        <f>H57</f>
        <v/>
      </c>
      <c r="D115" s="60">
        <f>H75</f>
        <v/>
      </c>
      <c r="E115" s="60">
        <f>H93</f>
        <v/>
      </c>
      <c r="F115" s="60" t="n">
        <v>1</v>
      </c>
    </row>
    <row r="116" ht="21.95" customHeight="1">
      <c r="A116" s="14" t="inlineStr">
        <is>
          <t>13:30</t>
        </is>
      </c>
      <c r="B116" s="60">
        <f>H40</f>
        <v/>
      </c>
      <c r="C116" s="60">
        <f>H58</f>
        <v/>
      </c>
      <c r="D116" s="60">
        <f>H76</f>
        <v/>
      </c>
      <c r="E116" s="60">
        <f>H94</f>
        <v/>
      </c>
      <c r="F116" s="60" t="n">
        <v>1</v>
      </c>
    </row>
    <row r="117" ht="21.95" customHeight="1">
      <c r="A117" s="14" t="inlineStr">
        <is>
          <t>13:40</t>
        </is>
      </c>
      <c r="B117" s="60">
        <f>H41</f>
        <v/>
      </c>
      <c r="C117" s="60">
        <f>H59</f>
        <v/>
      </c>
      <c r="D117" s="60">
        <f>H77</f>
        <v/>
      </c>
      <c r="E117" s="60">
        <f>H95</f>
        <v/>
      </c>
      <c r="F117" s="60" t="n">
        <v>1</v>
      </c>
    </row>
    <row r="118" ht="21.95" customHeight="1">
      <c r="A118" s="14" t="inlineStr">
        <is>
          <t>13:50</t>
        </is>
      </c>
      <c r="B118" s="60">
        <f>H42</f>
        <v/>
      </c>
      <c r="C118" s="60">
        <f>H60</f>
        <v/>
      </c>
      <c r="D118" s="60">
        <f>H78</f>
        <v/>
      </c>
      <c r="E118" s="60">
        <f>H96</f>
        <v/>
      </c>
      <c r="F118" s="60" t="n">
        <v>1</v>
      </c>
    </row>
    <row r="119" ht="21.95" customHeight="1">
      <c r="A119" s="14" t="inlineStr">
        <is>
          <t>14:00</t>
        </is>
      </c>
      <c r="B119" s="60">
        <f>H43</f>
        <v/>
      </c>
      <c r="C119" s="60">
        <f>H61</f>
        <v/>
      </c>
      <c r="D119" s="60">
        <f>H79</f>
        <v/>
      </c>
      <c r="E119" s="60">
        <f>H97</f>
        <v/>
      </c>
      <c r="F119" s="60" t="n">
        <v>1</v>
      </c>
    </row>
    <row r="120" ht="21.95" customHeight="1">
      <c r="A120" s="14" t="inlineStr">
        <is>
          <t>14:10</t>
        </is>
      </c>
      <c r="B120" s="60">
        <f>H44</f>
        <v/>
      </c>
      <c r="C120" s="60">
        <f>H62</f>
        <v/>
      </c>
      <c r="D120" s="60">
        <f>H80</f>
        <v/>
      </c>
      <c r="E120" s="60">
        <f>H98</f>
        <v/>
      </c>
      <c r="F120" s="60" t="n">
        <v>1</v>
      </c>
    </row>
    <row r="121" ht="21.95" customHeight="1">
      <c r="A121" s="14" t="inlineStr">
        <is>
          <t>14:20</t>
        </is>
      </c>
      <c r="B121" s="60">
        <f>H45</f>
        <v/>
      </c>
      <c r="C121" s="60">
        <f>H63</f>
        <v/>
      </c>
      <c r="D121" s="60">
        <f>H81</f>
        <v/>
      </c>
      <c r="E121" s="60">
        <f>H99</f>
        <v/>
      </c>
      <c r="F121" s="60" t="n">
        <v>1</v>
      </c>
    </row>
  </sheetData>
  <autoFilter ref="A27:U99"/>
  <mergeCells count="1">
    <mergeCell ref="A12:G18"/>
  </mergeCells>
  <conditionalFormatting sqref="H28:I99">
    <cfRule type="expression" priority="1" dxfId="0">
      <formula>$H28&gt;=1</formula>
    </cfRule>
    <cfRule type="expression" priority="2" dxfId="1">
      <formula>AND($H28&gt;=0.85,$H28&lt;1)</formula>
    </cfRule>
  </conditionalFormatting>
  <printOptions horizontalCentered="1"/>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2F5597"/>
    <outlinePr summaryBelow="1" summaryRight="1"/>
    <pageSetUpPr fitToPage="1"/>
  </sheetPr>
  <dimension ref="A1:L92"/>
  <sheetViews>
    <sheetView showGridLines="0" tabSelected="0" zoomScale="100" workbookViewId="0">
      <pane xSplit="3" ySplit="20" topLeftCell="D21"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2" customWidth="1" min="4" max="4"/>
    <col width="12" customWidth="1" min="5" max="5"/>
    <col width="9" customWidth="1" min="6" max="6"/>
    <col width="11" customWidth="1" min="7" max="7"/>
    <col width="22" customWidth="1" min="8" max="8"/>
    <col width="13" customWidth="1" min="9" max="9"/>
    <col width="13" customWidth="1" min="10" max="10"/>
    <col width="13" customWidth="1" min="11" max="11"/>
    <col width="18" customWidth="1" min="12" max="12"/>
  </cols>
  <sheetData>
    <row r="1" ht="36" customHeight="1">
      <c r="A1" s="1" t="inlineStr">
        <is>
          <t>Seats and disposal</t>
        </is>
      </c>
      <c r="B1" s="2" t="n"/>
      <c r="C1" s="2" t="n"/>
      <c r="D1" s="2" t="n"/>
      <c r="E1" s="2" t="n"/>
      <c r="F1" s="2" t="n"/>
      <c r="G1" s="2" t="n"/>
      <c r="H1" s="2" t="n"/>
      <c r="I1" s="2" t="n"/>
      <c r="J1" s="2" t="n"/>
      <c r="K1" s="2" t="n"/>
      <c r="L1" s="2" t="n"/>
    </row>
    <row r="2" ht="22" customHeight="1">
      <c r="A2" s="3" t="inlineStr">
        <is>
          <t>Each seat is a server and one meal is its service (M/G/c with c = seats); disposal never queues (M/G/∞).</t>
        </is>
      </c>
    </row>
    <row r="3" ht="8" customHeight="1"/>
    <row r="4" ht="24.85" customHeight="1">
      <c r="A4" s="4" t="inlineStr">
        <is>
          <t>Summary</t>
        </is>
      </c>
    </row>
    <row r="5" ht="53.85" customHeight="1">
      <c r="A5" s="7" t="inlineStr">
        <is>
          <t>Scenario</t>
        </is>
      </c>
      <c r="B5" s="7" t="inlineStr">
        <is>
          <t>Mess</t>
        </is>
      </c>
      <c r="C5" s="7" t="inlineStr">
        <is>
          <t>Peak seat ρ</t>
        </is>
      </c>
      <c r="D5" s="7" t="inlineStr">
        <is>
          <t>Peak seats in use</t>
        </is>
      </c>
      <c r="E5" s="7" t="inlineStr">
        <is>
          <t>Seats</t>
        </is>
      </c>
      <c r="F5" s="7" t="inlineStr">
        <is>
          <t>Average eating time (min)</t>
        </is>
      </c>
    </row>
    <row r="6" ht="21.95" customHeight="1">
      <c r="A6" s="14" t="inlineStr">
        <is>
          <t>Today (no screens)</t>
        </is>
      </c>
      <c r="B6" s="14" t="inlineStr">
        <is>
          <t>Central CT</t>
        </is>
      </c>
      <c r="C6" s="46">
        <f>_xlfn.MAXIFS($G$21:$G$92,$A$21:$A$92,"Today (no screens)",$B$21:$B$92,"Central CT")</f>
        <v/>
      </c>
      <c r="D6" s="61">
        <f>'Sim Data'!$D$368</f>
        <v/>
      </c>
      <c r="E6" s="61">
        <f>'Assumptions'!$B$26</f>
        <v/>
      </c>
      <c r="F6" s="54">
        <f>SUMPRODUCT('Sim Data'!$E$41:$E$58,'Sim Data'!$G$41:$G$58)/SUM('Sim Data'!$E$41:$E$58)</f>
        <v/>
      </c>
    </row>
    <row r="7" ht="21.95" customHeight="1">
      <c r="A7" s="14" t="inlineStr">
        <is>
          <t>Today (no screens)</t>
        </is>
      </c>
      <c r="B7" s="14" t="inlineStr">
        <is>
          <t>Munch Mess</t>
        </is>
      </c>
      <c r="C7" s="46">
        <f>_xlfn.MAXIFS($G$21:$G$92,$A$21:$A$92,"Today (no screens)",$B$21:$B$92,"Munch Mess")</f>
        <v/>
      </c>
      <c r="D7" s="61">
        <f>'Sim Data'!$D$369</f>
        <v/>
      </c>
      <c r="E7" s="61">
        <f>'Assumptions'!$B$27</f>
        <v/>
      </c>
      <c r="F7" s="54">
        <f>SUMPRODUCT('Sim Data'!$E$131:$E$148,'Sim Data'!$G$131:$G$148)/SUM('Sim Data'!$E$131:$E$148)</f>
        <v/>
      </c>
    </row>
    <row r="8" ht="21.95" customHeight="1">
      <c r="A8" s="14" t="inlineStr">
        <is>
          <t>With Smart Scan screens</t>
        </is>
      </c>
      <c r="B8" s="14" t="inlineStr">
        <is>
          <t>Central CT</t>
        </is>
      </c>
      <c r="C8" s="46">
        <f>_xlfn.MAXIFS($G$21:$G$92,$A$21:$A$92,"With Smart Scan screens",$B$21:$B$92,"Central CT")</f>
        <v/>
      </c>
      <c r="D8" s="61">
        <f>'Sim Data'!$D$370</f>
        <v/>
      </c>
      <c r="E8" s="61">
        <f>'Assumptions'!$B$26</f>
        <v/>
      </c>
      <c r="F8" s="54">
        <f>SUMPRODUCT('Sim Data'!$E$221:$E$238,'Sim Data'!$G$221:$G$238)/SUM('Sim Data'!$E$221:$E$238)</f>
        <v/>
      </c>
    </row>
    <row r="9" ht="21.95" customHeight="1">
      <c r="A9" s="14" t="inlineStr">
        <is>
          <t>With Smart Scan screens</t>
        </is>
      </c>
      <c r="B9" s="14" t="inlineStr">
        <is>
          <t>Munch Mess</t>
        </is>
      </c>
      <c r="C9" s="46">
        <f>_xlfn.MAXIFS($G$21:$G$92,$A$21:$A$92,"With Smart Scan screens",$B$21:$B$92,"Munch Mess")</f>
        <v/>
      </c>
      <c r="D9" s="61">
        <f>'Sim Data'!$D$371</f>
        <v/>
      </c>
      <c r="E9" s="61">
        <f>'Assumptions'!$B$27</f>
        <v/>
      </c>
      <c r="F9" s="54">
        <f>SUMPRODUCT('Sim Data'!$E$311:$E$328,'Sim Data'!$G$311:$G$328)/SUM('Sim Data'!$E$311:$E$328)</f>
        <v/>
      </c>
    </row>
    <row r="10"/>
    <row r="11" ht="18" customHeight="1">
      <c r="A11" s="52" t="inlineStr">
        <is>
          <t>Takeaway: Seats are never the constraint. Even in the surge, arrivals × eating time stays far below the 900 seats at Central and 492 at Munch, so nobody waits for a seat. Little's Law fits well in the middle of the lunch; at the edges it drifts because a meal (about 16 minutes) is longer than a 10-minute slot. Disposal never queues.</t>
        </is>
      </c>
    </row>
    <row r="12">
      <c r="A12" s="53" t="n"/>
    </row>
    <row r="13">
      <c r="A13" s="53" t="n"/>
    </row>
    <row r="14">
      <c r="A14" s="53" t="n"/>
    </row>
    <row r="15">
      <c r="A15" s="53" t="n"/>
    </row>
    <row r="16">
      <c r="A16" s="53" t="n"/>
    </row>
    <row r="17"/>
    <row r="18"/>
    <row r="19" ht="24.85" customHeight="1">
      <c r="A19" s="4" t="inlineStr">
        <is>
          <t>Slot by slot</t>
        </is>
      </c>
    </row>
    <row r="20" ht="37.9" customHeight="1">
      <c r="A20" s="7" t="inlineStr">
        <is>
          <t>Scenario</t>
        </is>
      </c>
      <c r="B20" s="7" t="inlineStr">
        <is>
          <t>Mess</t>
        </is>
      </c>
      <c r="C20" s="7" t="inlineStr">
        <is>
          <t>Slot</t>
        </is>
      </c>
      <c r="D20" s="7" t="inlineStr">
        <is>
          <t>λ sitting down (/min)</t>
        </is>
      </c>
      <c r="E20" s="7" t="inlineStr">
        <is>
          <t>Eating time W (min)</t>
        </is>
      </c>
      <c r="F20" s="7" t="inlineStr">
        <is>
          <t>Seats c</t>
        </is>
      </c>
      <c r="G20" s="7" t="inlineStr">
        <is>
          <t>ρ = λW ÷ c</t>
        </is>
      </c>
      <c r="H20" s="7" t="inlineStr">
        <is>
          <t>Stable?</t>
        </is>
      </c>
      <c r="I20" s="7" t="inlineStr">
        <is>
          <t>Seats in use (simulated)</t>
        </is>
      </c>
      <c r="J20" s="7" t="inlineStr">
        <is>
          <t>Seats in use (λ × W)</t>
        </is>
      </c>
      <c r="K20" s="7" t="inlineStr">
        <is>
          <t>Little's Law ratio</t>
        </is>
      </c>
      <c r="L20" s="7" t="inlineStr">
        <is>
          <t>People at the bins (λ × W)</t>
        </is>
      </c>
    </row>
    <row r="21" ht="21.95" customHeight="1">
      <c r="A21" s="14" t="inlineStr">
        <is>
          <t>Today (no screens)</t>
        </is>
      </c>
      <c r="B21" s="14" t="inlineStr">
        <is>
          <t>Central CT</t>
        </is>
      </c>
      <c r="C21" s="27" t="inlineStr">
        <is>
          <t>11:30</t>
        </is>
      </c>
      <c r="D21" s="54">
        <f>'Sim Data'!$E$41</f>
        <v/>
      </c>
      <c r="E21" s="54">
        <f>IF('Sim Data'!$G$41&gt;0,'Sim Data'!$G$41,('Assumptions'!$B$28+'Assumptions'!$B$29)/2)</f>
        <v/>
      </c>
      <c r="F21" s="61">
        <f>'Assumptions'!$B$26</f>
        <v/>
      </c>
      <c r="G21" s="58">
        <f>D21*E21/F21</f>
        <v/>
      </c>
      <c r="H21" s="27">
        <f>IF(D21=0,"no arrivals",IF(G21&lt;1,"stable: seats free","over capacity"))</f>
        <v/>
      </c>
      <c r="I21" s="57">
        <f>'Sim Data'!$I$41</f>
        <v/>
      </c>
      <c r="J21" s="48">
        <f>D21*E21</f>
        <v/>
      </c>
      <c r="K21" s="49">
        <f>IF(MAX(I21,J21)&lt;5,"≈ 0",IF(J21=0,"no new diners",I21/J21))</f>
        <v/>
      </c>
      <c r="L21" s="54">
        <f>'Sim Data'!$E$59*'Sim Data'!$G$59</f>
        <v/>
      </c>
    </row>
    <row r="22" ht="21.95" customHeight="1">
      <c r="A22" s="14" t="inlineStr">
        <is>
          <t>Today (no screens)</t>
        </is>
      </c>
      <c r="B22" s="14" t="inlineStr">
        <is>
          <t>Central CT</t>
        </is>
      </c>
      <c r="C22" s="27" t="inlineStr">
        <is>
          <t>11:40</t>
        </is>
      </c>
      <c r="D22" s="54">
        <f>'Sim Data'!$E$42</f>
        <v/>
      </c>
      <c r="E22" s="54">
        <f>IF('Sim Data'!$G$42&gt;0,'Sim Data'!$G$42,('Assumptions'!$B$28+'Assumptions'!$B$29)/2)</f>
        <v/>
      </c>
      <c r="F22" s="61">
        <f>'Assumptions'!$B$26</f>
        <v/>
      </c>
      <c r="G22" s="58">
        <f>D22*E22/F22</f>
        <v/>
      </c>
      <c r="H22" s="27">
        <f>IF(D22=0,"no arrivals",IF(G22&lt;1,"stable: seats free","over capacity"))</f>
        <v/>
      </c>
      <c r="I22" s="57">
        <f>'Sim Data'!$I$42</f>
        <v/>
      </c>
      <c r="J22" s="48">
        <f>D22*E22</f>
        <v/>
      </c>
      <c r="K22" s="49">
        <f>IF(MAX(I22,J22)&lt;5,"≈ 0",IF(J22=0,"no new diners",I22/J22))</f>
        <v/>
      </c>
      <c r="L22" s="54">
        <f>'Sim Data'!$E$60*'Sim Data'!$G$60</f>
        <v/>
      </c>
    </row>
    <row r="23" ht="21.95" customHeight="1">
      <c r="A23" s="14" t="inlineStr">
        <is>
          <t>Today (no screens)</t>
        </is>
      </c>
      <c r="B23" s="14" t="inlineStr">
        <is>
          <t>Central CT</t>
        </is>
      </c>
      <c r="C23" s="27" t="inlineStr">
        <is>
          <t>11:50</t>
        </is>
      </c>
      <c r="D23" s="54">
        <f>'Sim Data'!$E$43</f>
        <v/>
      </c>
      <c r="E23" s="54">
        <f>IF('Sim Data'!$G$43&gt;0,'Sim Data'!$G$43,('Assumptions'!$B$28+'Assumptions'!$B$29)/2)</f>
        <v/>
      </c>
      <c r="F23" s="61">
        <f>'Assumptions'!$B$26</f>
        <v/>
      </c>
      <c r="G23" s="58">
        <f>D23*E23/F23</f>
        <v/>
      </c>
      <c r="H23" s="27">
        <f>IF(D23=0,"no arrivals",IF(G23&lt;1,"stable: seats free","over capacity"))</f>
        <v/>
      </c>
      <c r="I23" s="57">
        <f>'Sim Data'!$I$43</f>
        <v/>
      </c>
      <c r="J23" s="48">
        <f>D23*E23</f>
        <v/>
      </c>
      <c r="K23" s="49">
        <f>IF(MAX(I23,J23)&lt;5,"≈ 0",IF(J23=0,"no new diners",I23/J23))</f>
        <v/>
      </c>
      <c r="L23" s="54">
        <f>'Sim Data'!$E$61*'Sim Data'!$G$61</f>
        <v/>
      </c>
    </row>
    <row r="24" ht="21.95" customHeight="1">
      <c r="A24" s="14" t="inlineStr">
        <is>
          <t>Today (no screens)</t>
        </is>
      </c>
      <c r="B24" s="14" t="inlineStr">
        <is>
          <t>Central CT</t>
        </is>
      </c>
      <c r="C24" s="27" t="inlineStr">
        <is>
          <t>12:00</t>
        </is>
      </c>
      <c r="D24" s="54">
        <f>'Sim Data'!$E$44</f>
        <v/>
      </c>
      <c r="E24" s="54">
        <f>IF('Sim Data'!$G$44&gt;0,'Sim Data'!$G$44,('Assumptions'!$B$28+'Assumptions'!$B$29)/2)</f>
        <v/>
      </c>
      <c r="F24" s="61">
        <f>'Assumptions'!$B$26</f>
        <v/>
      </c>
      <c r="G24" s="58">
        <f>D24*E24/F24</f>
        <v/>
      </c>
      <c r="H24" s="27">
        <f>IF(D24=0,"no arrivals",IF(G24&lt;1,"stable: seats free","over capacity"))</f>
        <v/>
      </c>
      <c r="I24" s="57">
        <f>'Sim Data'!$I$44</f>
        <v/>
      </c>
      <c r="J24" s="48">
        <f>D24*E24</f>
        <v/>
      </c>
      <c r="K24" s="49">
        <f>IF(MAX(I24,J24)&lt;5,"≈ 0",IF(J24=0,"no new diners",I24/J24))</f>
        <v/>
      </c>
      <c r="L24" s="54">
        <f>'Sim Data'!$E$62*'Sim Data'!$G$62</f>
        <v/>
      </c>
    </row>
    <row r="25" ht="21.95" customHeight="1">
      <c r="A25" s="14" t="inlineStr">
        <is>
          <t>Today (no screens)</t>
        </is>
      </c>
      <c r="B25" s="14" t="inlineStr">
        <is>
          <t>Central CT</t>
        </is>
      </c>
      <c r="C25" s="27" t="inlineStr">
        <is>
          <t>12:10</t>
        </is>
      </c>
      <c r="D25" s="54">
        <f>'Sim Data'!$E$45</f>
        <v/>
      </c>
      <c r="E25" s="54">
        <f>IF('Sim Data'!$G$45&gt;0,'Sim Data'!$G$45,('Assumptions'!$B$28+'Assumptions'!$B$29)/2)</f>
        <v/>
      </c>
      <c r="F25" s="61">
        <f>'Assumptions'!$B$26</f>
        <v/>
      </c>
      <c r="G25" s="58">
        <f>D25*E25/F25</f>
        <v/>
      </c>
      <c r="H25" s="27">
        <f>IF(D25=0,"no arrivals",IF(G25&lt;1,"stable: seats free","over capacity"))</f>
        <v/>
      </c>
      <c r="I25" s="57">
        <f>'Sim Data'!$I$45</f>
        <v/>
      </c>
      <c r="J25" s="48">
        <f>D25*E25</f>
        <v/>
      </c>
      <c r="K25" s="49">
        <f>IF(MAX(I25,J25)&lt;5,"≈ 0",IF(J25=0,"no new diners",I25/J25))</f>
        <v/>
      </c>
      <c r="L25" s="54">
        <f>'Sim Data'!$E$63*'Sim Data'!$G$63</f>
        <v/>
      </c>
    </row>
    <row r="26" ht="21.95" customHeight="1">
      <c r="A26" s="14" t="inlineStr">
        <is>
          <t>Today (no screens)</t>
        </is>
      </c>
      <c r="B26" s="14" t="inlineStr">
        <is>
          <t>Central CT</t>
        </is>
      </c>
      <c r="C26" s="27" t="inlineStr">
        <is>
          <t>12:20</t>
        </is>
      </c>
      <c r="D26" s="54">
        <f>'Sim Data'!$E$46</f>
        <v/>
      </c>
      <c r="E26" s="54">
        <f>IF('Sim Data'!$G$46&gt;0,'Sim Data'!$G$46,('Assumptions'!$B$28+'Assumptions'!$B$29)/2)</f>
        <v/>
      </c>
      <c r="F26" s="61">
        <f>'Assumptions'!$B$26</f>
        <v/>
      </c>
      <c r="G26" s="58">
        <f>D26*E26/F26</f>
        <v/>
      </c>
      <c r="H26" s="27">
        <f>IF(D26=0,"no arrivals",IF(G26&lt;1,"stable: seats free","over capacity"))</f>
        <v/>
      </c>
      <c r="I26" s="57">
        <f>'Sim Data'!$I$46</f>
        <v/>
      </c>
      <c r="J26" s="48">
        <f>D26*E26</f>
        <v/>
      </c>
      <c r="K26" s="49">
        <f>IF(MAX(I26,J26)&lt;5,"≈ 0",IF(J26=0,"no new diners",I26/J26))</f>
        <v/>
      </c>
      <c r="L26" s="54">
        <f>'Sim Data'!$E$64*'Sim Data'!$G$64</f>
        <v/>
      </c>
    </row>
    <row r="27" ht="21.95" customHeight="1">
      <c r="A27" s="14" t="inlineStr">
        <is>
          <t>Today (no screens)</t>
        </is>
      </c>
      <c r="B27" s="14" t="inlineStr">
        <is>
          <t>Central CT</t>
        </is>
      </c>
      <c r="C27" s="27" t="inlineStr">
        <is>
          <t>12:30</t>
        </is>
      </c>
      <c r="D27" s="54">
        <f>'Sim Data'!$E$47</f>
        <v/>
      </c>
      <c r="E27" s="54">
        <f>IF('Sim Data'!$G$47&gt;0,'Sim Data'!$G$47,('Assumptions'!$B$28+'Assumptions'!$B$29)/2)</f>
        <v/>
      </c>
      <c r="F27" s="61">
        <f>'Assumptions'!$B$26</f>
        <v/>
      </c>
      <c r="G27" s="58">
        <f>D27*E27/F27</f>
        <v/>
      </c>
      <c r="H27" s="27">
        <f>IF(D27=0,"no arrivals",IF(G27&lt;1,"stable: seats free","over capacity"))</f>
        <v/>
      </c>
      <c r="I27" s="57">
        <f>'Sim Data'!$I$47</f>
        <v/>
      </c>
      <c r="J27" s="48">
        <f>D27*E27</f>
        <v/>
      </c>
      <c r="K27" s="49">
        <f>IF(MAX(I27,J27)&lt;5,"≈ 0",IF(J27=0,"no new diners",I27/J27))</f>
        <v/>
      </c>
      <c r="L27" s="54">
        <f>'Sim Data'!$E$65*'Sim Data'!$G$65</f>
        <v/>
      </c>
    </row>
    <row r="28" ht="21.95" customHeight="1">
      <c r="A28" s="14" t="inlineStr">
        <is>
          <t>Today (no screens)</t>
        </is>
      </c>
      <c r="B28" s="14" t="inlineStr">
        <is>
          <t>Central CT</t>
        </is>
      </c>
      <c r="C28" s="27" t="inlineStr">
        <is>
          <t>12:40</t>
        </is>
      </c>
      <c r="D28" s="54">
        <f>'Sim Data'!$E$48</f>
        <v/>
      </c>
      <c r="E28" s="54">
        <f>IF('Sim Data'!$G$48&gt;0,'Sim Data'!$G$48,('Assumptions'!$B$28+'Assumptions'!$B$29)/2)</f>
        <v/>
      </c>
      <c r="F28" s="61">
        <f>'Assumptions'!$B$26</f>
        <v/>
      </c>
      <c r="G28" s="58">
        <f>D28*E28/F28</f>
        <v/>
      </c>
      <c r="H28" s="27">
        <f>IF(D28=0,"no arrivals",IF(G28&lt;1,"stable: seats free","over capacity"))</f>
        <v/>
      </c>
      <c r="I28" s="57">
        <f>'Sim Data'!$I$48</f>
        <v/>
      </c>
      <c r="J28" s="48">
        <f>D28*E28</f>
        <v/>
      </c>
      <c r="K28" s="49">
        <f>IF(MAX(I28,J28)&lt;5,"≈ 0",IF(J28=0,"no new diners",I28/J28))</f>
        <v/>
      </c>
      <c r="L28" s="54">
        <f>'Sim Data'!$E$66*'Sim Data'!$G$66</f>
        <v/>
      </c>
    </row>
    <row r="29" ht="21.95" customHeight="1">
      <c r="A29" s="14" t="inlineStr">
        <is>
          <t>Today (no screens)</t>
        </is>
      </c>
      <c r="B29" s="14" t="inlineStr">
        <is>
          <t>Central CT</t>
        </is>
      </c>
      <c r="C29" s="27" t="inlineStr">
        <is>
          <t>12:50</t>
        </is>
      </c>
      <c r="D29" s="54">
        <f>'Sim Data'!$E$49</f>
        <v/>
      </c>
      <c r="E29" s="54">
        <f>IF('Sim Data'!$G$49&gt;0,'Sim Data'!$G$49,('Assumptions'!$B$28+'Assumptions'!$B$29)/2)</f>
        <v/>
      </c>
      <c r="F29" s="61">
        <f>'Assumptions'!$B$26</f>
        <v/>
      </c>
      <c r="G29" s="58">
        <f>D29*E29/F29</f>
        <v/>
      </c>
      <c r="H29" s="27">
        <f>IF(D29=0,"no arrivals",IF(G29&lt;1,"stable: seats free","over capacity"))</f>
        <v/>
      </c>
      <c r="I29" s="57">
        <f>'Sim Data'!$I$49</f>
        <v/>
      </c>
      <c r="J29" s="48">
        <f>D29*E29</f>
        <v/>
      </c>
      <c r="K29" s="49">
        <f>IF(MAX(I29,J29)&lt;5,"≈ 0",IF(J29=0,"no new diners",I29/J29))</f>
        <v/>
      </c>
      <c r="L29" s="54">
        <f>'Sim Data'!$E$67*'Sim Data'!$G$67</f>
        <v/>
      </c>
    </row>
    <row r="30" ht="21.95" customHeight="1">
      <c r="A30" s="14" t="inlineStr">
        <is>
          <t>Today (no screens)</t>
        </is>
      </c>
      <c r="B30" s="14" t="inlineStr">
        <is>
          <t>Central CT</t>
        </is>
      </c>
      <c r="C30" s="27" t="inlineStr">
        <is>
          <t>13:00</t>
        </is>
      </c>
      <c r="D30" s="54">
        <f>'Sim Data'!$E$50</f>
        <v/>
      </c>
      <c r="E30" s="54">
        <f>IF('Sim Data'!$G$50&gt;0,'Sim Data'!$G$50,('Assumptions'!$B$28+'Assumptions'!$B$29)/2)</f>
        <v/>
      </c>
      <c r="F30" s="61">
        <f>'Assumptions'!$B$26</f>
        <v/>
      </c>
      <c r="G30" s="58">
        <f>D30*E30/F30</f>
        <v/>
      </c>
      <c r="H30" s="27">
        <f>IF(D30=0,"no arrivals",IF(G30&lt;1,"stable: seats free","over capacity"))</f>
        <v/>
      </c>
      <c r="I30" s="57">
        <f>'Sim Data'!$I$50</f>
        <v/>
      </c>
      <c r="J30" s="48">
        <f>D30*E30</f>
        <v/>
      </c>
      <c r="K30" s="49">
        <f>IF(MAX(I30,J30)&lt;5,"≈ 0",IF(J30=0,"no new diners",I30/J30))</f>
        <v/>
      </c>
      <c r="L30" s="54">
        <f>'Sim Data'!$E$68*'Sim Data'!$G$68</f>
        <v/>
      </c>
    </row>
    <row r="31" ht="21.95" customHeight="1">
      <c r="A31" s="14" t="inlineStr">
        <is>
          <t>Today (no screens)</t>
        </is>
      </c>
      <c r="B31" s="14" t="inlineStr">
        <is>
          <t>Central CT</t>
        </is>
      </c>
      <c r="C31" s="27" t="inlineStr">
        <is>
          <t>13:10</t>
        </is>
      </c>
      <c r="D31" s="54">
        <f>'Sim Data'!$E$51</f>
        <v/>
      </c>
      <c r="E31" s="54">
        <f>IF('Sim Data'!$G$51&gt;0,'Sim Data'!$G$51,('Assumptions'!$B$28+'Assumptions'!$B$29)/2)</f>
        <v/>
      </c>
      <c r="F31" s="61">
        <f>'Assumptions'!$B$26</f>
        <v/>
      </c>
      <c r="G31" s="58">
        <f>D31*E31/F31</f>
        <v/>
      </c>
      <c r="H31" s="27">
        <f>IF(D31=0,"no arrivals",IF(G31&lt;1,"stable: seats free","over capacity"))</f>
        <v/>
      </c>
      <c r="I31" s="57">
        <f>'Sim Data'!$I$51</f>
        <v/>
      </c>
      <c r="J31" s="48">
        <f>D31*E31</f>
        <v/>
      </c>
      <c r="K31" s="49">
        <f>IF(MAX(I31,J31)&lt;5,"≈ 0",IF(J31=0,"no new diners",I31/J31))</f>
        <v/>
      </c>
      <c r="L31" s="54">
        <f>'Sim Data'!$E$69*'Sim Data'!$G$69</f>
        <v/>
      </c>
    </row>
    <row r="32" ht="21.95" customHeight="1">
      <c r="A32" s="14" t="inlineStr">
        <is>
          <t>Today (no screens)</t>
        </is>
      </c>
      <c r="B32" s="14" t="inlineStr">
        <is>
          <t>Central CT</t>
        </is>
      </c>
      <c r="C32" s="27" t="inlineStr">
        <is>
          <t>13:20</t>
        </is>
      </c>
      <c r="D32" s="54">
        <f>'Sim Data'!$E$52</f>
        <v/>
      </c>
      <c r="E32" s="54">
        <f>IF('Sim Data'!$G$52&gt;0,'Sim Data'!$G$52,('Assumptions'!$B$28+'Assumptions'!$B$29)/2)</f>
        <v/>
      </c>
      <c r="F32" s="61">
        <f>'Assumptions'!$B$26</f>
        <v/>
      </c>
      <c r="G32" s="58">
        <f>D32*E32/F32</f>
        <v/>
      </c>
      <c r="H32" s="27">
        <f>IF(D32=0,"no arrivals",IF(G32&lt;1,"stable: seats free","over capacity"))</f>
        <v/>
      </c>
      <c r="I32" s="57">
        <f>'Sim Data'!$I$52</f>
        <v/>
      </c>
      <c r="J32" s="48">
        <f>D32*E32</f>
        <v/>
      </c>
      <c r="K32" s="49">
        <f>IF(MAX(I32,J32)&lt;5,"≈ 0",IF(J32=0,"no new diners",I32/J32))</f>
        <v/>
      </c>
      <c r="L32" s="54">
        <f>'Sim Data'!$E$70*'Sim Data'!$G$70</f>
        <v/>
      </c>
    </row>
    <row r="33" ht="21.95" customHeight="1">
      <c r="A33" s="14" t="inlineStr">
        <is>
          <t>Today (no screens)</t>
        </is>
      </c>
      <c r="B33" s="14" t="inlineStr">
        <is>
          <t>Central CT</t>
        </is>
      </c>
      <c r="C33" s="27" t="inlineStr">
        <is>
          <t>13:30</t>
        </is>
      </c>
      <c r="D33" s="54">
        <f>'Sim Data'!$E$53</f>
        <v/>
      </c>
      <c r="E33" s="54">
        <f>IF('Sim Data'!$G$53&gt;0,'Sim Data'!$G$53,('Assumptions'!$B$28+'Assumptions'!$B$29)/2)</f>
        <v/>
      </c>
      <c r="F33" s="61">
        <f>'Assumptions'!$B$26</f>
        <v/>
      </c>
      <c r="G33" s="58">
        <f>D33*E33/F33</f>
        <v/>
      </c>
      <c r="H33" s="27">
        <f>IF(D33=0,"no arrivals",IF(G33&lt;1,"stable: seats free","over capacity"))</f>
        <v/>
      </c>
      <c r="I33" s="57">
        <f>'Sim Data'!$I$53</f>
        <v/>
      </c>
      <c r="J33" s="48">
        <f>D33*E33</f>
        <v/>
      </c>
      <c r="K33" s="49">
        <f>IF(MAX(I33,J33)&lt;5,"≈ 0",IF(J33=0,"no new diners",I33/J33))</f>
        <v/>
      </c>
      <c r="L33" s="54">
        <f>'Sim Data'!$E$71*'Sim Data'!$G$71</f>
        <v/>
      </c>
    </row>
    <row r="34" ht="21.95" customHeight="1">
      <c r="A34" s="14" t="inlineStr">
        <is>
          <t>Today (no screens)</t>
        </is>
      </c>
      <c r="B34" s="14" t="inlineStr">
        <is>
          <t>Central CT</t>
        </is>
      </c>
      <c r="C34" s="27" t="inlineStr">
        <is>
          <t>13:40</t>
        </is>
      </c>
      <c r="D34" s="54">
        <f>'Sim Data'!$E$54</f>
        <v/>
      </c>
      <c r="E34" s="54">
        <f>IF('Sim Data'!$G$54&gt;0,'Sim Data'!$G$54,('Assumptions'!$B$28+'Assumptions'!$B$29)/2)</f>
        <v/>
      </c>
      <c r="F34" s="61">
        <f>'Assumptions'!$B$26</f>
        <v/>
      </c>
      <c r="G34" s="58">
        <f>D34*E34/F34</f>
        <v/>
      </c>
      <c r="H34" s="27">
        <f>IF(D34=0,"no arrivals",IF(G34&lt;1,"stable: seats free","over capacity"))</f>
        <v/>
      </c>
      <c r="I34" s="57">
        <f>'Sim Data'!$I$54</f>
        <v/>
      </c>
      <c r="J34" s="48">
        <f>D34*E34</f>
        <v/>
      </c>
      <c r="K34" s="49">
        <f>IF(MAX(I34,J34)&lt;5,"≈ 0",IF(J34=0,"no new diners",I34/J34))</f>
        <v/>
      </c>
      <c r="L34" s="54">
        <f>'Sim Data'!$E$72*'Sim Data'!$G$72</f>
        <v/>
      </c>
    </row>
    <row r="35" ht="21.95" customHeight="1">
      <c r="A35" s="14" t="inlineStr">
        <is>
          <t>Today (no screens)</t>
        </is>
      </c>
      <c r="B35" s="14" t="inlineStr">
        <is>
          <t>Central CT</t>
        </is>
      </c>
      <c r="C35" s="27" t="inlineStr">
        <is>
          <t>13:50</t>
        </is>
      </c>
      <c r="D35" s="54">
        <f>'Sim Data'!$E$55</f>
        <v/>
      </c>
      <c r="E35" s="54">
        <f>IF('Sim Data'!$G$55&gt;0,'Sim Data'!$G$55,('Assumptions'!$B$28+'Assumptions'!$B$29)/2)</f>
        <v/>
      </c>
      <c r="F35" s="61">
        <f>'Assumptions'!$B$26</f>
        <v/>
      </c>
      <c r="G35" s="58">
        <f>D35*E35/F35</f>
        <v/>
      </c>
      <c r="H35" s="27">
        <f>IF(D35=0,"no arrivals",IF(G35&lt;1,"stable: seats free","over capacity"))</f>
        <v/>
      </c>
      <c r="I35" s="57">
        <f>'Sim Data'!$I$55</f>
        <v/>
      </c>
      <c r="J35" s="48">
        <f>D35*E35</f>
        <v/>
      </c>
      <c r="K35" s="49">
        <f>IF(MAX(I35,J35)&lt;5,"≈ 0",IF(J35=0,"no new diners",I35/J35))</f>
        <v/>
      </c>
      <c r="L35" s="54">
        <f>'Sim Data'!$E$73*'Sim Data'!$G$73</f>
        <v/>
      </c>
    </row>
    <row r="36" ht="21.95" customHeight="1">
      <c r="A36" s="14" t="inlineStr">
        <is>
          <t>Today (no screens)</t>
        </is>
      </c>
      <c r="B36" s="14" t="inlineStr">
        <is>
          <t>Central CT</t>
        </is>
      </c>
      <c r="C36" s="27" t="inlineStr">
        <is>
          <t>14:00</t>
        </is>
      </c>
      <c r="D36" s="54">
        <f>'Sim Data'!$E$56</f>
        <v/>
      </c>
      <c r="E36" s="54">
        <f>IF('Sim Data'!$G$56&gt;0,'Sim Data'!$G$56,('Assumptions'!$B$28+'Assumptions'!$B$29)/2)</f>
        <v/>
      </c>
      <c r="F36" s="61">
        <f>'Assumptions'!$B$26</f>
        <v/>
      </c>
      <c r="G36" s="58">
        <f>D36*E36/F36</f>
        <v/>
      </c>
      <c r="H36" s="27">
        <f>IF(D36=0,"no arrivals",IF(G36&lt;1,"stable: seats free","over capacity"))</f>
        <v/>
      </c>
      <c r="I36" s="57">
        <f>'Sim Data'!$I$56</f>
        <v/>
      </c>
      <c r="J36" s="48">
        <f>D36*E36</f>
        <v/>
      </c>
      <c r="K36" s="49">
        <f>IF(MAX(I36,J36)&lt;5,"≈ 0",IF(J36=0,"no new diners",I36/J36))</f>
        <v/>
      </c>
      <c r="L36" s="54">
        <f>'Sim Data'!$E$74*'Sim Data'!$G$74</f>
        <v/>
      </c>
    </row>
    <row r="37" ht="21.95" customHeight="1">
      <c r="A37" s="14" t="inlineStr">
        <is>
          <t>Today (no screens)</t>
        </is>
      </c>
      <c r="B37" s="14" t="inlineStr">
        <is>
          <t>Central CT</t>
        </is>
      </c>
      <c r="C37" s="27" t="inlineStr">
        <is>
          <t>14:10</t>
        </is>
      </c>
      <c r="D37" s="54">
        <f>'Sim Data'!$E$57</f>
        <v/>
      </c>
      <c r="E37" s="54">
        <f>IF('Sim Data'!$G$57&gt;0,'Sim Data'!$G$57,('Assumptions'!$B$28+'Assumptions'!$B$29)/2)</f>
        <v/>
      </c>
      <c r="F37" s="61">
        <f>'Assumptions'!$B$26</f>
        <v/>
      </c>
      <c r="G37" s="58">
        <f>D37*E37/F37</f>
        <v/>
      </c>
      <c r="H37" s="27">
        <f>IF(D37=0,"no arrivals",IF(G37&lt;1,"stable: seats free","over capacity"))</f>
        <v/>
      </c>
      <c r="I37" s="57">
        <f>'Sim Data'!$I$57</f>
        <v/>
      </c>
      <c r="J37" s="48">
        <f>D37*E37</f>
        <v/>
      </c>
      <c r="K37" s="49">
        <f>IF(MAX(I37,J37)&lt;5,"≈ 0",IF(J37=0,"no new diners",I37/J37))</f>
        <v/>
      </c>
      <c r="L37" s="54">
        <f>'Sim Data'!$E$75*'Sim Data'!$G$75</f>
        <v/>
      </c>
    </row>
    <row r="38" ht="21.95" customHeight="1">
      <c r="A38" s="14" t="inlineStr">
        <is>
          <t>Today (no screens)</t>
        </is>
      </c>
      <c r="B38" s="14" t="inlineStr">
        <is>
          <t>Central CT</t>
        </is>
      </c>
      <c r="C38" s="27" t="inlineStr">
        <is>
          <t>14:20</t>
        </is>
      </c>
      <c r="D38" s="54">
        <f>'Sim Data'!$E$58</f>
        <v/>
      </c>
      <c r="E38" s="54">
        <f>IF('Sim Data'!$G$58&gt;0,'Sim Data'!$G$58,('Assumptions'!$B$28+'Assumptions'!$B$29)/2)</f>
        <v/>
      </c>
      <c r="F38" s="61">
        <f>'Assumptions'!$B$26</f>
        <v/>
      </c>
      <c r="G38" s="58">
        <f>D38*E38/F38</f>
        <v/>
      </c>
      <c r="H38" s="27">
        <f>IF(D38=0,"no arrivals",IF(G38&lt;1,"stable: seats free","over capacity"))</f>
        <v/>
      </c>
      <c r="I38" s="57">
        <f>'Sim Data'!$I$58</f>
        <v/>
      </c>
      <c r="J38" s="48">
        <f>D38*E38</f>
        <v/>
      </c>
      <c r="K38" s="49">
        <f>IF(MAX(I38,J38)&lt;5,"≈ 0",IF(J38=0,"no new diners",I38/J38))</f>
        <v/>
      </c>
      <c r="L38" s="54">
        <f>'Sim Data'!$E$76*'Sim Data'!$G$76</f>
        <v/>
      </c>
    </row>
    <row r="39" ht="21.95" customHeight="1">
      <c r="A39" s="14" t="inlineStr">
        <is>
          <t>Today (no screens)</t>
        </is>
      </c>
      <c r="B39" s="14" t="inlineStr">
        <is>
          <t>Munch Mess</t>
        </is>
      </c>
      <c r="C39" s="27" t="inlineStr">
        <is>
          <t>11:30</t>
        </is>
      </c>
      <c r="D39" s="54">
        <f>'Sim Data'!$E$131</f>
        <v/>
      </c>
      <c r="E39" s="54">
        <f>IF('Sim Data'!$G$131&gt;0,'Sim Data'!$G$131,('Assumptions'!$B$28+'Assumptions'!$B$29)/2)</f>
        <v/>
      </c>
      <c r="F39" s="61">
        <f>'Assumptions'!$B$27</f>
        <v/>
      </c>
      <c r="G39" s="58">
        <f>D39*E39/F39</f>
        <v/>
      </c>
      <c r="H39" s="27">
        <f>IF(D39=0,"no arrivals",IF(G39&lt;1,"stable: seats free","over capacity"))</f>
        <v/>
      </c>
      <c r="I39" s="57">
        <f>'Sim Data'!$I$131</f>
        <v/>
      </c>
      <c r="J39" s="48">
        <f>D39*E39</f>
        <v/>
      </c>
      <c r="K39" s="49">
        <f>IF(MAX(I39,J39)&lt;5,"≈ 0",IF(J39=0,"no new diners",I39/J39))</f>
        <v/>
      </c>
      <c r="L39" s="54">
        <f>'Sim Data'!$E$149*'Sim Data'!$G$149</f>
        <v/>
      </c>
    </row>
    <row r="40" ht="21.95" customHeight="1">
      <c r="A40" s="14" t="inlineStr">
        <is>
          <t>Today (no screens)</t>
        </is>
      </c>
      <c r="B40" s="14" t="inlineStr">
        <is>
          <t>Munch Mess</t>
        </is>
      </c>
      <c r="C40" s="27" t="inlineStr">
        <is>
          <t>11:40</t>
        </is>
      </c>
      <c r="D40" s="54">
        <f>'Sim Data'!$E$132</f>
        <v/>
      </c>
      <c r="E40" s="54">
        <f>IF('Sim Data'!$G$132&gt;0,'Sim Data'!$G$132,('Assumptions'!$B$28+'Assumptions'!$B$29)/2)</f>
        <v/>
      </c>
      <c r="F40" s="61">
        <f>'Assumptions'!$B$27</f>
        <v/>
      </c>
      <c r="G40" s="58">
        <f>D40*E40/F40</f>
        <v/>
      </c>
      <c r="H40" s="27">
        <f>IF(D40=0,"no arrivals",IF(G40&lt;1,"stable: seats free","over capacity"))</f>
        <v/>
      </c>
      <c r="I40" s="57">
        <f>'Sim Data'!$I$132</f>
        <v/>
      </c>
      <c r="J40" s="48">
        <f>D40*E40</f>
        <v/>
      </c>
      <c r="K40" s="49">
        <f>IF(MAX(I40,J40)&lt;5,"≈ 0",IF(J40=0,"no new diners",I40/J40))</f>
        <v/>
      </c>
      <c r="L40" s="54">
        <f>'Sim Data'!$E$150*'Sim Data'!$G$150</f>
        <v/>
      </c>
    </row>
    <row r="41" ht="21.95" customHeight="1">
      <c r="A41" s="14" t="inlineStr">
        <is>
          <t>Today (no screens)</t>
        </is>
      </c>
      <c r="B41" s="14" t="inlineStr">
        <is>
          <t>Munch Mess</t>
        </is>
      </c>
      <c r="C41" s="27" t="inlineStr">
        <is>
          <t>11:50</t>
        </is>
      </c>
      <c r="D41" s="54">
        <f>'Sim Data'!$E$133</f>
        <v/>
      </c>
      <c r="E41" s="54">
        <f>IF('Sim Data'!$G$133&gt;0,'Sim Data'!$G$133,('Assumptions'!$B$28+'Assumptions'!$B$29)/2)</f>
        <v/>
      </c>
      <c r="F41" s="61">
        <f>'Assumptions'!$B$27</f>
        <v/>
      </c>
      <c r="G41" s="58">
        <f>D41*E41/F41</f>
        <v/>
      </c>
      <c r="H41" s="27">
        <f>IF(D41=0,"no arrivals",IF(G41&lt;1,"stable: seats free","over capacity"))</f>
        <v/>
      </c>
      <c r="I41" s="57">
        <f>'Sim Data'!$I$133</f>
        <v/>
      </c>
      <c r="J41" s="48">
        <f>D41*E41</f>
        <v/>
      </c>
      <c r="K41" s="49">
        <f>IF(MAX(I41,J41)&lt;5,"≈ 0",IF(J41=0,"no new diners",I41/J41))</f>
        <v/>
      </c>
      <c r="L41" s="54">
        <f>'Sim Data'!$E$151*'Sim Data'!$G$151</f>
        <v/>
      </c>
    </row>
    <row r="42" ht="21.95" customHeight="1">
      <c r="A42" s="14" t="inlineStr">
        <is>
          <t>Today (no screens)</t>
        </is>
      </c>
      <c r="B42" s="14" t="inlineStr">
        <is>
          <t>Munch Mess</t>
        </is>
      </c>
      <c r="C42" s="27" t="inlineStr">
        <is>
          <t>12:00</t>
        </is>
      </c>
      <c r="D42" s="54">
        <f>'Sim Data'!$E$134</f>
        <v/>
      </c>
      <c r="E42" s="54">
        <f>IF('Sim Data'!$G$134&gt;0,'Sim Data'!$G$134,('Assumptions'!$B$28+'Assumptions'!$B$29)/2)</f>
        <v/>
      </c>
      <c r="F42" s="61">
        <f>'Assumptions'!$B$27</f>
        <v/>
      </c>
      <c r="G42" s="58">
        <f>D42*E42/F42</f>
        <v/>
      </c>
      <c r="H42" s="27">
        <f>IF(D42=0,"no arrivals",IF(G42&lt;1,"stable: seats free","over capacity"))</f>
        <v/>
      </c>
      <c r="I42" s="57">
        <f>'Sim Data'!$I$134</f>
        <v/>
      </c>
      <c r="J42" s="48">
        <f>D42*E42</f>
        <v/>
      </c>
      <c r="K42" s="49">
        <f>IF(MAX(I42,J42)&lt;5,"≈ 0",IF(J42=0,"no new diners",I42/J42))</f>
        <v/>
      </c>
      <c r="L42" s="54">
        <f>'Sim Data'!$E$152*'Sim Data'!$G$152</f>
        <v/>
      </c>
    </row>
    <row r="43" ht="21.95" customHeight="1">
      <c r="A43" s="14" t="inlineStr">
        <is>
          <t>Today (no screens)</t>
        </is>
      </c>
      <c r="B43" s="14" t="inlineStr">
        <is>
          <t>Munch Mess</t>
        </is>
      </c>
      <c r="C43" s="27" t="inlineStr">
        <is>
          <t>12:10</t>
        </is>
      </c>
      <c r="D43" s="54">
        <f>'Sim Data'!$E$135</f>
        <v/>
      </c>
      <c r="E43" s="54">
        <f>IF('Sim Data'!$G$135&gt;0,'Sim Data'!$G$135,('Assumptions'!$B$28+'Assumptions'!$B$29)/2)</f>
        <v/>
      </c>
      <c r="F43" s="61">
        <f>'Assumptions'!$B$27</f>
        <v/>
      </c>
      <c r="G43" s="58">
        <f>D43*E43/F43</f>
        <v/>
      </c>
      <c r="H43" s="27">
        <f>IF(D43=0,"no arrivals",IF(G43&lt;1,"stable: seats free","over capacity"))</f>
        <v/>
      </c>
      <c r="I43" s="57">
        <f>'Sim Data'!$I$135</f>
        <v/>
      </c>
      <c r="J43" s="48">
        <f>D43*E43</f>
        <v/>
      </c>
      <c r="K43" s="49">
        <f>IF(MAX(I43,J43)&lt;5,"≈ 0",IF(J43=0,"no new diners",I43/J43))</f>
        <v/>
      </c>
      <c r="L43" s="54">
        <f>'Sim Data'!$E$153*'Sim Data'!$G$153</f>
        <v/>
      </c>
    </row>
    <row r="44" ht="21.95" customHeight="1">
      <c r="A44" s="14" t="inlineStr">
        <is>
          <t>Today (no screens)</t>
        </is>
      </c>
      <c r="B44" s="14" t="inlineStr">
        <is>
          <t>Munch Mess</t>
        </is>
      </c>
      <c r="C44" s="27" t="inlineStr">
        <is>
          <t>12:20</t>
        </is>
      </c>
      <c r="D44" s="54">
        <f>'Sim Data'!$E$136</f>
        <v/>
      </c>
      <c r="E44" s="54">
        <f>IF('Sim Data'!$G$136&gt;0,'Sim Data'!$G$136,('Assumptions'!$B$28+'Assumptions'!$B$29)/2)</f>
        <v/>
      </c>
      <c r="F44" s="61">
        <f>'Assumptions'!$B$27</f>
        <v/>
      </c>
      <c r="G44" s="58">
        <f>D44*E44/F44</f>
        <v/>
      </c>
      <c r="H44" s="27">
        <f>IF(D44=0,"no arrivals",IF(G44&lt;1,"stable: seats free","over capacity"))</f>
        <v/>
      </c>
      <c r="I44" s="57">
        <f>'Sim Data'!$I$136</f>
        <v/>
      </c>
      <c r="J44" s="48">
        <f>D44*E44</f>
        <v/>
      </c>
      <c r="K44" s="49">
        <f>IF(MAX(I44,J44)&lt;5,"≈ 0",IF(J44=0,"no new diners",I44/J44))</f>
        <v/>
      </c>
      <c r="L44" s="54">
        <f>'Sim Data'!$E$154*'Sim Data'!$G$154</f>
        <v/>
      </c>
    </row>
    <row r="45" ht="21.95" customHeight="1">
      <c r="A45" s="14" t="inlineStr">
        <is>
          <t>Today (no screens)</t>
        </is>
      </c>
      <c r="B45" s="14" t="inlineStr">
        <is>
          <t>Munch Mess</t>
        </is>
      </c>
      <c r="C45" s="27" t="inlineStr">
        <is>
          <t>12:30</t>
        </is>
      </c>
      <c r="D45" s="54">
        <f>'Sim Data'!$E$137</f>
        <v/>
      </c>
      <c r="E45" s="54">
        <f>IF('Sim Data'!$G$137&gt;0,'Sim Data'!$G$137,('Assumptions'!$B$28+'Assumptions'!$B$29)/2)</f>
        <v/>
      </c>
      <c r="F45" s="61">
        <f>'Assumptions'!$B$27</f>
        <v/>
      </c>
      <c r="G45" s="58">
        <f>D45*E45/F45</f>
        <v/>
      </c>
      <c r="H45" s="27">
        <f>IF(D45=0,"no arrivals",IF(G45&lt;1,"stable: seats free","over capacity"))</f>
        <v/>
      </c>
      <c r="I45" s="57">
        <f>'Sim Data'!$I$137</f>
        <v/>
      </c>
      <c r="J45" s="48">
        <f>D45*E45</f>
        <v/>
      </c>
      <c r="K45" s="49">
        <f>IF(MAX(I45,J45)&lt;5,"≈ 0",IF(J45=0,"no new diners",I45/J45))</f>
        <v/>
      </c>
      <c r="L45" s="54">
        <f>'Sim Data'!$E$155*'Sim Data'!$G$155</f>
        <v/>
      </c>
    </row>
    <row r="46" ht="21.95" customHeight="1">
      <c r="A46" s="14" t="inlineStr">
        <is>
          <t>Today (no screens)</t>
        </is>
      </c>
      <c r="B46" s="14" t="inlineStr">
        <is>
          <t>Munch Mess</t>
        </is>
      </c>
      <c r="C46" s="27" t="inlineStr">
        <is>
          <t>12:40</t>
        </is>
      </c>
      <c r="D46" s="54">
        <f>'Sim Data'!$E$138</f>
        <v/>
      </c>
      <c r="E46" s="54">
        <f>IF('Sim Data'!$G$138&gt;0,'Sim Data'!$G$138,('Assumptions'!$B$28+'Assumptions'!$B$29)/2)</f>
        <v/>
      </c>
      <c r="F46" s="61">
        <f>'Assumptions'!$B$27</f>
        <v/>
      </c>
      <c r="G46" s="58">
        <f>D46*E46/F46</f>
        <v/>
      </c>
      <c r="H46" s="27">
        <f>IF(D46=0,"no arrivals",IF(G46&lt;1,"stable: seats free","over capacity"))</f>
        <v/>
      </c>
      <c r="I46" s="57">
        <f>'Sim Data'!$I$138</f>
        <v/>
      </c>
      <c r="J46" s="48">
        <f>D46*E46</f>
        <v/>
      </c>
      <c r="K46" s="49">
        <f>IF(MAX(I46,J46)&lt;5,"≈ 0",IF(J46=0,"no new diners",I46/J46))</f>
        <v/>
      </c>
      <c r="L46" s="54">
        <f>'Sim Data'!$E$156*'Sim Data'!$G$156</f>
        <v/>
      </c>
    </row>
    <row r="47" ht="21.95" customHeight="1">
      <c r="A47" s="14" t="inlineStr">
        <is>
          <t>Today (no screens)</t>
        </is>
      </c>
      <c r="B47" s="14" t="inlineStr">
        <is>
          <t>Munch Mess</t>
        </is>
      </c>
      <c r="C47" s="27" t="inlineStr">
        <is>
          <t>12:50</t>
        </is>
      </c>
      <c r="D47" s="54">
        <f>'Sim Data'!$E$139</f>
        <v/>
      </c>
      <c r="E47" s="54">
        <f>IF('Sim Data'!$G$139&gt;0,'Sim Data'!$G$139,('Assumptions'!$B$28+'Assumptions'!$B$29)/2)</f>
        <v/>
      </c>
      <c r="F47" s="61">
        <f>'Assumptions'!$B$27</f>
        <v/>
      </c>
      <c r="G47" s="58">
        <f>D47*E47/F47</f>
        <v/>
      </c>
      <c r="H47" s="27">
        <f>IF(D47=0,"no arrivals",IF(G47&lt;1,"stable: seats free","over capacity"))</f>
        <v/>
      </c>
      <c r="I47" s="57">
        <f>'Sim Data'!$I$139</f>
        <v/>
      </c>
      <c r="J47" s="48">
        <f>D47*E47</f>
        <v/>
      </c>
      <c r="K47" s="49">
        <f>IF(MAX(I47,J47)&lt;5,"≈ 0",IF(J47=0,"no new diners",I47/J47))</f>
        <v/>
      </c>
      <c r="L47" s="54">
        <f>'Sim Data'!$E$157*'Sim Data'!$G$157</f>
        <v/>
      </c>
    </row>
    <row r="48" ht="21.95" customHeight="1">
      <c r="A48" s="14" t="inlineStr">
        <is>
          <t>Today (no screens)</t>
        </is>
      </c>
      <c r="B48" s="14" t="inlineStr">
        <is>
          <t>Munch Mess</t>
        </is>
      </c>
      <c r="C48" s="27" t="inlineStr">
        <is>
          <t>13:00</t>
        </is>
      </c>
      <c r="D48" s="54">
        <f>'Sim Data'!$E$140</f>
        <v/>
      </c>
      <c r="E48" s="54">
        <f>IF('Sim Data'!$G$140&gt;0,'Sim Data'!$G$140,('Assumptions'!$B$28+'Assumptions'!$B$29)/2)</f>
        <v/>
      </c>
      <c r="F48" s="61">
        <f>'Assumptions'!$B$27</f>
        <v/>
      </c>
      <c r="G48" s="58">
        <f>D48*E48/F48</f>
        <v/>
      </c>
      <c r="H48" s="27">
        <f>IF(D48=0,"no arrivals",IF(G48&lt;1,"stable: seats free","over capacity"))</f>
        <v/>
      </c>
      <c r="I48" s="57">
        <f>'Sim Data'!$I$140</f>
        <v/>
      </c>
      <c r="J48" s="48">
        <f>D48*E48</f>
        <v/>
      </c>
      <c r="K48" s="49">
        <f>IF(MAX(I48,J48)&lt;5,"≈ 0",IF(J48=0,"no new diners",I48/J48))</f>
        <v/>
      </c>
      <c r="L48" s="54">
        <f>'Sim Data'!$E$158*'Sim Data'!$G$158</f>
        <v/>
      </c>
    </row>
    <row r="49" ht="21.95" customHeight="1">
      <c r="A49" s="14" t="inlineStr">
        <is>
          <t>Today (no screens)</t>
        </is>
      </c>
      <c r="B49" s="14" t="inlineStr">
        <is>
          <t>Munch Mess</t>
        </is>
      </c>
      <c r="C49" s="27" t="inlineStr">
        <is>
          <t>13:10</t>
        </is>
      </c>
      <c r="D49" s="54">
        <f>'Sim Data'!$E$141</f>
        <v/>
      </c>
      <c r="E49" s="54">
        <f>IF('Sim Data'!$G$141&gt;0,'Sim Data'!$G$141,('Assumptions'!$B$28+'Assumptions'!$B$29)/2)</f>
        <v/>
      </c>
      <c r="F49" s="61">
        <f>'Assumptions'!$B$27</f>
        <v/>
      </c>
      <c r="G49" s="58">
        <f>D49*E49/F49</f>
        <v/>
      </c>
      <c r="H49" s="27">
        <f>IF(D49=0,"no arrivals",IF(G49&lt;1,"stable: seats free","over capacity"))</f>
        <v/>
      </c>
      <c r="I49" s="57">
        <f>'Sim Data'!$I$141</f>
        <v/>
      </c>
      <c r="J49" s="48">
        <f>D49*E49</f>
        <v/>
      </c>
      <c r="K49" s="49">
        <f>IF(MAX(I49,J49)&lt;5,"≈ 0",IF(J49=0,"no new diners",I49/J49))</f>
        <v/>
      </c>
      <c r="L49" s="54">
        <f>'Sim Data'!$E$159*'Sim Data'!$G$159</f>
        <v/>
      </c>
    </row>
    <row r="50" ht="21.95" customHeight="1">
      <c r="A50" s="14" t="inlineStr">
        <is>
          <t>Today (no screens)</t>
        </is>
      </c>
      <c r="B50" s="14" t="inlineStr">
        <is>
          <t>Munch Mess</t>
        </is>
      </c>
      <c r="C50" s="27" t="inlineStr">
        <is>
          <t>13:20</t>
        </is>
      </c>
      <c r="D50" s="54">
        <f>'Sim Data'!$E$142</f>
        <v/>
      </c>
      <c r="E50" s="54">
        <f>IF('Sim Data'!$G$142&gt;0,'Sim Data'!$G$142,('Assumptions'!$B$28+'Assumptions'!$B$29)/2)</f>
        <v/>
      </c>
      <c r="F50" s="61">
        <f>'Assumptions'!$B$27</f>
        <v/>
      </c>
      <c r="G50" s="58">
        <f>D50*E50/F50</f>
        <v/>
      </c>
      <c r="H50" s="27">
        <f>IF(D50=0,"no arrivals",IF(G50&lt;1,"stable: seats free","over capacity"))</f>
        <v/>
      </c>
      <c r="I50" s="57">
        <f>'Sim Data'!$I$142</f>
        <v/>
      </c>
      <c r="J50" s="48">
        <f>D50*E50</f>
        <v/>
      </c>
      <c r="K50" s="49">
        <f>IF(MAX(I50,J50)&lt;5,"≈ 0",IF(J50=0,"no new diners",I50/J50))</f>
        <v/>
      </c>
      <c r="L50" s="54">
        <f>'Sim Data'!$E$160*'Sim Data'!$G$160</f>
        <v/>
      </c>
    </row>
    <row r="51" ht="21.95" customHeight="1">
      <c r="A51" s="14" t="inlineStr">
        <is>
          <t>Today (no screens)</t>
        </is>
      </c>
      <c r="B51" s="14" t="inlineStr">
        <is>
          <t>Munch Mess</t>
        </is>
      </c>
      <c r="C51" s="27" t="inlineStr">
        <is>
          <t>13:30</t>
        </is>
      </c>
      <c r="D51" s="54">
        <f>'Sim Data'!$E$143</f>
        <v/>
      </c>
      <c r="E51" s="54">
        <f>IF('Sim Data'!$G$143&gt;0,'Sim Data'!$G$143,('Assumptions'!$B$28+'Assumptions'!$B$29)/2)</f>
        <v/>
      </c>
      <c r="F51" s="61">
        <f>'Assumptions'!$B$27</f>
        <v/>
      </c>
      <c r="G51" s="58">
        <f>D51*E51/F51</f>
        <v/>
      </c>
      <c r="H51" s="27">
        <f>IF(D51=0,"no arrivals",IF(G51&lt;1,"stable: seats free","over capacity"))</f>
        <v/>
      </c>
      <c r="I51" s="57">
        <f>'Sim Data'!$I$143</f>
        <v/>
      </c>
      <c r="J51" s="48">
        <f>D51*E51</f>
        <v/>
      </c>
      <c r="K51" s="49">
        <f>IF(MAX(I51,J51)&lt;5,"≈ 0",IF(J51=0,"no new diners",I51/J51))</f>
        <v/>
      </c>
      <c r="L51" s="54">
        <f>'Sim Data'!$E$161*'Sim Data'!$G$161</f>
        <v/>
      </c>
    </row>
    <row r="52" ht="21.95" customHeight="1">
      <c r="A52" s="14" t="inlineStr">
        <is>
          <t>Today (no screens)</t>
        </is>
      </c>
      <c r="B52" s="14" t="inlineStr">
        <is>
          <t>Munch Mess</t>
        </is>
      </c>
      <c r="C52" s="27" t="inlineStr">
        <is>
          <t>13:40</t>
        </is>
      </c>
      <c r="D52" s="54">
        <f>'Sim Data'!$E$144</f>
        <v/>
      </c>
      <c r="E52" s="54">
        <f>IF('Sim Data'!$G$144&gt;0,'Sim Data'!$G$144,('Assumptions'!$B$28+'Assumptions'!$B$29)/2)</f>
        <v/>
      </c>
      <c r="F52" s="61">
        <f>'Assumptions'!$B$27</f>
        <v/>
      </c>
      <c r="G52" s="58">
        <f>D52*E52/F52</f>
        <v/>
      </c>
      <c r="H52" s="27">
        <f>IF(D52=0,"no arrivals",IF(G52&lt;1,"stable: seats free","over capacity"))</f>
        <v/>
      </c>
      <c r="I52" s="57">
        <f>'Sim Data'!$I$144</f>
        <v/>
      </c>
      <c r="J52" s="48">
        <f>D52*E52</f>
        <v/>
      </c>
      <c r="K52" s="49">
        <f>IF(MAX(I52,J52)&lt;5,"≈ 0",IF(J52=0,"no new diners",I52/J52))</f>
        <v/>
      </c>
      <c r="L52" s="54">
        <f>'Sim Data'!$E$162*'Sim Data'!$G$162</f>
        <v/>
      </c>
    </row>
    <row r="53" ht="21.95" customHeight="1">
      <c r="A53" s="14" t="inlineStr">
        <is>
          <t>Today (no screens)</t>
        </is>
      </c>
      <c r="B53" s="14" t="inlineStr">
        <is>
          <t>Munch Mess</t>
        </is>
      </c>
      <c r="C53" s="27" t="inlineStr">
        <is>
          <t>13:50</t>
        </is>
      </c>
      <c r="D53" s="54">
        <f>'Sim Data'!$E$145</f>
        <v/>
      </c>
      <c r="E53" s="54">
        <f>IF('Sim Data'!$G$145&gt;0,'Sim Data'!$G$145,('Assumptions'!$B$28+'Assumptions'!$B$29)/2)</f>
        <v/>
      </c>
      <c r="F53" s="61">
        <f>'Assumptions'!$B$27</f>
        <v/>
      </c>
      <c r="G53" s="58">
        <f>D53*E53/F53</f>
        <v/>
      </c>
      <c r="H53" s="27">
        <f>IF(D53=0,"no arrivals",IF(G53&lt;1,"stable: seats free","over capacity"))</f>
        <v/>
      </c>
      <c r="I53" s="57">
        <f>'Sim Data'!$I$145</f>
        <v/>
      </c>
      <c r="J53" s="48">
        <f>D53*E53</f>
        <v/>
      </c>
      <c r="K53" s="49">
        <f>IF(MAX(I53,J53)&lt;5,"≈ 0",IF(J53=0,"no new diners",I53/J53))</f>
        <v/>
      </c>
      <c r="L53" s="54">
        <f>'Sim Data'!$E$163*'Sim Data'!$G$163</f>
        <v/>
      </c>
    </row>
    <row r="54" ht="21.95" customHeight="1">
      <c r="A54" s="14" t="inlineStr">
        <is>
          <t>Today (no screens)</t>
        </is>
      </c>
      <c r="B54" s="14" t="inlineStr">
        <is>
          <t>Munch Mess</t>
        </is>
      </c>
      <c r="C54" s="27" t="inlineStr">
        <is>
          <t>14:00</t>
        </is>
      </c>
      <c r="D54" s="54">
        <f>'Sim Data'!$E$146</f>
        <v/>
      </c>
      <c r="E54" s="54">
        <f>IF('Sim Data'!$G$146&gt;0,'Sim Data'!$G$146,('Assumptions'!$B$28+'Assumptions'!$B$29)/2)</f>
        <v/>
      </c>
      <c r="F54" s="61">
        <f>'Assumptions'!$B$27</f>
        <v/>
      </c>
      <c r="G54" s="58">
        <f>D54*E54/F54</f>
        <v/>
      </c>
      <c r="H54" s="27">
        <f>IF(D54=0,"no arrivals",IF(G54&lt;1,"stable: seats free","over capacity"))</f>
        <v/>
      </c>
      <c r="I54" s="57">
        <f>'Sim Data'!$I$146</f>
        <v/>
      </c>
      <c r="J54" s="48">
        <f>D54*E54</f>
        <v/>
      </c>
      <c r="K54" s="49">
        <f>IF(MAX(I54,J54)&lt;5,"≈ 0",IF(J54=0,"no new diners",I54/J54))</f>
        <v/>
      </c>
      <c r="L54" s="54">
        <f>'Sim Data'!$E$164*'Sim Data'!$G$164</f>
        <v/>
      </c>
    </row>
    <row r="55" ht="21.95" customHeight="1">
      <c r="A55" s="14" t="inlineStr">
        <is>
          <t>Today (no screens)</t>
        </is>
      </c>
      <c r="B55" s="14" t="inlineStr">
        <is>
          <t>Munch Mess</t>
        </is>
      </c>
      <c r="C55" s="27" t="inlineStr">
        <is>
          <t>14:10</t>
        </is>
      </c>
      <c r="D55" s="54">
        <f>'Sim Data'!$E$147</f>
        <v/>
      </c>
      <c r="E55" s="54">
        <f>IF('Sim Data'!$G$147&gt;0,'Sim Data'!$G$147,('Assumptions'!$B$28+'Assumptions'!$B$29)/2)</f>
        <v/>
      </c>
      <c r="F55" s="61">
        <f>'Assumptions'!$B$27</f>
        <v/>
      </c>
      <c r="G55" s="58">
        <f>D55*E55/F55</f>
        <v/>
      </c>
      <c r="H55" s="27">
        <f>IF(D55=0,"no arrivals",IF(G55&lt;1,"stable: seats free","over capacity"))</f>
        <v/>
      </c>
      <c r="I55" s="57">
        <f>'Sim Data'!$I$147</f>
        <v/>
      </c>
      <c r="J55" s="48">
        <f>D55*E55</f>
        <v/>
      </c>
      <c r="K55" s="49">
        <f>IF(MAX(I55,J55)&lt;5,"≈ 0",IF(J55=0,"no new diners",I55/J55))</f>
        <v/>
      </c>
      <c r="L55" s="54">
        <f>'Sim Data'!$E$165*'Sim Data'!$G$165</f>
        <v/>
      </c>
    </row>
    <row r="56" ht="21.95" customHeight="1">
      <c r="A56" s="14" t="inlineStr">
        <is>
          <t>Today (no screens)</t>
        </is>
      </c>
      <c r="B56" s="14" t="inlineStr">
        <is>
          <t>Munch Mess</t>
        </is>
      </c>
      <c r="C56" s="27" t="inlineStr">
        <is>
          <t>14:20</t>
        </is>
      </c>
      <c r="D56" s="54">
        <f>'Sim Data'!$E$148</f>
        <v/>
      </c>
      <c r="E56" s="54">
        <f>IF('Sim Data'!$G$148&gt;0,'Sim Data'!$G$148,('Assumptions'!$B$28+'Assumptions'!$B$29)/2)</f>
        <v/>
      </c>
      <c r="F56" s="61">
        <f>'Assumptions'!$B$27</f>
        <v/>
      </c>
      <c r="G56" s="58">
        <f>D56*E56/F56</f>
        <v/>
      </c>
      <c r="H56" s="27">
        <f>IF(D56=0,"no arrivals",IF(G56&lt;1,"stable: seats free","over capacity"))</f>
        <v/>
      </c>
      <c r="I56" s="57">
        <f>'Sim Data'!$I$148</f>
        <v/>
      </c>
      <c r="J56" s="48">
        <f>D56*E56</f>
        <v/>
      </c>
      <c r="K56" s="49">
        <f>IF(MAX(I56,J56)&lt;5,"≈ 0",IF(J56=0,"no new diners",I56/J56))</f>
        <v/>
      </c>
      <c r="L56" s="54">
        <f>'Sim Data'!$E$166*'Sim Data'!$G$166</f>
        <v/>
      </c>
    </row>
    <row r="57" ht="21.95" customHeight="1">
      <c r="A57" s="14" t="inlineStr">
        <is>
          <t>With Smart Scan screens</t>
        </is>
      </c>
      <c r="B57" s="14" t="inlineStr">
        <is>
          <t>Central CT</t>
        </is>
      </c>
      <c r="C57" s="27" t="inlineStr">
        <is>
          <t>11:30</t>
        </is>
      </c>
      <c r="D57" s="54">
        <f>'Sim Data'!$E$221</f>
        <v/>
      </c>
      <c r="E57" s="54">
        <f>IF('Sim Data'!$G$221&gt;0,'Sim Data'!$G$221,('Assumptions'!$B$28+'Assumptions'!$B$29)/2)</f>
        <v/>
      </c>
      <c r="F57" s="61">
        <f>'Assumptions'!$B$26</f>
        <v/>
      </c>
      <c r="G57" s="58">
        <f>D57*E57/F57</f>
        <v/>
      </c>
      <c r="H57" s="27">
        <f>IF(D57=0,"no arrivals",IF(G57&lt;1,"stable: seats free","over capacity"))</f>
        <v/>
      </c>
      <c r="I57" s="57">
        <f>'Sim Data'!$I$221</f>
        <v/>
      </c>
      <c r="J57" s="48">
        <f>D57*E57</f>
        <v/>
      </c>
      <c r="K57" s="49">
        <f>IF(MAX(I57,J57)&lt;5,"≈ 0",IF(J57=0,"no new diners",I57/J57))</f>
        <v/>
      </c>
      <c r="L57" s="54">
        <f>'Sim Data'!$E$239*'Sim Data'!$G$239</f>
        <v/>
      </c>
    </row>
    <row r="58" ht="21.95" customHeight="1">
      <c r="A58" s="14" t="inlineStr">
        <is>
          <t>With Smart Scan screens</t>
        </is>
      </c>
      <c r="B58" s="14" t="inlineStr">
        <is>
          <t>Central CT</t>
        </is>
      </c>
      <c r="C58" s="27" t="inlineStr">
        <is>
          <t>11:40</t>
        </is>
      </c>
      <c r="D58" s="54">
        <f>'Sim Data'!$E$222</f>
        <v/>
      </c>
      <c r="E58" s="54">
        <f>IF('Sim Data'!$G$222&gt;0,'Sim Data'!$G$222,('Assumptions'!$B$28+'Assumptions'!$B$29)/2)</f>
        <v/>
      </c>
      <c r="F58" s="61">
        <f>'Assumptions'!$B$26</f>
        <v/>
      </c>
      <c r="G58" s="58">
        <f>D58*E58/F58</f>
        <v/>
      </c>
      <c r="H58" s="27">
        <f>IF(D58=0,"no arrivals",IF(G58&lt;1,"stable: seats free","over capacity"))</f>
        <v/>
      </c>
      <c r="I58" s="57">
        <f>'Sim Data'!$I$222</f>
        <v/>
      </c>
      <c r="J58" s="48">
        <f>D58*E58</f>
        <v/>
      </c>
      <c r="K58" s="49">
        <f>IF(MAX(I58,J58)&lt;5,"≈ 0",IF(J58=0,"no new diners",I58/J58))</f>
        <v/>
      </c>
      <c r="L58" s="54">
        <f>'Sim Data'!$E$240*'Sim Data'!$G$240</f>
        <v/>
      </c>
    </row>
    <row r="59" ht="21.95" customHeight="1">
      <c r="A59" s="14" t="inlineStr">
        <is>
          <t>With Smart Scan screens</t>
        </is>
      </c>
      <c r="B59" s="14" t="inlineStr">
        <is>
          <t>Central CT</t>
        </is>
      </c>
      <c r="C59" s="27" t="inlineStr">
        <is>
          <t>11:50</t>
        </is>
      </c>
      <c r="D59" s="54">
        <f>'Sim Data'!$E$223</f>
        <v/>
      </c>
      <c r="E59" s="54">
        <f>IF('Sim Data'!$G$223&gt;0,'Sim Data'!$G$223,('Assumptions'!$B$28+'Assumptions'!$B$29)/2)</f>
        <v/>
      </c>
      <c r="F59" s="61">
        <f>'Assumptions'!$B$26</f>
        <v/>
      </c>
      <c r="G59" s="58">
        <f>D59*E59/F59</f>
        <v/>
      </c>
      <c r="H59" s="27">
        <f>IF(D59=0,"no arrivals",IF(G59&lt;1,"stable: seats free","over capacity"))</f>
        <v/>
      </c>
      <c r="I59" s="57">
        <f>'Sim Data'!$I$223</f>
        <v/>
      </c>
      <c r="J59" s="48">
        <f>D59*E59</f>
        <v/>
      </c>
      <c r="K59" s="49">
        <f>IF(MAX(I59,J59)&lt;5,"≈ 0",IF(J59=0,"no new diners",I59/J59))</f>
        <v/>
      </c>
      <c r="L59" s="54">
        <f>'Sim Data'!$E$241*'Sim Data'!$G$241</f>
        <v/>
      </c>
    </row>
    <row r="60" ht="21.95" customHeight="1">
      <c r="A60" s="14" t="inlineStr">
        <is>
          <t>With Smart Scan screens</t>
        </is>
      </c>
      <c r="B60" s="14" t="inlineStr">
        <is>
          <t>Central CT</t>
        </is>
      </c>
      <c r="C60" s="27" t="inlineStr">
        <is>
          <t>12:00</t>
        </is>
      </c>
      <c r="D60" s="54">
        <f>'Sim Data'!$E$224</f>
        <v/>
      </c>
      <c r="E60" s="54">
        <f>IF('Sim Data'!$G$224&gt;0,'Sim Data'!$G$224,('Assumptions'!$B$28+'Assumptions'!$B$29)/2)</f>
        <v/>
      </c>
      <c r="F60" s="61">
        <f>'Assumptions'!$B$26</f>
        <v/>
      </c>
      <c r="G60" s="58">
        <f>D60*E60/F60</f>
        <v/>
      </c>
      <c r="H60" s="27">
        <f>IF(D60=0,"no arrivals",IF(G60&lt;1,"stable: seats free","over capacity"))</f>
        <v/>
      </c>
      <c r="I60" s="57">
        <f>'Sim Data'!$I$224</f>
        <v/>
      </c>
      <c r="J60" s="48">
        <f>D60*E60</f>
        <v/>
      </c>
      <c r="K60" s="49">
        <f>IF(MAX(I60,J60)&lt;5,"≈ 0",IF(J60=0,"no new diners",I60/J60))</f>
        <v/>
      </c>
      <c r="L60" s="54">
        <f>'Sim Data'!$E$242*'Sim Data'!$G$242</f>
        <v/>
      </c>
    </row>
    <row r="61" ht="21.95" customHeight="1">
      <c r="A61" s="14" t="inlineStr">
        <is>
          <t>With Smart Scan screens</t>
        </is>
      </c>
      <c r="B61" s="14" t="inlineStr">
        <is>
          <t>Central CT</t>
        </is>
      </c>
      <c r="C61" s="27" t="inlineStr">
        <is>
          <t>12:10</t>
        </is>
      </c>
      <c r="D61" s="54">
        <f>'Sim Data'!$E$225</f>
        <v/>
      </c>
      <c r="E61" s="54">
        <f>IF('Sim Data'!$G$225&gt;0,'Sim Data'!$G$225,('Assumptions'!$B$28+'Assumptions'!$B$29)/2)</f>
        <v/>
      </c>
      <c r="F61" s="61">
        <f>'Assumptions'!$B$26</f>
        <v/>
      </c>
      <c r="G61" s="58">
        <f>D61*E61/F61</f>
        <v/>
      </c>
      <c r="H61" s="27">
        <f>IF(D61=0,"no arrivals",IF(G61&lt;1,"stable: seats free","over capacity"))</f>
        <v/>
      </c>
      <c r="I61" s="57">
        <f>'Sim Data'!$I$225</f>
        <v/>
      </c>
      <c r="J61" s="48">
        <f>D61*E61</f>
        <v/>
      </c>
      <c r="K61" s="49">
        <f>IF(MAX(I61,J61)&lt;5,"≈ 0",IF(J61=0,"no new diners",I61/J61))</f>
        <v/>
      </c>
      <c r="L61" s="54">
        <f>'Sim Data'!$E$243*'Sim Data'!$G$243</f>
        <v/>
      </c>
    </row>
    <row r="62" ht="21.95" customHeight="1">
      <c r="A62" s="14" t="inlineStr">
        <is>
          <t>With Smart Scan screens</t>
        </is>
      </c>
      <c r="B62" s="14" t="inlineStr">
        <is>
          <t>Central CT</t>
        </is>
      </c>
      <c r="C62" s="27" t="inlineStr">
        <is>
          <t>12:20</t>
        </is>
      </c>
      <c r="D62" s="54">
        <f>'Sim Data'!$E$226</f>
        <v/>
      </c>
      <c r="E62" s="54">
        <f>IF('Sim Data'!$G$226&gt;0,'Sim Data'!$G$226,('Assumptions'!$B$28+'Assumptions'!$B$29)/2)</f>
        <v/>
      </c>
      <c r="F62" s="61">
        <f>'Assumptions'!$B$26</f>
        <v/>
      </c>
      <c r="G62" s="58">
        <f>D62*E62/F62</f>
        <v/>
      </c>
      <c r="H62" s="27">
        <f>IF(D62=0,"no arrivals",IF(G62&lt;1,"stable: seats free","over capacity"))</f>
        <v/>
      </c>
      <c r="I62" s="57">
        <f>'Sim Data'!$I$226</f>
        <v/>
      </c>
      <c r="J62" s="48">
        <f>D62*E62</f>
        <v/>
      </c>
      <c r="K62" s="49">
        <f>IF(MAX(I62,J62)&lt;5,"≈ 0",IF(J62=0,"no new diners",I62/J62))</f>
        <v/>
      </c>
      <c r="L62" s="54">
        <f>'Sim Data'!$E$244*'Sim Data'!$G$244</f>
        <v/>
      </c>
    </row>
    <row r="63" ht="21.95" customHeight="1">
      <c r="A63" s="14" t="inlineStr">
        <is>
          <t>With Smart Scan screens</t>
        </is>
      </c>
      <c r="B63" s="14" t="inlineStr">
        <is>
          <t>Central CT</t>
        </is>
      </c>
      <c r="C63" s="27" t="inlineStr">
        <is>
          <t>12:30</t>
        </is>
      </c>
      <c r="D63" s="54">
        <f>'Sim Data'!$E$227</f>
        <v/>
      </c>
      <c r="E63" s="54">
        <f>IF('Sim Data'!$G$227&gt;0,'Sim Data'!$G$227,('Assumptions'!$B$28+'Assumptions'!$B$29)/2)</f>
        <v/>
      </c>
      <c r="F63" s="61">
        <f>'Assumptions'!$B$26</f>
        <v/>
      </c>
      <c r="G63" s="58">
        <f>D63*E63/F63</f>
        <v/>
      </c>
      <c r="H63" s="27">
        <f>IF(D63=0,"no arrivals",IF(G63&lt;1,"stable: seats free","over capacity"))</f>
        <v/>
      </c>
      <c r="I63" s="57">
        <f>'Sim Data'!$I$227</f>
        <v/>
      </c>
      <c r="J63" s="48">
        <f>D63*E63</f>
        <v/>
      </c>
      <c r="K63" s="49">
        <f>IF(MAX(I63,J63)&lt;5,"≈ 0",IF(J63=0,"no new diners",I63/J63))</f>
        <v/>
      </c>
      <c r="L63" s="54">
        <f>'Sim Data'!$E$245*'Sim Data'!$G$245</f>
        <v/>
      </c>
    </row>
    <row r="64" ht="21.95" customHeight="1">
      <c r="A64" s="14" t="inlineStr">
        <is>
          <t>With Smart Scan screens</t>
        </is>
      </c>
      <c r="B64" s="14" t="inlineStr">
        <is>
          <t>Central CT</t>
        </is>
      </c>
      <c r="C64" s="27" t="inlineStr">
        <is>
          <t>12:40</t>
        </is>
      </c>
      <c r="D64" s="54">
        <f>'Sim Data'!$E$228</f>
        <v/>
      </c>
      <c r="E64" s="54">
        <f>IF('Sim Data'!$G$228&gt;0,'Sim Data'!$G$228,('Assumptions'!$B$28+'Assumptions'!$B$29)/2)</f>
        <v/>
      </c>
      <c r="F64" s="61">
        <f>'Assumptions'!$B$26</f>
        <v/>
      </c>
      <c r="G64" s="58">
        <f>D64*E64/F64</f>
        <v/>
      </c>
      <c r="H64" s="27">
        <f>IF(D64=0,"no arrivals",IF(G64&lt;1,"stable: seats free","over capacity"))</f>
        <v/>
      </c>
      <c r="I64" s="57">
        <f>'Sim Data'!$I$228</f>
        <v/>
      </c>
      <c r="J64" s="48">
        <f>D64*E64</f>
        <v/>
      </c>
      <c r="K64" s="49">
        <f>IF(MAX(I64,J64)&lt;5,"≈ 0",IF(J64=0,"no new diners",I64/J64))</f>
        <v/>
      </c>
      <c r="L64" s="54">
        <f>'Sim Data'!$E$246*'Sim Data'!$G$246</f>
        <v/>
      </c>
    </row>
    <row r="65" ht="21.95" customHeight="1">
      <c r="A65" s="14" t="inlineStr">
        <is>
          <t>With Smart Scan screens</t>
        </is>
      </c>
      <c r="B65" s="14" t="inlineStr">
        <is>
          <t>Central CT</t>
        </is>
      </c>
      <c r="C65" s="27" t="inlineStr">
        <is>
          <t>12:50</t>
        </is>
      </c>
      <c r="D65" s="54">
        <f>'Sim Data'!$E$229</f>
        <v/>
      </c>
      <c r="E65" s="54">
        <f>IF('Sim Data'!$G$229&gt;0,'Sim Data'!$G$229,('Assumptions'!$B$28+'Assumptions'!$B$29)/2)</f>
        <v/>
      </c>
      <c r="F65" s="61">
        <f>'Assumptions'!$B$26</f>
        <v/>
      </c>
      <c r="G65" s="58">
        <f>D65*E65/F65</f>
        <v/>
      </c>
      <c r="H65" s="27">
        <f>IF(D65=0,"no arrivals",IF(G65&lt;1,"stable: seats free","over capacity"))</f>
        <v/>
      </c>
      <c r="I65" s="57">
        <f>'Sim Data'!$I$229</f>
        <v/>
      </c>
      <c r="J65" s="48">
        <f>D65*E65</f>
        <v/>
      </c>
      <c r="K65" s="49">
        <f>IF(MAX(I65,J65)&lt;5,"≈ 0",IF(J65=0,"no new diners",I65/J65))</f>
        <v/>
      </c>
      <c r="L65" s="54">
        <f>'Sim Data'!$E$247*'Sim Data'!$G$247</f>
        <v/>
      </c>
    </row>
    <row r="66" ht="21.95" customHeight="1">
      <c r="A66" s="14" t="inlineStr">
        <is>
          <t>With Smart Scan screens</t>
        </is>
      </c>
      <c r="B66" s="14" t="inlineStr">
        <is>
          <t>Central CT</t>
        </is>
      </c>
      <c r="C66" s="27" t="inlineStr">
        <is>
          <t>13:00</t>
        </is>
      </c>
      <c r="D66" s="54">
        <f>'Sim Data'!$E$230</f>
        <v/>
      </c>
      <c r="E66" s="54">
        <f>IF('Sim Data'!$G$230&gt;0,'Sim Data'!$G$230,('Assumptions'!$B$28+'Assumptions'!$B$29)/2)</f>
        <v/>
      </c>
      <c r="F66" s="61">
        <f>'Assumptions'!$B$26</f>
        <v/>
      </c>
      <c r="G66" s="58">
        <f>D66*E66/F66</f>
        <v/>
      </c>
      <c r="H66" s="27">
        <f>IF(D66=0,"no arrivals",IF(G66&lt;1,"stable: seats free","over capacity"))</f>
        <v/>
      </c>
      <c r="I66" s="57">
        <f>'Sim Data'!$I$230</f>
        <v/>
      </c>
      <c r="J66" s="48">
        <f>D66*E66</f>
        <v/>
      </c>
      <c r="K66" s="49">
        <f>IF(MAX(I66,J66)&lt;5,"≈ 0",IF(J66=0,"no new diners",I66/J66))</f>
        <v/>
      </c>
      <c r="L66" s="54">
        <f>'Sim Data'!$E$248*'Sim Data'!$G$248</f>
        <v/>
      </c>
    </row>
    <row r="67" ht="21.95" customHeight="1">
      <c r="A67" s="14" t="inlineStr">
        <is>
          <t>With Smart Scan screens</t>
        </is>
      </c>
      <c r="B67" s="14" t="inlineStr">
        <is>
          <t>Central CT</t>
        </is>
      </c>
      <c r="C67" s="27" t="inlineStr">
        <is>
          <t>13:10</t>
        </is>
      </c>
      <c r="D67" s="54">
        <f>'Sim Data'!$E$231</f>
        <v/>
      </c>
      <c r="E67" s="54">
        <f>IF('Sim Data'!$G$231&gt;0,'Sim Data'!$G$231,('Assumptions'!$B$28+'Assumptions'!$B$29)/2)</f>
        <v/>
      </c>
      <c r="F67" s="61">
        <f>'Assumptions'!$B$26</f>
        <v/>
      </c>
      <c r="G67" s="58">
        <f>D67*E67/F67</f>
        <v/>
      </c>
      <c r="H67" s="27">
        <f>IF(D67=0,"no arrivals",IF(G67&lt;1,"stable: seats free","over capacity"))</f>
        <v/>
      </c>
      <c r="I67" s="57">
        <f>'Sim Data'!$I$231</f>
        <v/>
      </c>
      <c r="J67" s="48">
        <f>D67*E67</f>
        <v/>
      </c>
      <c r="K67" s="49">
        <f>IF(MAX(I67,J67)&lt;5,"≈ 0",IF(J67=0,"no new diners",I67/J67))</f>
        <v/>
      </c>
      <c r="L67" s="54">
        <f>'Sim Data'!$E$249*'Sim Data'!$G$249</f>
        <v/>
      </c>
    </row>
    <row r="68" ht="21.95" customHeight="1">
      <c r="A68" s="14" t="inlineStr">
        <is>
          <t>With Smart Scan screens</t>
        </is>
      </c>
      <c r="B68" s="14" t="inlineStr">
        <is>
          <t>Central CT</t>
        </is>
      </c>
      <c r="C68" s="27" t="inlineStr">
        <is>
          <t>13:20</t>
        </is>
      </c>
      <c r="D68" s="54">
        <f>'Sim Data'!$E$232</f>
        <v/>
      </c>
      <c r="E68" s="54">
        <f>IF('Sim Data'!$G$232&gt;0,'Sim Data'!$G$232,('Assumptions'!$B$28+'Assumptions'!$B$29)/2)</f>
        <v/>
      </c>
      <c r="F68" s="61">
        <f>'Assumptions'!$B$26</f>
        <v/>
      </c>
      <c r="G68" s="58">
        <f>D68*E68/F68</f>
        <v/>
      </c>
      <c r="H68" s="27">
        <f>IF(D68=0,"no arrivals",IF(G68&lt;1,"stable: seats free","over capacity"))</f>
        <v/>
      </c>
      <c r="I68" s="57">
        <f>'Sim Data'!$I$232</f>
        <v/>
      </c>
      <c r="J68" s="48">
        <f>D68*E68</f>
        <v/>
      </c>
      <c r="K68" s="49">
        <f>IF(MAX(I68,J68)&lt;5,"≈ 0",IF(J68=0,"no new diners",I68/J68))</f>
        <v/>
      </c>
      <c r="L68" s="54">
        <f>'Sim Data'!$E$250*'Sim Data'!$G$250</f>
        <v/>
      </c>
    </row>
    <row r="69" ht="21.95" customHeight="1">
      <c r="A69" s="14" t="inlineStr">
        <is>
          <t>With Smart Scan screens</t>
        </is>
      </c>
      <c r="B69" s="14" t="inlineStr">
        <is>
          <t>Central CT</t>
        </is>
      </c>
      <c r="C69" s="27" t="inlineStr">
        <is>
          <t>13:30</t>
        </is>
      </c>
      <c r="D69" s="54">
        <f>'Sim Data'!$E$233</f>
        <v/>
      </c>
      <c r="E69" s="54">
        <f>IF('Sim Data'!$G$233&gt;0,'Sim Data'!$G$233,('Assumptions'!$B$28+'Assumptions'!$B$29)/2)</f>
        <v/>
      </c>
      <c r="F69" s="61">
        <f>'Assumptions'!$B$26</f>
        <v/>
      </c>
      <c r="G69" s="58">
        <f>D69*E69/F69</f>
        <v/>
      </c>
      <c r="H69" s="27">
        <f>IF(D69=0,"no arrivals",IF(G69&lt;1,"stable: seats free","over capacity"))</f>
        <v/>
      </c>
      <c r="I69" s="57">
        <f>'Sim Data'!$I$233</f>
        <v/>
      </c>
      <c r="J69" s="48">
        <f>D69*E69</f>
        <v/>
      </c>
      <c r="K69" s="49">
        <f>IF(MAX(I69,J69)&lt;5,"≈ 0",IF(J69=0,"no new diners",I69/J69))</f>
        <v/>
      </c>
      <c r="L69" s="54">
        <f>'Sim Data'!$E$251*'Sim Data'!$G$251</f>
        <v/>
      </c>
    </row>
    <row r="70" ht="21.95" customHeight="1">
      <c r="A70" s="14" t="inlineStr">
        <is>
          <t>With Smart Scan screens</t>
        </is>
      </c>
      <c r="B70" s="14" t="inlineStr">
        <is>
          <t>Central CT</t>
        </is>
      </c>
      <c r="C70" s="27" t="inlineStr">
        <is>
          <t>13:40</t>
        </is>
      </c>
      <c r="D70" s="54">
        <f>'Sim Data'!$E$234</f>
        <v/>
      </c>
      <c r="E70" s="54">
        <f>IF('Sim Data'!$G$234&gt;0,'Sim Data'!$G$234,('Assumptions'!$B$28+'Assumptions'!$B$29)/2)</f>
        <v/>
      </c>
      <c r="F70" s="61">
        <f>'Assumptions'!$B$26</f>
        <v/>
      </c>
      <c r="G70" s="58">
        <f>D70*E70/F70</f>
        <v/>
      </c>
      <c r="H70" s="27">
        <f>IF(D70=0,"no arrivals",IF(G70&lt;1,"stable: seats free","over capacity"))</f>
        <v/>
      </c>
      <c r="I70" s="57">
        <f>'Sim Data'!$I$234</f>
        <v/>
      </c>
      <c r="J70" s="48">
        <f>D70*E70</f>
        <v/>
      </c>
      <c r="K70" s="49">
        <f>IF(MAX(I70,J70)&lt;5,"≈ 0",IF(J70=0,"no new diners",I70/J70))</f>
        <v/>
      </c>
      <c r="L70" s="54">
        <f>'Sim Data'!$E$252*'Sim Data'!$G$252</f>
        <v/>
      </c>
    </row>
    <row r="71" ht="21.95" customHeight="1">
      <c r="A71" s="14" t="inlineStr">
        <is>
          <t>With Smart Scan screens</t>
        </is>
      </c>
      <c r="B71" s="14" t="inlineStr">
        <is>
          <t>Central CT</t>
        </is>
      </c>
      <c r="C71" s="27" t="inlineStr">
        <is>
          <t>13:50</t>
        </is>
      </c>
      <c r="D71" s="54">
        <f>'Sim Data'!$E$235</f>
        <v/>
      </c>
      <c r="E71" s="54">
        <f>IF('Sim Data'!$G$235&gt;0,'Sim Data'!$G$235,('Assumptions'!$B$28+'Assumptions'!$B$29)/2)</f>
        <v/>
      </c>
      <c r="F71" s="61">
        <f>'Assumptions'!$B$26</f>
        <v/>
      </c>
      <c r="G71" s="58">
        <f>D71*E71/F71</f>
        <v/>
      </c>
      <c r="H71" s="27">
        <f>IF(D71=0,"no arrivals",IF(G71&lt;1,"stable: seats free","over capacity"))</f>
        <v/>
      </c>
      <c r="I71" s="57">
        <f>'Sim Data'!$I$235</f>
        <v/>
      </c>
      <c r="J71" s="48">
        <f>D71*E71</f>
        <v/>
      </c>
      <c r="K71" s="49">
        <f>IF(MAX(I71,J71)&lt;5,"≈ 0",IF(J71=0,"no new diners",I71/J71))</f>
        <v/>
      </c>
      <c r="L71" s="54">
        <f>'Sim Data'!$E$253*'Sim Data'!$G$253</f>
        <v/>
      </c>
    </row>
    <row r="72" ht="21.95" customHeight="1">
      <c r="A72" s="14" t="inlineStr">
        <is>
          <t>With Smart Scan screens</t>
        </is>
      </c>
      <c r="B72" s="14" t="inlineStr">
        <is>
          <t>Central CT</t>
        </is>
      </c>
      <c r="C72" s="27" t="inlineStr">
        <is>
          <t>14:00</t>
        </is>
      </c>
      <c r="D72" s="54">
        <f>'Sim Data'!$E$236</f>
        <v/>
      </c>
      <c r="E72" s="54">
        <f>IF('Sim Data'!$G$236&gt;0,'Sim Data'!$G$236,('Assumptions'!$B$28+'Assumptions'!$B$29)/2)</f>
        <v/>
      </c>
      <c r="F72" s="61">
        <f>'Assumptions'!$B$26</f>
        <v/>
      </c>
      <c r="G72" s="58">
        <f>D72*E72/F72</f>
        <v/>
      </c>
      <c r="H72" s="27">
        <f>IF(D72=0,"no arrivals",IF(G72&lt;1,"stable: seats free","over capacity"))</f>
        <v/>
      </c>
      <c r="I72" s="57">
        <f>'Sim Data'!$I$236</f>
        <v/>
      </c>
      <c r="J72" s="48">
        <f>D72*E72</f>
        <v/>
      </c>
      <c r="K72" s="49">
        <f>IF(MAX(I72,J72)&lt;5,"≈ 0",IF(J72=0,"no new diners",I72/J72))</f>
        <v/>
      </c>
      <c r="L72" s="54">
        <f>'Sim Data'!$E$254*'Sim Data'!$G$254</f>
        <v/>
      </c>
    </row>
    <row r="73" ht="21.95" customHeight="1">
      <c r="A73" s="14" t="inlineStr">
        <is>
          <t>With Smart Scan screens</t>
        </is>
      </c>
      <c r="B73" s="14" t="inlineStr">
        <is>
          <t>Central CT</t>
        </is>
      </c>
      <c r="C73" s="27" t="inlineStr">
        <is>
          <t>14:10</t>
        </is>
      </c>
      <c r="D73" s="54">
        <f>'Sim Data'!$E$237</f>
        <v/>
      </c>
      <c r="E73" s="54">
        <f>IF('Sim Data'!$G$237&gt;0,'Sim Data'!$G$237,('Assumptions'!$B$28+'Assumptions'!$B$29)/2)</f>
        <v/>
      </c>
      <c r="F73" s="61">
        <f>'Assumptions'!$B$26</f>
        <v/>
      </c>
      <c r="G73" s="58">
        <f>D73*E73/F73</f>
        <v/>
      </c>
      <c r="H73" s="27">
        <f>IF(D73=0,"no arrivals",IF(G73&lt;1,"stable: seats free","over capacity"))</f>
        <v/>
      </c>
      <c r="I73" s="57">
        <f>'Sim Data'!$I$237</f>
        <v/>
      </c>
      <c r="J73" s="48">
        <f>D73*E73</f>
        <v/>
      </c>
      <c r="K73" s="49">
        <f>IF(MAX(I73,J73)&lt;5,"≈ 0",IF(J73=0,"no new diners",I73/J73))</f>
        <v/>
      </c>
      <c r="L73" s="54">
        <f>'Sim Data'!$E$255*'Sim Data'!$G$255</f>
        <v/>
      </c>
    </row>
    <row r="74" ht="21.95" customHeight="1">
      <c r="A74" s="14" t="inlineStr">
        <is>
          <t>With Smart Scan screens</t>
        </is>
      </c>
      <c r="B74" s="14" t="inlineStr">
        <is>
          <t>Central CT</t>
        </is>
      </c>
      <c r="C74" s="27" t="inlineStr">
        <is>
          <t>14:20</t>
        </is>
      </c>
      <c r="D74" s="54">
        <f>'Sim Data'!$E$238</f>
        <v/>
      </c>
      <c r="E74" s="54">
        <f>IF('Sim Data'!$G$238&gt;0,'Sim Data'!$G$238,('Assumptions'!$B$28+'Assumptions'!$B$29)/2)</f>
        <v/>
      </c>
      <c r="F74" s="61">
        <f>'Assumptions'!$B$26</f>
        <v/>
      </c>
      <c r="G74" s="58">
        <f>D74*E74/F74</f>
        <v/>
      </c>
      <c r="H74" s="27">
        <f>IF(D74=0,"no arrivals",IF(G74&lt;1,"stable: seats free","over capacity"))</f>
        <v/>
      </c>
      <c r="I74" s="57">
        <f>'Sim Data'!$I$238</f>
        <v/>
      </c>
      <c r="J74" s="48">
        <f>D74*E74</f>
        <v/>
      </c>
      <c r="K74" s="49">
        <f>IF(MAX(I74,J74)&lt;5,"≈ 0",IF(J74=0,"no new diners",I74/J74))</f>
        <v/>
      </c>
      <c r="L74" s="54">
        <f>'Sim Data'!$E$256*'Sim Data'!$G$256</f>
        <v/>
      </c>
    </row>
    <row r="75" ht="21.95" customHeight="1">
      <c r="A75" s="14" t="inlineStr">
        <is>
          <t>With Smart Scan screens</t>
        </is>
      </c>
      <c r="B75" s="14" t="inlineStr">
        <is>
          <t>Munch Mess</t>
        </is>
      </c>
      <c r="C75" s="27" t="inlineStr">
        <is>
          <t>11:30</t>
        </is>
      </c>
      <c r="D75" s="54">
        <f>'Sim Data'!$E$311</f>
        <v/>
      </c>
      <c r="E75" s="54">
        <f>IF('Sim Data'!$G$311&gt;0,'Sim Data'!$G$311,('Assumptions'!$B$28+'Assumptions'!$B$29)/2)</f>
        <v/>
      </c>
      <c r="F75" s="61">
        <f>'Assumptions'!$B$27</f>
        <v/>
      </c>
      <c r="G75" s="58">
        <f>D75*E75/F75</f>
        <v/>
      </c>
      <c r="H75" s="27">
        <f>IF(D75=0,"no arrivals",IF(G75&lt;1,"stable: seats free","over capacity"))</f>
        <v/>
      </c>
      <c r="I75" s="57">
        <f>'Sim Data'!$I$311</f>
        <v/>
      </c>
      <c r="J75" s="48">
        <f>D75*E75</f>
        <v/>
      </c>
      <c r="K75" s="49">
        <f>IF(MAX(I75,J75)&lt;5,"≈ 0",IF(J75=0,"no new diners",I75/J75))</f>
        <v/>
      </c>
      <c r="L75" s="54">
        <f>'Sim Data'!$E$329*'Sim Data'!$G$329</f>
        <v/>
      </c>
    </row>
    <row r="76" ht="21.95" customHeight="1">
      <c r="A76" s="14" t="inlineStr">
        <is>
          <t>With Smart Scan screens</t>
        </is>
      </c>
      <c r="B76" s="14" t="inlineStr">
        <is>
          <t>Munch Mess</t>
        </is>
      </c>
      <c r="C76" s="27" t="inlineStr">
        <is>
          <t>11:40</t>
        </is>
      </c>
      <c r="D76" s="54">
        <f>'Sim Data'!$E$312</f>
        <v/>
      </c>
      <c r="E76" s="54">
        <f>IF('Sim Data'!$G$312&gt;0,'Sim Data'!$G$312,('Assumptions'!$B$28+'Assumptions'!$B$29)/2)</f>
        <v/>
      </c>
      <c r="F76" s="61">
        <f>'Assumptions'!$B$27</f>
        <v/>
      </c>
      <c r="G76" s="58">
        <f>D76*E76/F76</f>
        <v/>
      </c>
      <c r="H76" s="27">
        <f>IF(D76=0,"no arrivals",IF(G76&lt;1,"stable: seats free","over capacity"))</f>
        <v/>
      </c>
      <c r="I76" s="57">
        <f>'Sim Data'!$I$312</f>
        <v/>
      </c>
      <c r="J76" s="48">
        <f>D76*E76</f>
        <v/>
      </c>
      <c r="K76" s="49">
        <f>IF(MAX(I76,J76)&lt;5,"≈ 0",IF(J76=0,"no new diners",I76/J76))</f>
        <v/>
      </c>
      <c r="L76" s="54">
        <f>'Sim Data'!$E$330*'Sim Data'!$G$330</f>
        <v/>
      </c>
    </row>
    <row r="77" ht="21.95" customHeight="1">
      <c r="A77" s="14" t="inlineStr">
        <is>
          <t>With Smart Scan screens</t>
        </is>
      </c>
      <c r="B77" s="14" t="inlineStr">
        <is>
          <t>Munch Mess</t>
        </is>
      </c>
      <c r="C77" s="27" t="inlineStr">
        <is>
          <t>11:50</t>
        </is>
      </c>
      <c r="D77" s="54">
        <f>'Sim Data'!$E$313</f>
        <v/>
      </c>
      <c r="E77" s="54">
        <f>IF('Sim Data'!$G$313&gt;0,'Sim Data'!$G$313,('Assumptions'!$B$28+'Assumptions'!$B$29)/2)</f>
        <v/>
      </c>
      <c r="F77" s="61">
        <f>'Assumptions'!$B$27</f>
        <v/>
      </c>
      <c r="G77" s="58">
        <f>D77*E77/F77</f>
        <v/>
      </c>
      <c r="H77" s="27">
        <f>IF(D77=0,"no arrivals",IF(G77&lt;1,"stable: seats free","over capacity"))</f>
        <v/>
      </c>
      <c r="I77" s="57">
        <f>'Sim Data'!$I$313</f>
        <v/>
      </c>
      <c r="J77" s="48">
        <f>D77*E77</f>
        <v/>
      </c>
      <c r="K77" s="49">
        <f>IF(MAX(I77,J77)&lt;5,"≈ 0",IF(J77=0,"no new diners",I77/J77))</f>
        <v/>
      </c>
      <c r="L77" s="54">
        <f>'Sim Data'!$E$331*'Sim Data'!$G$331</f>
        <v/>
      </c>
    </row>
    <row r="78" ht="21.95" customHeight="1">
      <c r="A78" s="14" t="inlineStr">
        <is>
          <t>With Smart Scan screens</t>
        </is>
      </c>
      <c r="B78" s="14" t="inlineStr">
        <is>
          <t>Munch Mess</t>
        </is>
      </c>
      <c r="C78" s="27" t="inlineStr">
        <is>
          <t>12:00</t>
        </is>
      </c>
      <c r="D78" s="54">
        <f>'Sim Data'!$E$314</f>
        <v/>
      </c>
      <c r="E78" s="54">
        <f>IF('Sim Data'!$G$314&gt;0,'Sim Data'!$G$314,('Assumptions'!$B$28+'Assumptions'!$B$29)/2)</f>
        <v/>
      </c>
      <c r="F78" s="61">
        <f>'Assumptions'!$B$27</f>
        <v/>
      </c>
      <c r="G78" s="58">
        <f>D78*E78/F78</f>
        <v/>
      </c>
      <c r="H78" s="27">
        <f>IF(D78=0,"no arrivals",IF(G78&lt;1,"stable: seats free","over capacity"))</f>
        <v/>
      </c>
      <c r="I78" s="57">
        <f>'Sim Data'!$I$314</f>
        <v/>
      </c>
      <c r="J78" s="48">
        <f>D78*E78</f>
        <v/>
      </c>
      <c r="K78" s="49">
        <f>IF(MAX(I78,J78)&lt;5,"≈ 0",IF(J78=0,"no new diners",I78/J78))</f>
        <v/>
      </c>
      <c r="L78" s="54">
        <f>'Sim Data'!$E$332*'Sim Data'!$G$332</f>
        <v/>
      </c>
    </row>
    <row r="79" ht="21.95" customHeight="1">
      <c r="A79" s="14" t="inlineStr">
        <is>
          <t>With Smart Scan screens</t>
        </is>
      </c>
      <c r="B79" s="14" t="inlineStr">
        <is>
          <t>Munch Mess</t>
        </is>
      </c>
      <c r="C79" s="27" t="inlineStr">
        <is>
          <t>12:10</t>
        </is>
      </c>
      <c r="D79" s="54">
        <f>'Sim Data'!$E$315</f>
        <v/>
      </c>
      <c r="E79" s="54">
        <f>IF('Sim Data'!$G$315&gt;0,'Sim Data'!$G$315,('Assumptions'!$B$28+'Assumptions'!$B$29)/2)</f>
        <v/>
      </c>
      <c r="F79" s="61">
        <f>'Assumptions'!$B$27</f>
        <v/>
      </c>
      <c r="G79" s="58">
        <f>D79*E79/F79</f>
        <v/>
      </c>
      <c r="H79" s="27">
        <f>IF(D79=0,"no arrivals",IF(G79&lt;1,"stable: seats free","over capacity"))</f>
        <v/>
      </c>
      <c r="I79" s="57">
        <f>'Sim Data'!$I$315</f>
        <v/>
      </c>
      <c r="J79" s="48">
        <f>D79*E79</f>
        <v/>
      </c>
      <c r="K79" s="49">
        <f>IF(MAX(I79,J79)&lt;5,"≈ 0",IF(J79=0,"no new diners",I79/J79))</f>
        <v/>
      </c>
      <c r="L79" s="54">
        <f>'Sim Data'!$E$333*'Sim Data'!$G$333</f>
        <v/>
      </c>
    </row>
    <row r="80" ht="21.95" customHeight="1">
      <c r="A80" s="14" t="inlineStr">
        <is>
          <t>With Smart Scan screens</t>
        </is>
      </c>
      <c r="B80" s="14" t="inlineStr">
        <is>
          <t>Munch Mess</t>
        </is>
      </c>
      <c r="C80" s="27" t="inlineStr">
        <is>
          <t>12:20</t>
        </is>
      </c>
      <c r="D80" s="54">
        <f>'Sim Data'!$E$316</f>
        <v/>
      </c>
      <c r="E80" s="54">
        <f>IF('Sim Data'!$G$316&gt;0,'Sim Data'!$G$316,('Assumptions'!$B$28+'Assumptions'!$B$29)/2)</f>
        <v/>
      </c>
      <c r="F80" s="61">
        <f>'Assumptions'!$B$27</f>
        <v/>
      </c>
      <c r="G80" s="58">
        <f>D80*E80/F80</f>
        <v/>
      </c>
      <c r="H80" s="27">
        <f>IF(D80=0,"no arrivals",IF(G80&lt;1,"stable: seats free","over capacity"))</f>
        <v/>
      </c>
      <c r="I80" s="57">
        <f>'Sim Data'!$I$316</f>
        <v/>
      </c>
      <c r="J80" s="48">
        <f>D80*E80</f>
        <v/>
      </c>
      <c r="K80" s="49">
        <f>IF(MAX(I80,J80)&lt;5,"≈ 0",IF(J80=0,"no new diners",I80/J80))</f>
        <v/>
      </c>
      <c r="L80" s="54">
        <f>'Sim Data'!$E$334*'Sim Data'!$G$334</f>
        <v/>
      </c>
    </row>
    <row r="81" ht="21.95" customHeight="1">
      <c r="A81" s="14" t="inlineStr">
        <is>
          <t>With Smart Scan screens</t>
        </is>
      </c>
      <c r="B81" s="14" t="inlineStr">
        <is>
          <t>Munch Mess</t>
        </is>
      </c>
      <c r="C81" s="27" t="inlineStr">
        <is>
          <t>12:30</t>
        </is>
      </c>
      <c r="D81" s="54">
        <f>'Sim Data'!$E$317</f>
        <v/>
      </c>
      <c r="E81" s="54">
        <f>IF('Sim Data'!$G$317&gt;0,'Sim Data'!$G$317,('Assumptions'!$B$28+'Assumptions'!$B$29)/2)</f>
        <v/>
      </c>
      <c r="F81" s="61">
        <f>'Assumptions'!$B$27</f>
        <v/>
      </c>
      <c r="G81" s="58">
        <f>D81*E81/F81</f>
        <v/>
      </c>
      <c r="H81" s="27">
        <f>IF(D81=0,"no arrivals",IF(G81&lt;1,"stable: seats free","over capacity"))</f>
        <v/>
      </c>
      <c r="I81" s="57">
        <f>'Sim Data'!$I$317</f>
        <v/>
      </c>
      <c r="J81" s="48">
        <f>D81*E81</f>
        <v/>
      </c>
      <c r="K81" s="49">
        <f>IF(MAX(I81,J81)&lt;5,"≈ 0",IF(J81=0,"no new diners",I81/J81))</f>
        <v/>
      </c>
      <c r="L81" s="54">
        <f>'Sim Data'!$E$335*'Sim Data'!$G$335</f>
        <v/>
      </c>
    </row>
    <row r="82" ht="21.95" customHeight="1">
      <c r="A82" s="14" t="inlineStr">
        <is>
          <t>With Smart Scan screens</t>
        </is>
      </c>
      <c r="B82" s="14" t="inlineStr">
        <is>
          <t>Munch Mess</t>
        </is>
      </c>
      <c r="C82" s="27" t="inlineStr">
        <is>
          <t>12:40</t>
        </is>
      </c>
      <c r="D82" s="54">
        <f>'Sim Data'!$E$318</f>
        <v/>
      </c>
      <c r="E82" s="54">
        <f>IF('Sim Data'!$G$318&gt;0,'Sim Data'!$G$318,('Assumptions'!$B$28+'Assumptions'!$B$29)/2)</f>
        <v/>
      </c>
      <c r="F82" s="61">
        <f>'Assumptions'!$B$27</f>
        <v/>
      </c>
      <c r="G82" s="58">
        <f>D82*E82/F82</f>
        <v/>
      </c>
      <c r="H82" s="27">
        <f>IF(D82=0,"no arrivals",IF(G82&lt;1,"stable: seats free","over capacity"))</f>
        <v/>
      </c>
      <c r="I82" s="57">
        <f>'Sim Data'!$I$318</f>
        <v/>
      </c>
      <c r="J82" s="48">
        <f>D82*E82</f>
        <v/>
      </c>
      <c r="K82" s="49">
        <f>IF(MAX(I82,J82)&lt;5,"≈ 0",IF(J82=0,"no new diners",I82/J82))</f>
        <v/>
      </c>
      <c r="L82" s="54">
        <f>'Sim Data'!$E$336*'Sim Data'!$G$336</f>
        <v/>
      </c>
    </row>
    <row r="83" ht="21.95" customHeight="1">
      <c r="A83" s="14" t="inlineStr">
        <is>
          <t>With Smart Scan screens</t>
        </is>
      </c>
      <c r="B83" s="14" t="inlineStr">
        <is>
          <t>Munch Mess</t>
        </is>
      </c>
      <c r="C83" s="27" t="inlineStr">
        <is>
          <t>12:50</t>
        </is>
      </c>
      <c r="D83" s="54">
        <f>'Sim Data'!$E$319</f>
        <v/>
      </c>
      <c r="E83" s="54">
        <f>IF('Sim Data'!$G$319&gt;0,'Sim Data'!$G$319,('Assumptions'!$B$28+'Assumptions'!$B$29)/2)</f>
        <v/>
      </c>
      <c r="F83" s="61">
        <f>'Assumptions'!$B$27</f>
        <v/>
      </c>
      <c r="G83" s="58">
        <f>D83*E83/F83</f>
        <v/>
      </c>
      <c r="H83" s="27">
        <f>IF(D83=0,"no arrivals",IF(G83&lt;1,"stable: seats free","over capacity"))</f>
        <v/>
      </c>
      <c r="I83" s="57">
        <f>'Sim Data'!$I$319</f>
        <v/>
      </c>
      <c r="J83" s="48">
        <f>D83*E83</f>
        <v/>
      </c>
      <c r="K83" s="49">
        <f>IF(MAX(I83,J83)&lt;5,"≈ 0",IF(J83=0,"no new diners",I83/J83))</f>
        <v/>
      </c>
      <c r="L83" s="54">
        <f>'Sim Data'!$E$337*'Sim Data'!$G$337</f>
        <v/>
      </c>
    </row>
    <row r="84" ht="21.95" customHeight="1">
      <c r="A84" s="14" t="inlineStr">
        <is>
          <t>With Smart Scan screens</t>
        </is>
      </c>
      <c r="B84" s="14" t="inlineStr">
        <is>
          <t>Munch Mess</t>
        </is>
      </c>
      <c r="C84" s="27" t="inlineStr">
        <is>
          <t>13:00</t>
        </is>
      </c>
      <c r="D84" s="54">
        <f>'Sim Data'!$E$320</f>
        <v/>
      </c>
      <c r="E84" s="54">
        <f>IF('Sim Data'!$G$320&gt;0,'Sim Data'!$G$320,('Assumptions'!$B$28+'Assumptions'!$B$29)/2)</f>
        <v/>
      </c>
      <c r="F84" s="61">
        <f>'Assumptions'!$B$27</f>
        <v/>
      </c>
      <c r="G84" s="58">
        <f>D84*E84/F84</f>
        <v/>
      </c>
      <c r="H84" s="27">
        <f>IF(D84=0,"no arrivals",IF(G84&lt;1,"stable: seats free","over capacity"))</f>
        <v/>
      </c>
      <c r="I84" s="57">
        <f>'Sim Data'!$I$320</f>
        <v/>
      </c>
      <c r="J84" s="48">
        <f>D84*E84</f>
        <v/>
      </c>
      <c r="K84" s="49">
        <f>IF(MAX(I84,J84)&lt;5,"≈ 0",IF(J84=0,"no new diners",I84/J84))</f>
        <v/>
      </c>
      <c r="L84" s="54">
        <f>'Sim Data'!$E$338*'Sim Data'!$G$338</f>
        <v/>
      </c>
    </row>
    <row r="85" ht="21.95" customHeight="1">
      <c r="A85" s="14" t="inlineStr">
        <is>
          <t>With Smart Scan screens</t>
        </is>
      </c>
      <c r="B85" s="14" t="inlineStr">
        <is>
          <t>Munch Mess</t>
        </is>
      </c>
      <c r="C85" s="27" t="inlineStr">
        <is>
          <t>13:10</t>
        </is>
      </c>
      <c r="D85" s="54">
        <f>'Sim Data'!$E$321</f>
        <v/>
      </c>
      <c r="E85" s="54">
        <f>IF('Sim Data'!$G$321&gt;0,'Sim Data'!$G$321,('Assumptions'!$B$28+'Assumptions'!$B$29)/2)</f>
        <v/>
      </c>
      <c r="F85" s="61">
        <f>'Assumptions'!$B$27</f>
        <v/>
      </c>
      <c r="G85" s="58">
        <f>D85*E85/F85</f>
        <v/>
      </c>
      <c r="H85" s="27">
        <f>IF(D85=0,"no arrivals",IF(G85&lt;1,"stable: seats free","over capacity"))</f>
        <v/>
      </c>
      <c r="I85" s="57">
        <f>'Sim Data'!$I$321</f>
        <v/>
      </c>
      <c r="J85" s="48">
        <f>D85*E85</f>
        <v/>
      </c>
      <c r="K85" s="49">
        <f>IF(MAX(I85,J85)&lt;5,"≈ 0",IF(J85=0,"no new diners",I85/J85))</f>
        <v/>
      </c>
      <c r="L85" s="54">
        <f>'Sim Data'!$E$339*'Sim Data'!$G$339</f>
        <v/>
      </c>
    </row>
    <row r="86" ht="21.95" customHeight="1">
      <c r="A86" s="14" t="inlineStr">
        <is>
          <t>With Smart Scan screens</t>
        </is>
      </c>
      <c r="B86" s="14" t="inlineStr">
        <is>
          <t>Munch Mess</t>
        </is>
      </c>
      <c r="C86" s="27" t="inlineStr">
        <is>
          <t>13:20</t>
        </is>
      </c>
      <c r="D86" s="54">
        <f>'Sim Data'!$E$322</f>
        <v/>
      </c>
      <c r="E86" s="54">
        <f>IF('Sim Data'!$G$322&gt;0,'Sim Data'!$G$322,('Assumptions'!$B$28+'Assumptions'!$B$29)/2)</f>
        <v/>
      </c>
      <c r="F86" s="61">
        <f>'Assumptions'!$B$27</f>
        <v/>
      </c>
      <c r="G86" s="58">
        <f>D86*E86/F86</f>
        <v/>
      </c>
      <c r="H86" s="27">
        <f>IF(D86=0,"no arrivals",IF(G86&lt;1,"stable: seats free","over capacity"))</f>
        <v/>
      </c>
      <c r="I86" s="57">
        <f>'Sim Data'!$I$322</f>
        <v/>
      </c>
      <c r="J86" s="48">
        <f>D86*E86</f>
        <v/>
      </c>
      <c r="K86" s="49">
        <f>IF(MAX(I86,J86)&lt;5,"≈ 0",IF(J86=0,"no new diners",I86/J86))</f>
        <v/>
      </c>
      <c r="L86" s="54">
        <f>'Sim Data'!$E$340*'Sim Data'!$G$340</f>
        <v/>
      </c>
    </row>
    <row r="87" ht="21.95" customHeight="1">
      <c r="A87" s="14" t="inlineStr">
        <is>
          <t>With Smart Scan screens</t>
        </is>
      </c>
      <c r="B87" s="14" t="inlineStr">
        <is>
          <t>Munch Mess</t>
        </is>
      </c>
      <c r="C87" s="27" t="inlineStr">
        <is>
          <t>13:30</t>
        </is>
      </c>
      <c r="D87" s="54">
        <f>'Sim Data'!$E$323</f>
        <v/>
      </c>
      <c r="E87" s="54">
        <f>IF('Sim Data'!$G$323&gt;0,'Sim Data'!$G$323,('Assumptions'!$B$28+'Assumptions'!$B$29)/2)</f>
        <v/>
      </c>
      <c r="F87" s="61">
        <f>'Assumptions'!$B$27</f>
        <v/>
      </c>
      <c r="G87" s="58">
        <f>D87*E87/F87</f>
        <v/>
      </c>
      <c r="H87" s="27">
        <f>IF(D87=0,"no arrivals",IF(G87&lt;1,"stable: seats free","over capacity"))</f>
        <v/>
      </c>
      <c r="I87" s="57">
        <f>'Sim Data'!$I$323</f>
        <v/>
      </c>
      <c r="J87" s="48">
        <f>D87*E87</f>
        <v/>
      </c>
      <c r="K87" s="49">
        <f>IF(MAX(I87,J87)&lt;5,"≈ 0",IF(J87=0,"no new diners",I87/J87))</f>
        <v/>
      </c>
      <c r="L87" s="54">
        <f>'Sim Data'!$E$341*'Sim Data'!$G$341</f>
        <v/>
      </c>
    </row>
    <row r="88" ht="21.95" customHeight="1">
      <c r="A88" s="14" t="inlineStr">
        <is>
          <t>With Smart Scan screens</t>
        </is>
      </c>
      <c r="B88" s="14" t="inlineStr">
        <is>
          <t>Munch Mess</t>
        </is>
      </c>
      <c r="C88" s="27" t="inlineStr">
        <is>
          <t>13:40</t>
        </is>
      </c>
      <c r="D88" s="54">
        <f>'Sim Data'!$E$324</f>
        <v/>
      </c>
      <c r="E88" s="54">
        <f>IF('Sim Data'!$G$324&gt;0,'Sim Data'!$G$324,('Assumptions'!$B$28+'Assumptions'!$B$29)/2)</f>
        <v/>
      </c>
      <c r="F88" s="61">
        <f>'Assumptions'!$B$27</f>
        <v/>
      </c>
      <c r="G88" s="58">
        <f>D88*E88/F88</f>
        <v/>
      </c>
      <c r="H88" s="27">
        <f>IF(D88=0,"no arrivals",IF(G88&lt;1,"stable: seats free","over capacity"))</f>
        <v/>
      </c>
      <c r="I88" s="57">
        <f>'Sim Data'!$I$324</f>
        <v/>
      </c>
      <c r="J88" s="48">
        <f>D88*E88</f>
        <v/>
      </c>
      <c r="K88" s="49">
        <f>IF(MAX(I88,J88)&lt;5,"≈ 0",IF(J88=0,"no new diners",I88/J88))</f>
        <v/>
      </c>
      <c r="L88" s="54">
        <f>'Sim Data'!$E$342*'Sim Data'!$G$342</f>
        <v/>
      </c>
    </row>
    <row r="89" ht="21.95" customHeight="1">
      <c r="A89" s="14" t="inlineStr">
        <is>
          <t>With Smart Scan screens</t>
        </is>
      </c>
      <c r="B89" s="14" t="inlineStr">
        <is>
          <t>Munch Mess</t>
        </is>
      </c>
      <c r="C89" s="27" t="inlineStr">
        <is>
          <t>13:50</t>
        </is>
      </c>
      <c r="D89" s="54">
        <f>'Sim Data'!$E$325</f>
        <v/>
      </c>
      <c r="E89" s="54">
        <f>IF('Sim Data'!$G$325&gt;0,'Sim Data'!$G$325,('Assumptions'!$B$28+'Assumptions'!$B$29)/2)</f>
        <v/>
      </c>
      <c r="F89" s="61">
        <f>'Assumptions'!$B$27</f>
        <v/>
      </c>
      <c r="G89" s="58">
        <f>D89*E89/F89</f>
        <v/>
      </c>
      <c r="H89" s="27">
        <f>IF(D89=0,"no arrivals",IF(G89&lt;1,"stable: seats free","over capacity"))</f>
        <v/>
      </c>
      <c r="I89" s="57">
        <f>'Sim Data'!$I$325</f>
        <v/>
      </c>
      <c r="J89" s="48">
        <f>D89*E89</f>
        <v/>
      </c>
      <c r="K89" s="49">
        <f>IF(MAX(I89,J89)&lt;5,"≈ 0",IF(J89=0,"no new diners",I89/J89))</f>
        <v/>
      </c>
      <c r="L89" s="54">
        <f>'Sim Data'!$E$343*'Sim Data'!$G$343</f>
        <v/>
      </c>
    </row>
    <row r="90" ht="21.95" customHeight="1">
      <c r="A90" s="14" t="inlineStr">
        <is>
          <t>With Smart Scan screens</t>
        </is>
      </c>
      <c r="B90" s="14" t="inlineStr">
        <is>
          <t>Munch Mess</t>
        </is>
      </c>
      <c r="C90" s="27" t="inlineStr">
        <is>
          <t>14:00</t>
        </is>
      </c>
      <c r="D90" s="54">
        <f>'Sim Data'!$E$326</f>
        <v/>
      </c>
      <c r="E90" s="54">
        <f>IF('Sim Data'!$G$326&gt;0,'Sim Data'!$G$326,('Assumptions'!$B$28+'Assumptions'!$B$29)/2)</f>
        <v/>
      </c>
      <c r="F90" s="61">
        <f>'Assumptions'!$B$27</f>
        <v/>
      </c>
      <c r="G90" s="58">
        <f>D90*E90/F90</f>
        <v/>
      </c>
      <c r="H90" s="27">
        <f>IF(D90=0,"no arrivals",IF(G90&lt;1,"stable: seats free","over capacity"))</f>
        <v/>
      </c>
      <c r="I90" s="57">
        <f>'Sim Data'!$I$326</f>
        <v/>
      </c>
      <c r="J90" s="48">
        <f>D90*E90</f>
        <v/>
      </c>
      <c r="K90" s="49">
        <f>IF(MAX(I90,J90)&lt;5,"≈ 0",IF(J90=0,"no new diners",I90/J90))</f>
        <v/>
      </c>
      <c r="L90" s="54">
        <f>'Sim Data'!$E$344*'Sim Data'!$G$344</f>
        <v/>
      </c>
    </row>
    <row r="91" ht="21.95" customHeight="1">
      <c r="A91" s="14" t="inlineStr">
        <is>
          <t>With Smart Scan screens</t>
        </is>
      </c>
      <c r="B91" s="14" t="inlineStr">
        <is>
          <t>Munch Mess</t>
        </is>
      </c>
      <c r="C91" s="27" t="inlineStr">
        <is>
          <t>14:10</t>
        </is>
      </c>
      <c r="D91" s="54">
        <f>'Sim Data'!$E$327</f>
        <v/>
      </c>
      <c r="E91" s="54">
        <f>IF('Sim Data'!$G$327&gt;0,'Sim Data'!$G$327,('Assumptions'!$B$28+'Assumptions'!$B$29)/2)</f>
        <v/>
      </c>
      <c r="F91" s="61">
        <f>'Assumptions'!$B$27</f>
        <v/>
      </c>
      <c r="G91" s="58">
        <f>D91*E91/F91</f>
        <v/>
      </c>
      <c r="H91" s="27">
        <f>IF(D91=0,"no arrivals",IF(G91&lt;1,"stable: seats free","over capacity"))</f>
        <v/>
      </c>
      <c r="I91" s="57">
        <f>'Sim Data'!$I$327</f>
        <v/>
      </c>
      <c r="J91" s="48">
        <f>D91*E91</f>
        <v/>
      </c>
      <c r="K91" s="49">
        <f>IF(MAX(I91,J91)&lt;5,"≈ 0",IF(J91=0,"no new diners",I91/J91))</f>
        <v/>
      </c>
      <c r="L91" s="54">
        <f>'Sim Data'!$E$345*'Sim Data'!$G$345</f>
        <v/>
      </c>
    </row>
    <row r="92" ht="21.95" customHeight="1">
      <c r="A92" s="14" t="inlineStr">
        <is>
          <t>With Smart Scan screens</t>
        </is>
      </c>
      <c r="B92" s="14" t="inlineStr">
        <is>
          <t>Munch Mess</t>
        </is>
      </c>
      <c r="C92" s="27" t="inlineStr">
        <is>
          <t>14:20</t>
        </is>
      </c>
      <c r="D92" s="54">
        <f>'Sim Data'!$E$328</f>
        <v/>
      </c>
      <c r="E92" s="54">
        <f>IF('Sim Data'!$G$328&gt;0,'Sim Data'!$G$328,('Assumptions'!$B$28+'Assumptions'!$B$29)/2)</f>
        <v/>
      </c>
      <c r="F92" s="61">
        <f>'Assumptions'!$B$27</f>
        <v/>
      </c>
      <c r="G92" s="58">
        <f>D92*E92/F92</f>
        <v/>
      </c>
      <c r="H92" s="27">
        <f>IF(D92=0,"no arrivals",IF(G92&lt;1,"stable: seats free","over capacity"))</f>
        <v/>
      </c>
      <c r="I92" s="57">
        <f>'Sim Data'!$I$328</f>
        <v/>
      </c>
      <c r="J92" s="48">
        <f>D92*E92</f>
        <v/>
      </c>
      <c r="K92" s="49">
        <f>IF(MAX(I92,J92)&lt;5,"≈ 0",IF(J92=0,"no new diners",I92/J92))</f>
        <v/>
      </c>
      <c r="L92" s="54">
        <f>'Sim Data'!$E$346*'Sim Data'!$G$346</f>
        <v/>
      </c>
    </row>
  </sheetData>
  <autoFilter ref="A20:L92"/>
  <mergeCells count="1">
    <mergeCell ref="A11:F16"/>
  </mergeCells>
  <printOptions horizontalCentered="1"/>
  <pageMargins left="0.75" right="0.75" top="1" bottom="1" header="0.5" footer="0.5"/>
  <pageSetup orientation="landscape" fitToHeight="0" fitToWidth="1"/>
</worksheet>
</file>

<file path=xl/worksheets/sheet7.xml><?xml version="1.0" encoding="utf-8"?>
<worksheet xmlns="http://schemas.openxmlformats.org/spreadsheetml/2006/main">
  <sheetPr>
    <tabColor rgb="002F5597"/>
    <outlinePr summaryBelow="1" summaryRight="1"/>
    <pageSetUpPr fitToPage="1"/>
  </sheetPr>
  <dimension ref="A1:I104"/>
  <sheetViews>
    <sheetView showGridLines="0" tabSelected="0" zoomScale="100" workbookViewId="0">
      <pane xSplit="3" ySplit="10" topLeftCell="D11" activePane="bottomRight" state="frozen"/>
      <selection pane="topRight"/>
      <selection pane="bottomLeft"/>
      <selection pane="bottomRight" activeCell="A1" sqref="A1"/>
    </sheetView>
  </sheetViews>
  <sheetFormatPr baseColWidth="8" defaultRowHeight="15"/>
  <cols>
    <col width="24" customWidth="1" min="1" max="1"/>
    <col width="13" customWidth="1" min="2" max="2"/>
    <col width="8" customWidth="1" min="3" max="3"/>
    <col width="12" customWidth="1" min="4" max="4"/>
    <col width="12" customWidth="1" min="5" max="5"/>
    <col width="13" customWidth="1" min="6" max="6"/>
    <col width="11" customWidth="1" min="7" max="7"/>
    <col width="10" customWidth="1" min="8" max="8"/>
    <col width="44" customWidth="1" min="9" max="9"/>
  </cols>
  <sheetData>
    <row r="1" ht="36" customHeight="1">
      <c r="A1" s="1" t="inlineStr">
        <is>
          <t>Little's Law on the whole visit</t>
        </is>
      </c>
      <c r="B1" s="2" t="n"/>
      <c r="C1" s="2" t="n"/>
      <c r="D1" s="2" t="n"/>
      <c r="E1" s="2" t="n"/>
      <c r="F1" s="2" t="n"/>
      <c r="G1" s="2" t="n"/>
      <c r="H1" s="2" t="n"/>
      <c r="I1" s="2" t="n"/>
    </row>
    <row r="2" ht="22" customHeight="1">
      <c r="A2" s="3" t="inlineStr">
        <is>
          <t>L = λ × W: people inside equal arrivals per minute times minutes inside, whenever the mess is steady.</t>
        </is>
      </c>
    </row>
    <row r="3" ht="8" customHeight="1"/>
    <row r="4" ht="18" customHeight="1">
      <c r="A4" s="52" t="inlineStr">
        <is>
          <t>Takeaway: Slot by slot the mess is never perfectly steady, because arrivals follow the department lunch breaks. When L ÷ λW is well below 1 the mess is filling (the 12:00 and 13:00 surges); above 1, people from a busy slot are still inside while arrivals have dropped. Over the whole lunch the two sides agree (Checks). The queue tabs apply the same test to each process: where ρ ≥ 1 the line keeps growing and no steady state exists.</t>
        </is>
      </c>
    </row>
    <row r="5">
      <c r="A5" s="53" t="n"/>
    </row>
    <row r="6">
      <c r="A6" s="53" t="n"/>
    </row>
    <row r="7">
      <c r="A7" s="53" t="n"/>
    </row>
    <row r="8"/>
    <row r="9" ht="24.85" customHeight="1">
      <c r="A9" s="4" t="inlineStr">
        <is>
          <t>Slot by slot</t>
        </is>
      </c>
    </row>
    <row r="10" ht="53.85" customHeight="1">
      <c r="A10" s="7" t="inlineStr">
        <is>
          <t>Scenario</t>
        </is>
      </c>
      <c r="B10" s="7" t="inlineStr">
        <is>
          <t>Mess</t>
        </is>
      </c>
      <c r="C10" s="7" t="inlineStr">
        <is>
          <t>Slot</t>
        </is>
      </c>
      <c r="D10" s="7" t="inlineStr">
        <is>
          <t>λ arriving (/min)</t>
        </is>
      </c>
      <c r="E10" s="7" t="inlineStr">
        <is>
          <t>Visit time W (min)</t>
        </is>
      </c>
      <c r="F10" s="7" t="inlineStr">
        <is>
          <t>People inside (simulated L)</t>
        </is>
      </c>
      <c r="G10" s="7" t="inlineStr">
        <is>
          <t>λ × W</t>
        </is>
      </c>
      <c r="H10" s="7" t="inlineStr">
        <is>
          <t>L ÷ λW</t>
        </is>
      </c>
      <c r="I10" s="7" t="inlineStr">
        <is>
          <t>What it means</t>
        </is>
      </c>
    </row>
    <row r="11" ht="21.95" customHeight="1">
      <c r="A11" s="14" t="inlineStr">
        <is>
          <t>Today (no screens)</t>
        </is>
      </c>
      <c r="B11" s="14" t="inlineStr">
        <is>
          <t>Central CT</t>
        </is>
      </c>
      <c r="C11" s="27" t="inlineStr">
        <is>
          <t>11:30</t>
        </is>
      </c>
      <c r="D11" s="54">
        <f>'Sim Data'!$E$77</f>
        <v/>
      </c>
      <c r="E11" s="54">
        <f>'Sim Data'!$G$77</f>
        <v/>
      </c>
      <c r="F11" s="57">
        <f>'Sim Data'!$I$77</f>
        <v/>
      </c>
      <c r="G11" s="48">
        <f>D11*E11</f>
        <v/>
      </c>
      <c r="H11" s="49">
        <f>IF(MAX(F11,G11)&lt;10,"≈ 0",IF(G11=0,"no new arrivals",F11/G11))</f>
        <v/>
      </c>
      <c r="I11" s="14">
        <f>IF(D11=0,"",IF(ISNUMBER(H11),IF(ABS(H11-1)&lt;=0.15,"Steady: L = λW holds",IF(H11&lt;1,"Filling up: arrivals outpace people leaving","Emptying: people from earlier slots still inside")),IF(G11=0,"Emptying: no new arrivals","Almost empty")))</f>
        <v/>
      </c>
    </row>
    <row r="12" ht="21.95" customHeight="1">
      <c r="A12" s="14" t="inlineStr">
        <is>
          <t>Today (no screens)</t>
        </is>
      </c>
      <c r="B12" s="14" t="inlineStr">
        <is>
          <t>Central CT</t>
        </is>
      </c>
      <c r="C12" s="27" t="inlineStr">
        <is>
          <t>11:40</t>
        </is>
      </c>
      <c r="D12" s="54">
        <f>'Sim Data'!$E$78</f>
        <v/>
      </c>
      <c r="E12" s="54">
        <f>'Sim Data'!$G$78</f>
        <v/>
      </c>
      <c r="F12" s="57">
        <f>'Sim Data'!$I$78</f>
        <v/>
      </c>
      <c r="G12" s="48">
        <f>D12*E12</f>
        <v/>
      </c>
      <c r="H12" s="49">
        <f>IF(MAX(F12,G12)&lt;10,"≈ 0",IF(G12=0,"no new arrivals",F12/G12))</f>
        <v/>
      </c>
      <c r="I12" s="14">
        <f>IF(D12=0,"",IF(ISNUMBER(H12),IF(ABS(H12-1)&lt;=0.15,"Steady: L = λW holds",IF(H12&lt;1,"Filling up: arrivals outpace people leaving","Emptying: people from earlier slots still inside")),IF(G12=0,"Emptying: no new arrivals","Almost empty")))</f>
        <v/>
      </c>
    </row>
    <row r="13" ht="21.95" customHeight="1">
      <c r="A13" s="14" t="inlineStr">
        <is>
          <t>Today (no screens)</t>
        </is>
      </c>
      <c r="B13" s="14" t="inlineStr">
        <is>
          <t>Central CT</t>
        </is>
      </c>
      <c r="C13" s="27" t="inlineStr">
        <is>
          <t>11:50</t>
        </is>
      </c>
      <c r="D13" s="54">
        <f>'Sim Data'!$E$79</f>
        <v/>
      </c>
      <c r="E13" s="54">
        <f>'Sim Data'!$G$79</f>
        <v/>
      </c>
      <c r="F13" s="57">
        <f>'Sim Data'!$I$79</f>
        <v/>
      </c>
      <c r="G13" s="48">
        <f>D13*E13</f>
        <v/>
      </c>
      <c r="H13" s="49">
        <f>IF(MAX(F13,G13)&lt;10,"≈ 0",IF(G13=0,"no new arrivals",F13/G13))</f>
        <v/>
      </c>
      <c r="I13" s="14">
        <f>IF(D13=0,"",IF(ISNUMBER(H13),IF(ABS(H13-1)&lt;=0.15,"Steady: L = λW holds",IF(H13&lt;1,"Filling up: arrivals outpace people leaving","Emptying: people from earlier slots still inside")),IF(G13=0,"Emptying: no new arrivals","Almost empty")))</f>
        <v/>
      </c>
    </row>
    <row r="14" ht="21.95" customHeight="1">
      <c r="A14" s="14" t="inlineStr">
        <is>
          <t>Today (no screens)</t>
        </is>
      </c>
      <c r="B14" s="14" t="inlineStr">
        <is>
          <t>Central CT</t>
        </is>
      </c>
      <c r="C14" s="27" t="inlineStr">
        <is>
          <t>12:00</t>
        </is>
      </c>
      <c r="D14" s="54">
        <f>'Sim Data'!$E$80</f>
        <v/>
      </c>
      <c r="E14" s="54">
        <f>'Sim Data'!$G$80</f>
        <v/>
      </c>
      <c r="F14" s="57">
        <f>'Sim Data'!$I$80</f>
        <v/>
      </c>
      <c r="G14" s="48">
        <f>D14*E14</f>
        <v/>
      </c>
      <c r="H14" s="49">
        <f>IF(MAX(F14,G14)&lt;10,"≈ 0",IF(G14=0,"no new arrivals",F14/G14))</f>
        <v/>
      </c>
      <c r="I14" s="14">
        <f>IF(D14=0,"",IF(ISNUMBER(H14),IF(ABS(H14-1)&lt;=0.15,"Steady: L = λW holds",IF(H14&lt;1,"Filling up: arrivals outpace people leaving","Emptying: people from earlier slots still inside")),IF(G14=0,"Emptying: no new arrivals","Almost empty")))</f>
        <v/>
      </c>
    </row>
    <row r="15" ht="21.95" customHeight="1">
      <c r="A15" s="14" t="inlineStr">
        <is>
          <t>Today (no screens)</t>
        </is>
      </c>
      <c r="B15" s="14" t="inlineStr">
        <is>
          <t>Central CT</t>
        </is>
      </c>
      <c r="C15" s="27" t="inlineStr">
        <is>
          <t>12:10</t>
        </is>
      </c>
      <c r="D15" s="54">
        <f>'Sim Data'!$E$81</f>
        <v/>
      </c>
      <c r="E15" s="54">
        <f>'Sim Data'!$G$81</f>
        <v/>
      </c>
      <c r="F15" s="57">
        <f>'Sim Data'!$I$81</f>
        <v/>
      </c>
      <c r="G15" s="48">
        <f>D15*E15</f>
        <v/>
      </c>
      <c r="H15" s="49">
        <f>IF(MAX(F15,G15)&lt;10,"≈ 0",IF(G15=0,"no new arrivals",F15/G15))</f>
        <v/>
      </c>
      <c r="I15" s="14">
        <f>IF(D15=0,"",IF(ISNUMBER(H15),IF(ABS(H15-1)&lt;=0.15,"Steady: L = λW holds",IF(H15&lt;1,"Filling up: arrivals outpace people leaving","Emptying: people from earlier slots still inside")),IF(G15=0,"Emptying: no new arrivals","Almost empty")))</f>
        <v/>
      </c>
    </row>
    <row r="16" ht="21.95" customHeight="1">
      <c r="A16" s="14" t="inlineStr">
        <is>
          <t>Today (no screens)</t>
        </is>
      </c>
      <c r="B16" s="14" t="inlineStr">
        <is>
          <t>Central CT</t>
        </is>
      </c>
      <c r="C16" s="27" t="inlineStr">
        <is>
          <t>12:20</t>
        </is>
      </c>
      <c r="D16" s="54">
        <f>'Sim Data'!$E$82</f>
        <v/>
      </c>
      <c r="E16" s="54">
        <f>'Sim Data'!$G$82</f>
        <v/>
      </c>
      <c r="F16" s="57">
        <f>'Sim Data'!$I$82</f>
        <v/>
      </c>
      <c r="G16" s="48">
        <f>D16*E16</f>
        <v/>
      </c>
      <c r="H16" s="49">
        <f>IF(MAX(F16,G16)&lt;10,"≈ 0",IF(G16=0,"no new arrivals",F16/G16))</f>
        <v/>
      </c>
      <c r="I16" s="14">
        <f>IF(D16=0,"",IF(ISNUMBER(H16),IF(ABS(H16-1)&lt;=0.15,"Steady: L = λW holds",IF(H16&lt;1,"Filling up: arrivals outpace people leaving","Emptying: people from earlier slots still inside")),IF(G16=0,"Emptying: no new arrivals","Almost empty")))</f>
        <v/>
      </c>
    </row>
    <row r="17" ht="21.95" customHeight="1">
      <c r="A17" s="14" t="inlineStr">
        <is>
          <t>Today (no screens)</t>
        </is>
      </c>
      <c r="B17" s="14" t="inlineStr">
        <is>
          <t>Central CT</t>
        </is>
      </c>
      <c r="C17" s="27" t="inlineStr">
        <is>
          <t>12:30</t>
        </is>
      </c>
      <c r="D17" s="54">
        <f>'Sim Data'!$E$83</f>
        <v/>
      </c>
      <c r="E17" s="54">
        <f>'Sim Data'!$G$83</f>
        <v/>
      </c>
      <c r="F17" s="57">
        <f>'Sim Data'!$I$83</f>
        <v/>
      </c>
      <c r="G17" s="48">
        <f>D17*E17</f>
        <v/>
      </c>
      <c r="H17" s="49">
        <f>IF(MAX(F17,G17)&lt;10,"≈ 0",IF(G17=0,"no new arrivals",F17/G17))</f>
        <v/>
      </c>
      <c r="I17" s="14">
        <f>IF(D17=0,"",IF(ISNUMBER(H17),IF(ABS(H17-1)&lt;=0.15,"Steady: L = λW holds",IF(H17&lt;1,"Filling up: arrivals outpace people leaving","Emptying: people from earlier slots still inside")),IF(G17=0,"Emptying: no new arrivals","Almost empty")))</f>
        <v/>
      </c>
    </row>
    <row r="18" ht="21.95" customHeight="1">
      <c r="A18" s="14" t="inlineStr">
        <is>
          <t>Today (no screens)</t>
        </is>
      </c>
      <c r="B18" s="14" t="inlineStr">
        <is>
          <t>Central CT</t>
        </is>
      </c>
      <c r="C18" s="27" t="inlineStr">
        <is>
          <t>12:40</t>
        </is>
      </c>
      <c r="D18" s="54">
        <f>'Sim Data'!$E$84</f>
        <v/>
      </c>
      <c r="E18" s="54">
        <f>'Sim Data'!$G$84</f>
        <v/>
      </c>
      <c r="F18" s="57">
        <f>'Sim Data'!$I$84</f>
        <v/>
      </c>
      <c r="G18" s="48">
        <f>D18*E18</f>
        <v/>
      </c>
      <c r="H18" s="49">
        <f>IF(MAX(F18,G18)&lt;10,"≈ 0",IF(G18=0,"no new arrivals",F18/G18))</f>
        <v/>
      </c>
      <c r="I18" s="14">
        <f>IF(D18=0,"",IF(ISNUMBER(H18),IF(ABS(H18-1)&lt;=0.15,"Steady: L = λW holds",IF(H18&lt;1,"Filling up: arrivals outpace people leaving","Emptying: people from earlier slots still inside")),IF(G18=0,"Emptying: no new arrivals","Almost empty")))</f>
        <v/>
      </c>
    </row>
    <row r="19" ht="21.95" customHeight="1">
      <c r="A19" s="14" t="inlineStr">
        <is>
          <t>Today (no screens)</t>
        </is>
      </c>
      <c r="B19" s="14" t="inlineStr">
        <is>
          <t>Central CT</t>
        </is>
      </c>
      <c r="C19" s="27" t="inlineStr">
        <is>
          <t>12:50</t>
        </is>
      </c>
      <c r="D19" s="54">
        <f>'Sim Data'!$E$85</f>
        <v/>
      </c>
      <c r="E19" s="54">
        <f>'Sim Data'!$G$85</f>
        <v/>
      </c>
      <c r="F19" s="57">
        <f>'Sim Data'!$I$85</f>
        <v/>
      </c>
      <c r="G19" s="48">
        <f>D19*E19</f>
        <v/>
      </c>
      <c r="H19" s="49">
        <f>IF(MAX(F19,G19)&lt;10,"≈ 0",IF(G19=0,"no new arrivals",F19/G19))</f>
        <v/>
      </c>
      <c r="I19" s="14">
        <f>IF(D19=0,"",IF(ISNUMBER(H19),IF(ABS(H19-1)&lt;=0.15,"Steady: L = λW holds",IF(H19&lt;1,"Filling up: arrivals outpace people leaving","Emptying: people from earlier slots still inside")),IF(G19=0,"Emptying: no new arrivals","Almost empty")))</f>
        <v/>
      </c>
    </row>
    <row r="20" ht="21.95" customHeight="1">
      <c r="A20" s="14" t="inlineStr">
        <is>
          <t>Today (no screens)</t>
        </is>
      </c>
      <c r="B20" s="14" t="inlineStr">
        <is>
          <t>Central CT</t>
        </is>
      </c>
      <c r="C20" s="27" t="inlineStr">
        <is>
          <t>13:00</t>
        </is>
      </c>
      <c r="D20" s="54">
        <f>'Sim Data'!$E$86</f>
        <v/>
      </c>
      <c r="E20" s="54">
        <f>'Sim Data'!$G$86</f>
        <v/>
      </c>
      <c r="F20" s="57">
        <f>'Sim Data'!$I$86</f>
        <v/>
      </c>
      <c r="G20" s="48">
        <f>D20*E20</f>
        <v/>
      </c>
      <c r="H20" s="49">
        <f>IF(MAX(F20,G20)&lt;10,"≈ 0",IF(G20=0,"no new arrivals",F20/G20))</f>
        <v/>
      </c>
      <c r="I20" s="14">
        <f>IF(D20=0,"",IF(ISNUMBER(H20),IF(ABS(H20-1)&lt;=0.15,"Steady: L = λW holds",IF(H20&lt;1,"Filling up: arrivals outpace people leaving","Emptying: people from earlier slots still inside")),IF(G20=0,"Emptying: no new arrivals","Almost empty")))</f>
        <v/>
      </c>
    </row>
    <row r="21" ht="21.95" customHeight="1">
      <c r="A21" s="14" t="inlineStr">
        <is>
          <t>Today (no screens)</t>
        </is>
      </c>
      <c r="B21" s="14" t="inlineStr">
        <is>
          <t>Central CT</t>
        </is>
      </c>
      <c r="C21" s="27" t="inlineStr">
        <is>
          <t>13:10</t>
        </is>
      </c>
      <c r="D21" s="54">
        <f>'Sim Data'!$E$87</f>
        <v/>
      </c>
      <c r="E21" s="54">
        <f>'Sim Data'!$G$87</f>
        <v/>
      </c>
      <c r="F21" s="57">
        <f>'Sim Data'!$I$87</f>
        <v/>
      </c>
      <c r="G21" s="48">
        <f>D21*E21</f>
        <v/>
      </c>
      <c r="H21" s="49">
        <f>IF(MAX(F21,G21)&lt;10,"≈ 0",IF(G21=0,"no new arrivals",F21/G21))</f>
        <v/>
      </c>
      <c r="I21" s="14">
        <f>IF(D21=0,"",IF(ISNUMBER(H21),IF(ABS(H21-1)&lt;=0.15,"Steady: L = λW holds",IF(H21&lt;1,"Filling up: arrivals outpace people leaving","Emptying: people from earlier slots still inside")),IF(G21=0,"Emptying: no new arrivals","Almost empty")))</f>
        <v/>
      </c>
    </row>
    <row r="22" ht="21.95" customHeight="1">
      <c r="A22" s="14" t="inlineStr">
        <is>
          <t>Today (no screens)</t>
        </is>
      </c>
      <c r="B22" s="14" t="inlineStr">
        <is>
          <t>Central CT</t>
        </is>
      </c>
      <c r="C22" s="27" t="inlineStr">
        <is>
          <t>13:20</t>
        </is>
      </c>
      <c r="D22" s="54">
        <f>'Sim Data'!$E$88</f>
        <v/>
      </c>
      <c r="E22" s="54">
        <f>'Sim Data'!$G$88</f>
        <v/>
      </c>
      <c r="F22" s="57">
        <f>'Sim Data'!$I$88</f>
        <v/>
      </c>
      <c r="G22" s="48">
        <f>D22*E22</f>
        <v/>
      </c>
      <c r="H22" s="49">
        <f>IF(MAX(F22,G22)&lt;10,"≈ 0",IF(G22=0,"no new arrivals",F22/G22))</f>
        <v/>
      </c>
      <c r="I22" s="14">
        <f>IF(D22=0,"",IF(ISNUMBER(H22),IF(ABS(H22-1)&lt;=0.15,"Steady: L = λW holds",IF(H22&lt;1,"Filling up: arrivals outpace people leaving","Emptying: people from earlier slots still inside")),IF(G22=0,"Emptying: no new arrivals","Almost empty")))</f>
        <v/>
      </c>
    </row>
    <row r="23" ht="21.95" customHeight="1">
      <c r="A23" s="14" t="inlineStr">
        <is>
          <t>Today (no screens)</t>
        </is>
      </c>
      <c r="B23" s="14" t="inlineStr">
        <is>
          <t>Central CT</t>
        </is>
      </c>
      <c r="C23" s="27" t="inlineStr">
        <is>
          <t>13:30</t>
        </is>
      </c>
      <c r="D23" s="54">
        <f>'Sim Data'!$E$89</f>
        <v/>
      </c>
      <c r="E23" s="54">
        <f>'Sim Data'!$G$89</f>
        <v/>
      </c>
      <c r="F23" s="57">
        <f>'Sim Data'!$I$89</f>
        <v/>
      </c>
      <c r="G23" s="48">
        <f>D23*E23</f>
        <v/>
      </c>
      <c r="H23" s="49">
        <f>IF(MAX(F23,G23)&lt;10,"≈ 0",IF(G23=0,"no new arrivals",F23/G23))</f>
        <v/>
      </c>
      <c r="I23" s="14">
        <f>IF(D23=0,"",IF(ISNUMBER(H23),IF(ABS(H23-1)&lt;=0.15,"Steady: L = λW holds",IF(H23&lt;1,"Filling up: arrivals outpace people leaving","Emptying: people from earlier slots still inside")),IF(G23=0,"Emptying: no new arrivals","Almost empty")))</f>
        <v/>
      </c>
    </row>
    <row r="24" ht="21.95" customHeight="1">
      <c r="A24" s="14" t="inlineStr">
        <is>
          <t>Today (no screens)</t>
        </is>
      </c>
      <c r="B24" s="14" t="inlineStr">
        <is>
          <t>Central CT</t>
        </is>
      </c>
      <c r="C24" s="27" t="inlineStr">
        <is>
          <t>13:40</t>
        </is>
      </c>
      <c r="D24" s="54">
        <f>'Sim Data'!$E$90</f>
        <v/>
      </c>
      <c r="E24" s="54">
        <f>'Sim Data'!$G$90</f>
        <v/>
      </c>
      <c r="F24" s="57">
        <f>'Sim Data'!$I$90</f>
        <v/>
      </c>
      <c r="G24" s="48">
        <f>D24*E24</f>
        <v/>
      </c>
      <c r="H24" s="49">
        <f>IF(MAX(F24,G24)&lt;10,"≈ 0",IF(G24=0,"no new arrivals",F24/G24))</f>
        <v/>
      </c>
      <c r="I24" s="14">
        <f>IF(D24=0,"",IF(ISNUMBER(H24),IF(ABS(H24-1)&lt;=0.15,"Steady: L = λW holds",IF(H24&lt;1,"Filling up: arrivals outpace people leaving","Emptying: people from earlier slots still inside")),IF(G24=0,"Emptying: no new arrivals","Almost empty")))</f>
        <v/>
      </c>
    </row>
    <row r="25" ht="21.95" customHeight="1">
      <c r="A25" s="14" t="inlineStr">
        <is>
          <t>Today (no screens)</t>
        </is>
      </c>
      <c r="B25" s="14" t="inlineStr">
        <is>
          <t>Central CT</t>
        </is>
      </c>
      <c r="C25" s="27" t="inlineStr">
        <is>
          <t>13:50</t>
        </is>
      </c>
      <c r="D25" s="54">
        <f>'Sim Data'!$E$91</f>
        <v/>
      </c>
      <c r="E25" s="54">
        <f>'Sim Data'!$G$91</f>
        <v/>
      </c>
      <c r="F25" s="57">
        <f>'Sim Data'!$I$91</f>
        <v/>
      </c>
      <c r="G25" s="48">
        <f>D25*E25</f>
        <v/>
      </c>
      <c r="H25" s="49">
        <f>IF(MAX(F25,G25)&lt;10,"≈ 0",IF(G25=0,"no new arrivals",F25/G25))</f>
        <v/>
      </c>
      <c r="I25" s="14">
        <f>IF(D25=0,"",IF(ISNUMBER(H25),IF(ABS(H25-1)&lt;=0.15,"Steady: L = λW holds",IF(H25&lt;1,"Filling up: arrivals outpace people leaving","Emptying: people from earlier slots still inside")),IF(G25=0,"Emptying: no new arrivals","Almost empty")))</f>
        <v/>
      </c>
    </row>
    <row r="26" ht="21.95" customHeight="1">
      <c r="A26" s="14" t="inlineStr">
        <is>
          <t>Today (no screens)</t>
        </is>
      </c>
      <c r="B26" s="14" t="inlineStr">
        <is>
          <t>Central CT</t>
        </is>
      </c>
      <c r="C26" s="27" t="inlineStr">
        <is>
          <t>14:00</t>
        </is>
      </c>
      <c r="D26" s="54">
        <f>'Sim Data'!$E$92</f>
        <v/>
      </c>
      <c r="E26" s="54">
        <f>'Sim Data'!$G$92</f>
        <v/>
      </c>
      <c r="F26" s="57">
        <f>'Sim Data'!$I$92</f>
        <v/>
      </c>
      <c r="G26" s="48">
        <f>D26*E26</f>
        <v/>
      </c>
      <c r="H26" s="49">
        <f>IF(MAX(F26,G26)&lt;10,"≈ 0",IF(G26=0,"no new arrivals",F26/G26))</f>
        <v/>
      </c>
      <c r="I26" s="14">
        <f>IF(D26=0,"",IF(ISNUMBER(H26),IF(ABS(H26-1)&lt;=0.15,"Steady: L = λW holds",IF(H26&lt;1,"Filling up: arrivals outpace people leaving","Emptying: people from earlier slots still inside")),IF(G26=0,"Emptying: no new arrivals","Almost empty")))</f>
        <v/>
      </c>
    </row>
    <row r="27" ht="21.95" customHeight="1">
      <c r="A27" s="14" t="inlineStr">
        <is>
          <t>Today (no screens)</t>
        </is>
      </c>
      <c r="B27" s="14" t="inlineStr">
        <is>
          <t>Central CT</t>
        </is>
      </c>
      <c r="C27" s="27" t="inlineStr">
        <is>
          <t>14:10</t>
        </is>
      </c>
      <c r="D27" s="54">
        <f>'Sim Data'!$E$93</f>
        <v/>
      </c>
      <c r="E27" s="54">
        <f>'Sim Data'!$G$93</f>
        <v/>
      </c>
      <c r="F27" s="57">
        <f>'Sim Data'!$I$93</f>
        <v/>
      </c>
      <c r="G27" s="48">
        <f>D27*E27</f>
        <v/>
      </c>
      <c r="H27" s="49">
        <f>IF(MAX(F27,G27)&lt;10,"≈ 0",IF(G27=0,"no new arrivals",F27/G27))</f>
        <v/>
      </c>
      <c r="I27" s="14">
        <f>IF(D27=0,"",IF(ISNUMBER(H27),IF(ABS(H27-1)&lt;=0.15,"Steady: L = λW holds",IF(H27&lt;1,"Filling up: arrivals outpace people leaving","Emptying: people from earlier slots still inside")),IF(G27=0,"Emptying: no new arrivals","Almost empty")))</f>
        <v/>
      </c>
    </row>
    <row r="28" ht="21.95" customHeight="1">
      <c r="A28" s="14" t="inlineStr">
        <is>
          <t>Today (no screens)</t>
        </is>
      </c>
      <c r="B28" s="14" t="inlineStr">
        <is>
          <t>Central CT</t>
        </is>
      </c>
      <c r="C28" s="27" t="inlineStr">
        <is>
          <t>14:20</t>
        </is>
      </c>
      <c r="D28" s="54">
        <f>'Sim Data'!$E$94</f>
        <v/>
      </c>
      <c r="E28" s="54">
        <f>'Sim Data'!$G$94</f>
        <v/>
      </c>
      <c r="F28" s="57">
        <f>'Sim Data'!$I$94</f>
        <v/>
      </c>
      <c r="G28" s="48">
        <f>D28*E28</f>
        <v/>
      </c>
      <c r="H28" s="49">
        <f>IF(MAX(F28,G28)&lt;10,"≈ 0",IF(G28=0,"no new arrivals",F28/G28))</f>
        <v/>
      </c>
      <c r="I28" s="14">
        <f>IF(D28=0,"",IF(ISNUMBER(H28),IF(ABS(H28-1)&lt;=0.15,"Steady: L = λW holds",IF(H28&lt;1,"Filling up: arrivals outpace people leaving","Emptying: people from earlier slots still inside")),IF(G28=0,"Emptying: no new arrivals","Almost empty")))</f>
        <v/>
      </c>
    </row>
    <row r="29" ht="21.95" customHeight="1">
      <c r="A29" s="14" t="inlineStr">
        <is>
          <t>Today (no screens)</t>
        </is>
      </c>
      <c r="B29" s="14" t="inlineStr">
        <is>
          <t>Munch Mess</t>
        </is>
      </c>
      <c r="C29" s="27" t="inlineStr">
        <is>
          <t>11:30</t>
        </is>
      </c>
      <c r="D29" s="54">
        <f>'Sim Data'!$E$167</f>
        <v/>
      </c>
      <c r="E29" s="54">
        <f>'Sim Data'!$G$167</f>
        <v/>
      </c>
      <c r="F29" s="57">
        <f>'Sim Data'!$I$167</f>
        <v/>
      </c>
      <c r="G29" s="48">
        <f>D29*E29</f>
        <v/>
      </c>
      <c r="H29" s="49">
        <f>IF(MAX(F29,G29)&lt;10,"≈ 0",IF(G29=0,"no new arrivals",F29/G29))</f>
        <v/>
      </c>
      <c r="I29" s="14">
        <f>IF(D29=0,"",IF(ISNUMBER(H29),IF(ABS(H29-1)&lt;=0.15,"Steady: L = λW holds",IF(H29&lt;1,"Filling up: arrivals outpace people leaving","Emptying: people from earlier slots still inside")),IF(G29=0,"Emptying: no new arrivals","Almost empty")))</f>
        <v/>
      </c>
    </row>
    <row r="30" ht="21.95" customHeight="1">
      <c r="A30" s="14" t="inlineStr">
        <is>
          <t>Today (no screens)</t>
        </is>
      </c>
      <c r="B30" s="14" t="inlineStr">
        <is>
          <t>Munch Mess</t>
        </is>
      </c>
      <c r="C30" s="27" t="inlineStr">
        <is>
          <t>11:40</t>
        </is>
      </c>
      <c r="D30" s="54">
        <f>'Sim Data'!$E$168</f>
        <v/>
      </c>
      <c r="E30" s="54">
        <f>'Sim Data'!$G$168</f>
        <v/>
      </c>
      <c r="F30" s="57">
        <f>'Sim Data'!$I$168</f>
        <v/>
      </c>
      <c r="G30" s="48">
        <f>D30*E30</f>
        <v/>
      </c>
      <c r="H30" s="49">
        <f>IF(MAX(F30,G30)&lt;10,"≈ 0",IF(G30=0,"no new arrivals",F30/G30))</f>
        <v/>
      </c>
      <c r="I30" s="14">
        <f>IF(D30=0,"",IF(ISNUMBER(H30),IF(ABS(H30-1)&lt;=0.15,"Steady: L = λW holds",IF(H30&lt;1,"Filling up: arrivals outpace people leaving","Emptying: people from earlier slots still inside")),IF(G30=0,"Emptying: no new arrivals","Almost empty")))</f>
        <v/>
      </c>
    </row>
    <row r="31" ht="21.95" customHeight="1">
      <c r="A31" s="14" t="inlineStr">
        <is>
          <t>Today (no screens)</t>
        </is>
      </c>
      <c r="B31" s="14" t="inlineStr">
        <is>
          <t>Munch Mess</t>
        </is>
      </c>
      <c r="C31" s="27" t="inlineStr">
        <is>
          <t>11:50</t>
        </is>
      </c>
      <c r="D31" s="54">
        <f>'Sim Data'!$E$169</f>
        <v/>
      </c>
      <c r="E31" s="54">
        <f>'Sim Data'!$G$169</f>
        <v/>
      </c>
      <c r="F31" s="57">
        <f>'Sim Data'!$I$169</f>
        <v/>
      </c>
      <c r="G31" s="48">
        <f>D31*E31</f>
        <v/>
      </c>
      <c r="H31" s="49">
        <f>IF(MAX(F31,G31)&lt;10,"≈ 0",IF(G31=0,"no new arrivals",F31/G31))</f>
        <v/>
      </c>
      <c r="I31" s="14">
        <f>IF(D31=0,"",IF(ISNUMBER(H31),IF(ABS(H31-1)&lt;=0.15,"Steady: L = λW holds",IF(H31&lt;1,"Filling up: arrivals outpace people leaving","Emptying: people from earlier slots still inside")),IF(G31=0,"Emptying: no new arrivals","Almost empty")))</f>
        <v/>
      </c>
    </row>
    <row r="32" ht="21.95" customHeight="1">
      <c r="A32" s="14" t="inlineStr">
        <is>
          <t>Today (no screens)</t>
        </is>
      </c>
      <c r="B32" s="14" t="inlineStr">
        <is>
          <t>Munch Mess</t>
        </is>
      </c>
      <c r="C32" s="27" t="inlineStr">
        <is>
          <t>12:00</t>
        </is>
      </c>
      <c r="D32" s="54">
        <f>'Sim Data'!$E$170</f>
        <v/>
      </c>
      <c r="E32" s="54">
        <f>'Sim Data'!$G$170</f>
        <v/>
      </c>
      <c r="F32" s="57">
        <f>'Sim Data'!$I$170</f>
        <v/>
      </c>
      <c r="G32" s="48">
        <f>D32*E32</f>
        <v/>
      </c>
      <c r="H32" s="49">
        <f>IF(MAX(F32,G32)&lt;10,"≈ 0",IF(G32=0,"no new arrivals",F32/G32))</f>
        <v/>
      </c>
      <c r="I32" s="14">
        <f>IF(D32=0,"",IF(ISNUMBER(H32),IF(ABS(H32-1)&lt;=0.15,"Steady: L = λW holds",IF(H32&lt;1,"Filling up: arrivals outpace people leaving","Emptying: people from earlier slots still inside")),IF(G32=0,"Emptying: no new arrivals","Almost empty")))</f>
        <v/>
      </c>
    </row>
    <row r="33" ht="21.95" customHeight="1">
      <c r="A33" s="14" t="inlineStr">
        <is>
          <t>Today (no screens)</t>
        </is>
      </c>
      <c r="B33" s="14" t="inlineStr">
        <is>
          <t>Munch Mess</t>
        </is>
      </c>
      <c r="C33" s="27" t="inlineStr">
        <is>
          <t>12:10</t>
        </is>
      </c>
      <c r="D33" s="54">
        <f>'Sim Data'!$E$171</f>
        <v/>
      </c>
      <c r="E33" s="54">
        <f>'Sim Data'!$G$171</f>
        <v/>
      </c>
      <c r="F33" s="57">
        <f>'Sim Data'!$I$171</f>
        <v/>
      </c>
      <c r="G33" s="48">
        <f>D33*E33</f>
        <v/>
      </c>
      <c r="H33" s="49">
        <f>IF(MAX(F33,G33)&lt;10,"≈ 0",IF(G33=0,"no new arrivals",F33/G33))</f>
        <v/>
      </c>
      <c r="I33" s="14">
        <f>IF(D33=0,"",IF(ISNUMBER(H33),IF(ABS(H33-1)&lt;=0.15,"Steady: L = λW holds",IF(H33&lt;1,"Filling up: arrivals outpace people leaving","Emptying: people from earlier slots still inside")),IF(G33=0,"Emptying: no new arrivals","Almost empty")))</f>
        <v/>
      </c>
    </row>
    <row r="34" ht="21.95" customHeight="1">
      <c r="A34" s="14" t="inlineStr">
        <is>
          <t>Today (no screens)</t>
        </is>
      </c>
      <c r="B34" s="14" t="inlineStr">
        <is>
          <t>Munch Mess</t>
        </is>
      </c>
      <c r="C34" s="27" t="inlineStr">
        <is>
          <t>12:20</t>
        </is>
      </c>
      <c r="D34" s="54">
        <f>'Sim Data'!$E$172</f>
        <v/>
      </c>
      <c r="E34" s="54">
        <f>'Sim Data'!$G$172</f>
        <v/>
      </c>
      <c r="F34" s="57">
        <f>'Sim Data'!$I$172</f>
        <v/>
      </c>
      <c r="G34" s="48">
        <f>D34*E34</f>
        <v/>
      </c>
      <c r="H34" s="49">
        <f>IF(MAX(F34,G34)&lt;10,"≈ 0",IF(G34=0,"no new arrivals",F34/G34))</f>
        <v/>
      </c>
      <c r="I34" s="14">
        <f>IF(D34=0,"",IF(ISNUMBER(H34),IF(ABS(H34-1)&lt;=0.15,"Steady: L = λW holds",IF(H34&lt;1,"Filling up: arrivals outpace people leaving","Emptying: people from earlier slots still inside")),IF(G34=0,"Emptying: no new arrivals","Almost empty")))</f>
        <v/>
      </c>
    </row>
    <row r="35" ht="21.95" customHeight="1">
      <c r="A35" s="14" t="inlineStr">
        <is>
          <t>Today (no screens)</t>
        </is>
      </c>
      <c r="B35" s="14" t="inlineStr">
        <is>
          <t>Munch Mess</t>
        </is>
      </c>
      <c r="C35" s="27" t="inlineStr">
        <is>
          <t>12:30</t>
        </is>
      </c>
      <c r="D35" s="54">
        <f>'Sim Data'!$E$173</f>
        <v/>
      </c>
      <c r="E35" s="54">
        <f>'Sim Data'!$G$173</f>
        <v/>
      </c>
      <c r="F35" s="57">
        <f>'Sim Data'!$I$173</f>
        <v/>
      </c>
      <c r="G35" s="48">
        <f>D35*E35</f>
        <v/>
      </c>
      <c r="H35" s="49">
        <f>IF(MAX(F35,G35)&lt;10,"≈ 0",IF(G35=0,"no new arrivals",F35/G35))</f>
        <v/>
      </c>
      <c r="I35" s="14">
        <f>IF(D35=0,"",IF(ISNUMBER(H35),IF(ABS(H35-1)&lt;=0.15,"Steady: L = λW holds",IF(H35&lt;1,"Filling up: arrivals outpace people leaving","Emptying: people from earlier slots still inside")),IF(G35=0,"Emptying: no new arrivals","Almost empty")))</f>
        <v/>
      </c>
    </row>
    <row r="36" ht="21.95" customHeight="1">
      <c r="A36" s="14" t="inlineStr">
        <is>
          <t>Today (no screens)</t>
        </is>
      </c>
      <c r="B36" s="14" t="inlineStr">
        <is>
          <t>Munch Mess</t>
        </is>
      </c>
      <c r="C36" s="27" t="inlineStr">
        <is>
          <t>12:40</t>
        </is>
      </c>
      <c r="D36" s="54">
        <f>'Sim Data'!$E$174</f>
        <v/>
      </c>
      <c r="E36" s="54">
        <f>'Sim Data'!$G$174</f>
        <v/>
      </c>
      <c r="F36" s="57">
        <f>'Sim Data'!$I$174</f>
        <v/>
      </c>
      <c r="G36" s="48">
        <f>D36*E36</f>
        <v/>
      </c>
      <c r="H36" s="49">
        <f>IF(MAX(F36,G36)&lt;10,"≈ 0",IF(G36=0,"no new arrivals",F36/G36))</f>
        <v/>
      </c>
      <c r="I36" s="14">
        <f>IF(D36=0,"",IF(ISNUMBER(H36),IF(ABS(H36-1)&lt;=0.15,"Steady: L = λW holds",IF(H36&lt;1,"Filling up: arrivals outpace people leaving","Emptying: people from earlier slots still inside")),IF(G36=0,"Emptying: no new arrivals","Almost empty")))</f>
        <v/>
      </c>
    </row>
    <row r="37" ht="21.95" customHeight="1">
      <c r="A37" s="14" t="inlineStr">
        <is>
          <t>Today (no screens)</t>
        </is>
      </c>
      <c r="B37" s="14" t="inlineStr">
        <is>
          <t>Munch Mess</t>
        </is>
      </c>
      <c r="C37" s="27" t="inlineStr">
        <is>
          <t>12:50</t>
        </is>
      </c>
      <c r="D37" s="54">
        <f>'Sim Data'!$E$175</f>
        <v/>
      </c>
      <c r="E37" s="54">
        <f>'Sim Data'!$G$175</f>
        <v/>
      </c>
      <c r="F37" s="57">
        <f>'Sim Data'!$I$175</f>
        <v/>
      </c>
      <c r="G37" s="48">
        <f>D37*E37</f>
        <v/>
      </c>
      <c r="H37" s="49">
        <f>IF(MAX(F37,G37)&lt;10,"≈ 0",IF(G37=0,"no new arrivals",F37/G37))</f>
        <v/>
      </c>
      <c r="I37" s="14">
        <f>IF(D37=0,"",IF(ISNUMBER(H37),IF(ABS(H37-1)&lt;=0.15,"Steady: L = λW holds",IF(H37&lt;1,"Filling up: arrivals outpace people leaving","Emptying: people from earlier slots still inside")),IF(G37=0,"Emptying: no new arrivals","Almost empty")))</f>
        <v/>
      </c>
    </row>
    <row r="38" ht="21.95" customHeight="1">
      <c r="A38" s="14" t="inlineStr">
        <is>
          <t>Today (no screens)</t>
        </is>
      </c>
      <c r="B38" s="14" t="inlineStr">
        <is>
          <t>Munch Mess</t>
        </is>
      </c>
      <c r="C38" s="27" t="inlineStr">
        <is>
          <t>13:00</t>
        </is>
      </c>
      <c r="D38" s="54">
        <f>'Sim Data'!$E$176</f>
        <v/>
      </c>
      <c r="E38" s="54">
        <f>'Sim Data'!$G$176</f>
        <v/>
      </c>
      <c r="F38" s="57">
        <f>'Sim Data'!$I$176</f>
        <v/>
      </c>
      <c r="G38" s="48">
        <f>D38*E38</f>
        <v/>
      </c>
      <c r="H38" s="49">
        <f>IF(MAX(F38,G38)&lt;10,"≈ 0",IF(G38=0,"no new arrivals",F38/G38))</f>
        <v/>
      </c>
      <c r="I38" s="14">
        <f>IF(D38=0,"",IF(ISNUMBER(H38),IF(ABS(H38-1)&lt;=0.15,"Steady: L = λW holds",IF(H38&lt;1,"Filling up: arrivals outpace people leaving","Emptying: people from earlier slots still inside")),IF(G38=0,"Emptying: no new arrivals","Almost empty")))</f>
        <v/>
      </c>
    </row>
    <row r="39" ht="21.95" customHeight="1">
      <c r="A39" s="14" t="inlineStr">
        <is>
          <t>Today (no screens)</t>
        </is>
      </c>
      <c r="B39" s="14" t="inlineStr">
        <is>
          <t>Munch Mess</t>
        </is>
      </c>
      <c r="C39" s="27" t="inlineStr">
        <is>
          <t>13:10</t>
        </is>
      </c>
      <c r="D39" s="54">
        <f>'Sim Data'!$E$177</f>
        <v/>
      </c>
      <c r="E39" s="54">
        <f>'Sim Data'!$G$177</f>
        <v/>
      </c>
      <c r="F39" s="57">
        <f>'Sim Data'!$I$177</f>
        <v/>
      </c>
      <c r="G39" s="48">
        <f>D39*E39</f>
        <v/>
      </c>
      <c r="H39" s="49">
        <f>IF(MAX(F39,G39)&lt;10,"≈ 0",IF(G39=0,"no new arrivals",F39/G39))</f>
        <v/>
      </c>
      <c r="I39" s="14">
        <f>IF(D39=0,"",IF(ISNUMBER(H39),IF(ABS(H39-1)&lt;=0.15,"Steady: L = λW holds",IF(H39&lt;1,"Filling up: arrivals outpace people leaving","Emptying: people from earlier slots still inside")),IF(G39=0,"Emptying: no new arrivals","Almost empty")))</f>
        <v/>
      </c>
    </row>
    <row r="40" ht="21.95" customHeight="1">
      <c r="A40" s="14" t="inlineStr">
        <is>
          <t>Today (no screens)</t>
        </is>
      </c>
      <c r="B40" s="14" t="inlineStr">
        <is>
          <t>Munch Mess</t>
        </is>
      </c>
      <c r="C40" s="27" t="inlineStr">
        <is>
          <t>13:20</t>
        </is>
      </c>
      <c r="D40" s="54">
        <f>'Sim Data'!$E$178</f>
        <v/>
      </c>
      <c r="E40" s="54">
        <f>'Sim Data'!$G$178</f>
        <v/>
      </c>
      <c r="F40" s="57">
        <f>'Sim Data'!$I$178</f>
        <v/>
      </c>
      <c r="G40" s="48">
        <f>D40*E40</f>
        <v/>
      </c>
      <c r="H40" s="49">
        <f>IF(MAX(F40,G40)&lt;10,"≈ 0",IF(G40=0,"no new arrivals",F40/G40))</f>
        <v/>
      </c>
      <c r="I40" s="14">
        <f>IF(D40=0,"",IF(ISNUMBER(H40),IF(ABS(H40-1)&lt;=0.15,"Steady: L = λW holds",IF(H40&lt;1,"Filling up: arrivals outpace people leaving","Emptying: people from earlier slots still inside")),IF(G40=0,"Emptying: no new arrivals","Almost empty")))</f>
        <v/>
      </c>
    </row>
    <row r="41" ht="21.95" customHeight="1">
      <c r="A41" s="14" t="inlineStr">
        <is>
          <t>Today (no screens)</t>
        </is>
      </c>
      <c r="B41" s="14" t="inlineStr">
        <is>
          <t>Munch Mess</t>
        </is>
      </c>
      <c r="C41" s="27" t="inlineStr">
        <is>
          <t>13:30</t>
        </is>
      </c>
      <c r="D41" s="54">
        <f>'Sim Data'!$E$179</f>
        <v/>
      </c>
      <c r="E41" s="54">
        <f>'Sim Data'!$G$179</f>
        <v/>
      </c>
      <c r="F41" s="57">
        <f>'Sim Data'!$I$179</f>
        <v/>
      </c>
      <c r="G41" s="48">
        <f>D41*E41</f>
        <v/>
      </c>
      <c r="H41" s="49">
        <f>IF(MAX(F41,G41)&lt;10,"≈ 0",IF(G41=0,"no new arrivals",F41/G41))</f>
        <v/>
      </c>
      <c r="I41" s="14">
        <f>IF(D41=0,"",IF(ISNUMBER(H41),IF(ABS(H41-1)&lt;=0.15,"Steady: L = λW holds",IF(H41&lt;1,"Filling up: arrivals outpace people leaving","Emptying: people from earlier slots still inside")),IF(G41=0,"Emptying: no new arrivals","Almost empty")))</f>
        <v/>
      </c>
    </row>
    <row r="42" ht="21.95" customHeight="1">
      <c r="A42" s="14" t="inlineStr">
        <is>
          <t>Today (no screens)</t>
        </is>
      </c>
      <c r="B42" s="14" t="inlineStr">
        <is>
          <t>Munch Mess</t>
        </is>
      </c>
      <c r="C42" s="27" t="inlineStr">
        <is>
          <t>13:40</t>
        </is>
      </c>
      <c r="D42" s="54">
        <f>'Sim Data'!$E$180</f>
        <v/>
      </c>
      <c r="E42" s="54">
        <f>'Sim Data'!$G$180</f>
        <v/>
      </c>
      <c r="F42" s="57">
        <f>'Sim Data'!$I$180</f>
        <v/>
      </c>
      <c r="G42" s="48">
        <f>D42*E42</f>
        <v/>
      </c>
      <c r="H42" s="49">
        <f>IF(MAX(F42,G42)&lt;10,"≈ 0",IF(G42=0,"no new arrivals",F42/G42))</f>
        <v/>
      </c>
      <c r="I42" s="14">
        <f>IF(D42=0,"",IF(ISNUMBER(H42),IF(ABS(H42-1)&lt;=0.15,"Steady: L = λW holds",IF(H42&lt;1,"Filling up: arrivals outpace people leaving","Emptying: people from earlier slots still inside")),IF(G42=0,"Emptying: no new arrivals","Almost empty")))</f>
        <v/>
      </c>
    </row>
    <row r="43" ht="21.95" customHeight="1">
      <c r="A43" s="14" t="inlineStr">
        <is>
          <t>Today (no screens)</t>
        </is>
      </c>
      <c r="B43" s="14" t="inlineStr">
        <is>
          <t>Munch Mess</t>
        </is>
      </c>
      <c r="C43" s="27" t="inlineStr">
        <is>
          <t>13:50</t>
        </is>
      </c>
      <c r="D43" s="54">
        <f>'Sim Data'!$E$181</f>
        <v/>
      </c>
      <c r="E43" s="54">
        <f>'Sim Data'!$G$181</f>
        <v/>
      </c>
      <c r="F43" s="57">
        <f>'Sim Data'!$I$181</f>
        <v/>
      </c>
      <c r="G43" s="48">
        <f>D43*E43</f>
        <v/>
      </c>
      <c r="H43" s="49">
        <f>IF(MAX(F43,G43)&lt;10,"≈ 0",IF(G43=0,"no new arrivals",F43/G43))</f>
        <v/>
      </c>
      <c r="I43" s="14">
        <f>IF(D43=0,"",IF(ISNUMBER(H43),IF(ABS(H43-1)&lt;=0.15,"Steady: L = λW holds",IF(H43&lt;1,"Filling up: arrivals outpace people leaving","Emptying: people from earlier slots still inside")),IF(G43=0,"Emptying: no new arrivals","Almost empty")))</f>
        <v/>
      </c>
    </row>
    <row r="44" ht="21.95" customHeight="1">
      <c r="A44" s="14" t="inlineStr">
        <is>
          <t>Today (no screens)</t>
        </is>
      </c>
      <c r="B44" s="14" t="inlineStr">
        <is>
          <t>Munch Mess</t>
        </is>
      </c>
      <c r="C44" s="27" t="inlineStr">
        <is>
          <t>14:00</t>
        </is>
      </c>
      <c r="D44" s="54">
        <f>'Sim Data'!$E$182</f>
        <v/>
      </c>
      <c r="E44" s="54">
        <f>'Sim Data'!$G$182</f>
        <v/>
      </c>
      <c r="F44" s="57">
        <f>'Sim Data'!$I$182</f>
        <v/>
      </c>
      <c r="G44" s="48">
        <f>D44*E44</f>
        <v/>
      </c>
      <c r="H44" s="49">
        <f>IF(MAX(F44,G44)&lt;10,"≈ 0",IF(G44=0,"no new arrivals",F44/G44))</f>
        <v/>
      </c>
      <c r="I44" s="14">
        <f>IF(D44=0,"",IF(ISNUMBER(H44),IF(ABS(H44-1)&lt;=0.15,"Steady: L = λW holds",IF(H44&lt;1,"Filling up: arrivals outpace people leaving","Emptying: people from earlier slots still inside")),IF(G44=0,"Emptying: no new arrivals","Almost empty")))</f>
        <v/>
      </c>
    </row>
    <row r="45" ht="21.95" customHeight="1">
      <c r="A45" s="14" t="inlineStr">
        <is>
          <t>Today (no screens)</t>
        </is>
      </c>
      <c r="B45" s="14" t="inlineStr">
        <is>
          <t>Munch Mess</t>
        </is>
      </c>
      <c r="C45" s="27" t="inlineStr">
        <is>
          <t>14:10</t>
        </is>
      </c>
      <c r="D45" s="54">
        <f>'Sim Data'!$E$183</f>
        <v/>
      </c>
      <c r="E45" s="54">
        <f>'Sim Data'!$G$183</f>
        <v/>
      </c>
      <c r="F45" s="57">
        <f>'Sim Data'!$I$183</f>
        <v/>
      </c>
      <c r="G45" s="48">
        <f>D45*E45</f>
        <v/>
      </c>
      <c r="H45" s="49">
        <f>IF(MAX(F45,G45)&lt;10,"≈ 0",IF(G45=0,"no new arrivals",F45/G45))</f>
        <v/>
      </c>
      <c r="I45" s="14">
        <f>IF(D45=0,"",IF(ISNUMBER(H45),IF(ABS(H45-1)&lt;=0.15,"Steady: L = λW holds",IF(H45&lt;1,"Filling up: arrivals outpace people leaving","Emptying: people from earlier slots still inside")),IF(G45=0,"Emptying: no new arrivals","Almost empty")))</f>
        <v/>
      </c>
    </row>
    <row r="46" ht="21.95" customHeight="1">
      <c r="A46" s="14" t="inlineStr">
        <is>
          <t>Today (no screens)</t>
        </is>
      </c>
      <c r="B46" s="14" t="inlineStr">
        <is>
          <t>Munch Mess</t>
        </is>
      </c>
      <c r="C46" s="27" t="inlineStr">
        <is>
          <t>14:20</t>
        </is>
      </c>
      <c r="D46" s="54">
        <f>'Sim Data'!$E$184</f>
        <v/>
      </c>
      <c r="E46" s="54">
        <f>'Sim Data'!$G$184</f>
        <v/>
      </c>
      <c r="F46" s="57">
        <f>'Sim Data'!$I$184</f>
        <v/>
      </c>
      <c r="G46" s="48">
        <f>D46*E46</f>
        <v/>
      </c>
      <c r="H46" s="49">
        <f>IF(MAX(F46,G46)&lt;10,"≈ 0",IF(G46=0,"no new arrivals",F46/G46))</f>
        <v/>
      </c>
      <c r="I46" s="14">
        <f>IF(D46=0,"",IF(ISNUMBER(H46),IF(ABS(H46-1)&lt;=0.15,"Steady: L = λW holds",IF(H46&lt;1,"Filling up: arrivals outpace people leaving","Emptying: people from earlier slots still inside")),IF(G46=0,"Emptying: no new arrivals","Almost empty")))</f>
        <v/>
      </c>
    </row>
    <row r="47" ht="21.95" customHeight="1">
      <c r="A47" s="14" t="inlineStr">
        <is>
          <t>With Smart Scan screens</t>
        </is>
      </c>
      <c r="B47" s="14" t="inlineStr">
        <is>
          <t>Central CT</t>
        </is>
      </c>
      <c r="C47" s="27" t="inlineStr">
        <is>
          <t>11:30</t>
        </is>
      </c>
      <c r="D47" s="54">
        <f>'Sim Data'!$E$257</f>
        <v/>
      </c>
      <c r="E47" s="54">
        <f>'Sim Data'!$G$257</f>
        <v/>
      </c>
      <c r="F47" s="57">
        <f>'Sim Data'!$I$257</f>
        <v/>
      </c>
      <c r="G47" s="48">
        <f>D47*E47</f>
        <v/>
      </c>
      <c r="H47" s="49">
        <f>IF(MAX(F47,G47)&lt;10,"≈ 0",IF(G47=0,"no new arrivals",F47/G47))</f>
        <v/>
      </c>
      <c r="I47" s="14">
        <f>IF(D47=0,"",IF(ISNUMBER(H47),IF(ABS(H47-1)&lt;=0.15,"Steady: L = λW holds",IF(H47&lt;1,"Filling up: arrivals outpace people leaving","Emptying: people from earlier slots still inside")),IF(G47=0,"Emptying: no new arrivals","Almost empty")))</f>
        <v/>
      </c>
    </row>
    <row r="48" ht="21.95" customHeight="1">
      <c r="A48" s="14" t="inlineStr">
        <is>
          <t>With Smart Scan screens</t>
        </is>
      </c>
      <c r="B48" s="14" t="inlineStr">
        <is>
          <t>Central CT</t>
        </is>
      </c>
      <c r="C48" s="27" t="inlineStr">
        <is>
          <t>11:40</t>
        </is>
      </c>
      <c r="D48" s="54">
        <f>'Sim Data'!$E$258</f>
        <v/>
      </c>
      <c r="E48" s="54">
        <f>'Sim Data'!$G$258</f>
        <v/>
      </c>
      <c r="F48" s="57">
        <f>'Sim Data'!$I$258</f>
        <v/>
      </c>
      <c r="G48" s="48">
        <f>D48*E48</f>
        <v/>
      </c>
      <c r="H48" s="49">
        <f>IF(MAX(F48,G48)&lt;10,"≈ 0",IF(G48=0,"no new arrivals",F48/G48))</f>
        <v/>
      </c>
      <c r="I48" s="14">
        <f>IF(D48=0,"",IF(ISNUMBER(H48),IF(ABS(H48-1)&lt;=0.15,"Steady: L = λW holds",IF(H48&lt;1,"Filling up: arrivals outpace people leaving","Emptying: people from earlier slots still inside")),IF(G48=0,"Emptying: no new arrivals","Almost empty")))</f>
        <v/>
      </c>
    </row>
    <row r="49" ht="21.95" customHeight="1">
      <c r="A49" s="14" t="inlineStr">
        <is>
          <t>With Smart Scan screens</t>
        </is>
      </c>
      <c r="B49" s="14" t="inlineStr">
        <is>
          <t>Central CT</t>
        </is>
      </c>
      <c r="C49" s="27" t="inlineStr">
        <is>
          <t>11:50</t>
        </is>
      </c>
      <c r="D49" s="54">
        <f>'Sim Data'!$E$259</f>
        <v/>
      </c>
      <c r="E49" s="54">
        <f>'Sim Data'!$G$259</f>
        <v/>
      </c>
      <c r="F49" s="57">
        <f>'Sim Data'!$I$259</f>
        <v/>
      </c>
      <c r="G49" s="48">
        <f>D49*E49</f>
        <v/>
      </c>
      <c r="H49" s="49">
        <f>IF(MAX(F49,G49)&lt;10,"≈ 0",IF(G49=0,"no new arrivals",F49/G49))</f>
        <v/>
      </c>
      <c r="I49" s="14">
        <f>IF(D49=0,"",IF(ISNUMBER(H49),IF(ABS(H49-1)&lt;=0.15,"Steady: L = λW holds",IF(H49&lt;1,"Filling up: arrivals outpace people leaving","Emptying: people from earlier slots still inside")),IF(G49=0,"Emptying: no new arrivals","Almost empty")))</f>
        <v/>
      </c>
    </row>
    <row r="50" ht="21.95" customHeight="1">
      <c r="A50" s="14" t="inlineStr">
        <is>
          <t>With Smart Scan screens</t>
        </is>
      </c>
      <c r="B50" s="14" t="inlineStr">
        <is>
          <t>Central CT</t>
        </is>
      </c>
      <c r="C50" s="27" t="inlineStr">
        <is>
          <t>12:00</t>
        </is>
      </c>
      <c r="D50" s="54">
        <f>'Sim Data'!$E$260</f>
        <v/>
      </c>
      <c r="E50" s="54">
        <f>'Sim Data'!$G$260</f>
        <v/>
      </c>
      <c r="F50" s="57">
        <f>'Sim Data'!$I$260</f>
        <v/>
      </c>
      <c r="G50" s="48">
        <f>D50*E50</f>
        <v/>
      </c>
      <c r="H50" s="49">
        <f>IF(MAX(F50,G50)&lt;10,"≈ 0",IF(G50=0,"no new arrivals",F50/G50))</f>
        <v/>
      </c>
      <c r="I50" s="14">
        <f>IF(D50=0,"",IF(ISNUMBER(H50),IF(ABS(H50-1)&lt;=0.15,"Steady: L = λW holds",IF(H50&lt;1,"Filling up: arrivals outpace people leaving","Emptying: people from earlier slots still inside")),IF(G50=0,"Emptying: no new arrivals","Almost empty")))</f>
        <v/>
      </c>
    </row>
    <row r="51" ht="21.95" customHeight="1">
      <c r="A51" s="14" t="inlineStr">
        <is>
          <t>With Smart Scan screens</t>
        </is>
      </c>
      <c r="B51" s="14" t="inlineStr">
        <is>
          <t>Central CT</t>
        </is>
      </c>
      <c r="C51" s="27" t="inlineStr">
        <is>
          <t>12:10</t>
        </is>
      </c>
      <c r="D51" s="54">
        <f>'Sim Data'!$E$261</f>
        <v/>
      </c>
      <c r="E51" s="54">
        <f>'Sim Data'!$G$261</f>
        <v/>
      </c>
      <c r="F51" s="57">
        <f>'Sim Data'!$I$261</f>
        <v/>
      </c>
      <c r="G51" s="48">
        <f>D51*E51</f>
        <v/>
      </c>
      <c r="H51" s="49">
        <f>IF(MAX(F51,G51)&lt;10,"≈ 0",IF(G51=0,"no new arrivals",F51/G51))</f>
        <v/>
      </c>
      <c r="I51" s="14">
        <f>IF(D51=0,"",IF(ISNUMBER(H51),IF(ABS(H51-1)&lt;=0.15,"Steady: L = λW holds",IF(H51&lt;1,"Filling up: arrivals outpace people leaving","Emptying: people from earlier slots still inside")),IF(G51=0,"Emptying: no new arrivals","Almost empty")))</f>
        <v/>
      </c>
    </row>
    <row r="52" ht="21.95" customHeight="1">
      <c r="A52" s="14" t="inlineStr">
        <is>
          <t>With Smart Scan screens</t>
        </is>
      </c>
      <c r="B52" s="14" t="inlineStr">
        <is>
          <t>Central CT</t>
        </is>
      </c>
      <c r="C52" s="27" t="inlineStr">
        <is>
          <t>12:20</t>
        </is>
      </c>
      <c r="D52" s="54">
        <f>'Sim Data'!$E$262</f>
        <v/>
      </c>
      <c r="E52" s="54">
        <f>'Sim Data'!$G$262</f>
        <v/>
      </c>
      <c r="F52" s="57">
        <f>'Sim Data'!$I$262</f>
        <v/>
      </c>
      <c r="G52" s="48">
        <f>D52*E52</f>
        <v/>
      </c>
      <c r="H52" s="49">
        <f>IF(MAX(F52,G52)&lt;10,"≈ 0",IF(G52=0,"no new arrivals",F52/G52))</f>
        <v/>
      </c>
      <c r="I52" s="14">
        <f>IF(D52=0,"",IF(ISNUMBER(H52),IF(ABS(H52-1)&lt;=0.15,"Steady: L = λW holds",IF(H52&lt;1,"Filling up: arrivals outpace people leaving","Emptying: people from earlier slots still inside")),IF(G52=0,"Emptying: no new arrivals","Almost empty")))</f>
        <v/>
      </c>
    </row>
    <row r="53" ht="21.95" customHeight="1">
      <c r="A53" s="14" t="inlineStr">
        <is>
          <t>With Smart Scan screens</t>
        </is>
      </c>
      <c r="B53" s="14" t="inlineStr">
        <is>
          <t>Central CT</t>
        </is>
      </c>
      <c r="C53" s="27" t="inlineStr">
        <is>
          <t>12:30</t>
        </is>
      </c>
      <c r="D53" s="54">
        <f>'Sim Data'!$E$263</f>
        <v/>
      </c>
      <c r="E53" s="54">
        <f>'Sim Data'!$G$263</f>
        <v/>
      </c>
      <c r="F53" s="57">
        <f>'Sim Data'!$I$263</f>
        <v/>
      </c>
      <c r="G53" s="48">
        <f>D53*E53</f>
        <v/>
      </c>
      <c r="H53" s="49">
        <f>IF(MAX(F53,G53)&lt;10,"≈ 0",IF(G53=0,"no new arrivals",F53/G53))</f>
        <v/>
      </c>
      <c r="I53" s="14">
        <f>IF(D53=0,"",IF(ISNUMBER(H53),IF(ABS(H53-1)&lt;=0.15,"Steady: L = λW holds",IF(H53&lt;1,"Filling up: arrivals outpace people leaving","Emptying: people from earlier slots still inside")),IF(G53=0,"Emptying: no new arrivals","Almost empty")))</f>
        <v/>
      </c>
    </row>
    <row r="54" ht="21.95" customHeight="1">
      <c r="A54" s="14" t="inlineStr">
        <is>
          <t>With Smart Scan screens</t>
        </is>
      </c>
      <c r="B54" s="14" t="inlineStr">
        <is>
          <t>Central CT</t>
        </is>
      </c>
      <c r="C54" s="27" t="inlineStr">
        <is>
          <t>12:40</t>
        </is>
      </c>
      <c r="D54" s="54">
        <f>'Sim Data'!$E$264</f>
        <v/>
      </c>
      <c r="E54" s="54">
        <f>'Sim Data'!$G$264</f>
        <v/>
      </c>
      <c r="F54" s="57">
        <f>'Sim Data'!$I$264</f>
        <v/>
      </c>
      <c r="G54" s="48">
        <f>D54*E54</f>
        <v/>
      </c>
      <c r="H54" s="49">
        <f>IF(MAX(F54,G54)&lt;10,"≈ 0",IF(G54=0,"no new arrivals",F54/G54))</f>
        <v/>
      </c>
      <c r="I54" s="14">
        <f>IF(D54=0,"",IF(ISNUMBER(H54),IF(ABS(H54-1)&lt;=0.15,"Steady: L = λW holds",IF(H54&lt;1,"Filling up: arrivals outpace people leaving","Emptying: people from earlier slots still inside")),IF(G54=0,"Emptying: no new arrivals","Almost empty")))</f>
        <v/>
      </c>
    </row>
    <row r="55" ht="21.95" customHeight="1">
      <c r="A55" s="14" t="inlineStr">
        <is>
          <t>With Smart Scan screens</t>
        </is>
      </c>
      <c r="B55" s="14" t="inlineStr">
        <is>
          <t>Central CT</t>
        </is>
      </c>
      <c r="C55" s="27" t="inlineStr">
        <is>
          <t>12:50</t>
        </is>
      </c>
      <c r="D55" s="54">
        <f>'Sim Data'!$E$265</f>
        <v/>
      </c>
      <c r="E55" s="54">
        <f>'Sim Data'!$G$265</f>
        <v/>
      </c>
      <c r="F55" s="57">
        <f>'Sim Data'!$I$265</f>
        <v/>
      </c>
      <c r="G55" s="48">
        <f>D55*E55</f>
        <v/>
      </c>
      <c r="H55" s="49">
        <f>IF(MAX(F55,G55)&lt;10,"≈ 0",IF(G55=0,"no new arrivals",F55/G55))</f>
        <v/>
      </c>
      <c r="I55" s="14">
        <f>IF(D55=0,"",IF(ISNUMBER(H55),IF(ABS(H55-1)&lt;=0.15,"Steady: L = λW holds",IF(H55&lt;1,"Filling up: arrivals outpace people leaving","Emptying: people from earlier slots still inside")),IF(G55=0,"Emptying: no new arrivals","Almost empty")))</f>
        <v/>
      </c>
    </row>
    <row r="56" ht="21.95" customHeight="1">
      <c r="A56" s="14" t="inlineStr">
        <is>
          <t>With Smart Scan screens</t>
        </is>
      </c>
      <c r="B56" s="14" t="inlineStr">
        <is>
          <t>Central CT</t>
        </is>
      </c>
      <c r="C56" s="27" t="inlineStr">
        <is>
          <t>13:00</t>
        </is>
      </c>
      <c r="D56" s="54">
        <f>'Sim Data'!$E$266</f>
        <v/>
      </c>
      <c r="E56" s="54">
        <f>'Sim Data'!$G$266</f>
        <v/>
      </c>
      <c r="F56" s="57">
        <f>'Sim Data'!$I$266</f>
        <v/>
      </c>
      <c r="G56" s="48">
        <f>D56*E56</f>
        <v/>
      </c>
      <c r="H56" s="49">
        <f>IF(MAX(F56,G56)&lt;10,"≈ 0",IF(G56=0,"no new arrivals",F56/G56))</f>
        <v/>
      </c>
      <c r="I56" s="14">
        <f>IF(D56=0,"",IF(ISNUMBER(H56),IF(ABS(H56-1)&lt;=0.15,"Steady: L = λW holds",IF(H56&lt;1,"Filling up: arrivals outpace people leaving","Emptying: people from earlier slots still inside")),IF(G56=0,"Emptying: no new arrivals","Almost empty")))</f>
        <v/>
      </c>
    </row>
    <row r="57" ht="21.95" customHeight="1">
      <c r="A57" s="14" t="inlineStr">
        <is>
          <t>With Smart Scan screens</t>
        </is>
      </c>
      <c r="B57" s="14" t="inlineStr">
        <is>
          <t>Central CT</t>
        </is>
      </c>
      <c r="C57" s="27" t="inlineStr">
        <is>
          <t>13:10</t>
        </is>
      </c>
      <c r="D57" s="54">
        <f>'Sim Data'!$E$267</f>
        <v/>
      </c>
      <c r="E57" s="54">
        <f>'Sim Data'!$G$267</f>
        <v/>
      </c>
      <c r="F57" s="57">
        <f>'Sim Data'!$I$267</f>
        <v/>
      </c>
      <c r="G57" s="48">
        <f>D57*E57</f>
        <v/>
      </c>
      <c r="H57" s="49">
        <f>IF(MAX(F57,G57)&lt;10,"≈ 0",IF(G57=0,"no new arrivals",F57/G57))</f>
        <v/>
      </c>
      <c r="I57" s="14">
        <f>IF(D57=0,"",IF(ISNUMBER(H57),IF(ABS(H57-1)&lt;=0.15,"Steady: L = λW holds",IF(H57&lt;1,"Filling up: arrivals outpace people leaving","Emptying: people from earlier slots still inside")),IF(G57=0,"Emptying: no new arrivals","Almost empty")))</f>
        <v/>
      </c>
    </row>
    <row r="58" ht="21.95" customHeight="1">
      <c r="A58" s="14" t="inlineStr">
        <is>
          <t>With Smart Scan screens</t>
        </is>
      </c>
      <c r="B58" s="14" t="inlineStr">
        <is>
          <t>Central CT</t>
        </is>
      </c>
      <c r="C58" s="27" t="inlineStr">
        <is>
          <t>13:20</t>
        </is>
      </c>
      <c r="D58" s="54">
        <f>'Sim Data'!$E$268</f>
        <v/>
      </c>
      <c r="E58" s="54">
        <f>'Sim Data'!$G$268</f>
        <v/>
      </c>
      <c r="F58" s="57">
        <f>'Sim Data'!$I$268</f>
        <v/>
      </c>
      <c r="G58" s="48">
        <f>D58*E58</f>
        <v/>
      </c>
      <c r="H58" s="49">
        <f>IF(MAX(F58,G58)&lt;10,"≈ 0",IF(G58=0,"no new arrivals",F58/G58))</f>
        <v/>
      </c>
      <c r="I58" s="14">
        <f>IF(D58=0,"",IF(ISNUMBER(H58),IF(ABS(H58-1)&lt;=0.15,"Steady: L = λW holds",IF(H58&lt;1,"Filling up: arrivals outpace people leaving","Emptying: people from earlier slots still inside")),IF(G58=0,"Emptying: no new arrivals","Almost empty")))</f>
        <v/>
      </c>
    </row>
    <row r="59" ht="21.95" customHeight="1">
      <c r="A59" s="14" t="inlineStr">
        <is>
          <t>With Smart Scan screens</t>
        </is>
      </c>
      <c r="B59" s="14" t="inlineStr">
        <is>
          <t>Central CT</t>
        </is>
      </c>
      <c r="C59" s="27" t="inlineStr">
        <is>
          <t>13:30</t>
        </is>
      </c>
      <c r="D59" s="54">
        <f>'Sim Data'!$E$269</f>
        <v/>
      </c>
      <c r="E59" s="54">
        <f>'Sim Data'!$G$269</f>
        <v/>
      </c>
      <c r="F59" s="57">
        <f>'Sim Data'!$I$269</f>
        <v/>
      </c>
      <c r="G59" s="48">
        <f>D59*E59</f>
        <v/>
      </c>
      <c r="H59" s="49">
        <f>IF(MAX(F59,G59)&lt;10,"≈ 0",IF(G59=0,"no new arrivals",F59/G59))</f>
        <v/>
      </c>
      <c r="I59" s="14">
        <f>IF(D59=0,"",IF(ISNUMBER(H59),IF(ABS(H59-1)&lt;=0.15,"Steady: L = λW holds",IF(H59&lt;1,"Filling up: arrivals outpace people leaving","Emptying: people from earlier slots still inside")),IF(G59=0,"Emptying: no new arrivals","Almost empty")))</f>
        <v/>
      </c>
    </row>
    <row r="60" ht="21.95" customHeight="1">
      <c r="A60" s="14" t="inlineStr">
        <is>
          <t>With Smart Scan screens</t>
        </is>
      </c>
      <c r="B60" s="14" t="inlineStr">
        <is>
          <t>Central CT</t>
        </is>
      </c>
      <c r="C60" s="27" t="inlineStr">
        <is>
          <t>13:40</t>
        </is>
      </c>
      <c r="D60" s="54">
        <f>'Sim Data'!$E$270</f>
        <v/>
      </c>
      <c r="E60" s="54">
        <f>'Sim Data'!$G$270</f>
        <v/>
      </c>
      <c r="F60" s="57">
        <f>'Sim Data'!$I$270</f>
        <v/>
      </c>
      <c r="G60" s="48">
        <f>D60*E60</f>
        <v/>
      </c>
      <c r="H60" s="49">
        <f>IF(MAX(F60,G60)&lt;10,"≈ 0",IF(G60=0,"no new arrivals",F60/G60))</f>
        <v/>
      </c>
      <c r="I60" s="14">
        <f>IF(D60=0,"",IF(ISNUMBER(H60),IF(ABS(H60-1)&lt;=0.15,"Steady: L = λW holds",IF(H60&lt;1,"Filling up: arrivals outpace people leaving","Emptying: people from earlier slots still inside")),IF(G60=0,"Emptying: no new arrivals","Almost empty")))</f>
        <v/>
      </c>
    </row>
    <row r="61" ht="21.95" customHeight="1">
      <c r="A61" s="14" t="inlineStr">
        <is>
          <t>With Smart Scan screens</t>
        </is>
      </c>
      <c r="B61" s="14" t="inlineStr">
        <is>
          <t>Central CT</t>
        </is>
      </c>
      <c r="C61" s="27" t="inlineStr">
        <is>
          <t>13:50</t>
        </is>
      </c>
      <c r="D61" s="54">
        <f>'Sim Data'!$E$271</f>
        <v/>
      </c>
      <c r="E61" s="54">
        <f>'Sim Data'!$G$271</f>
        <v/>
      </c>
      <c r="F61" s="57">
        <f>'Sim Data'!$I$271</f>
        <v/>
      </c>
      <c r="G61" s="48">
        <f>D61*E61</f>
        <v/>
      </c>
      <c r="H61" s="49">
        <f>IF(MAX(F61,G61)&lt;10,"≈ 0",IF(G61=0,"no new arrivals",F61/G61))</f>
        <v/>
      </c>
      <c r="I61" s="14">
        <f>IF(D61=0,"",IF(ISNUMBER(H61),IF(ABS(H61-1)&lt;=0.15,"Steady: L = λW holds",IF(H61&lt;1,"Filling up: arrivals outpace people leaving","Emptying: people from earlier slots still inside")),IF(G61=0,"Emptying: no new arrivals","Almost empty")))</f>
        <v/>
      </c>
    </row>
    <row r="62" ht="21.95" customHeight="1">
      <c r="A62" s="14" t="inlineStr">
        <is>
          <t>With Smart Scan screens</t>
        </is>
      </c>
      <c r="B62" s="14" t="inlineStr">
        <is>
          <t>Central CT</t>
        </is>
      </c>
      <c r="C62" s="27" t="inlineStr">
        <is>
          <t>14:00</t>
        </is>
      </c>
      <c r="D62" s="54">
        <f>'Sim Data'!$E$272</f>
        <v/>
      </c>
      <c r="E62" s="54">
        <f>'Sim Data'!$G$272</f>
        <v/>
      </c>
      <c r="F62" s="57">
        <f>'Sim Data'!$I$272</f>
        <v/>
      </c>
      <c r="G62" s="48">
        <f>D62*E62</f>
        <v/>
      </c>
      <c r="H62" s="49">
        <f>IF(MAX(F62,G62)&lt;10,"≈ 0",IF(G62=0,"no new arrivals",F62/G62))</f>
        <v/>
      </c>
      <c r="I62" s="14">
        <f>IF(D62=0,"",IF(ISNUMBER(H62),IF(ABS(H62-1)&lt;=0.15,"Steady: L = λW holds",IF(H62&lt;1,"Filling up: arrivals outpace people leaving","Emptying: people from earlier slots still inside")),IF(G62=0,"Emptying: no new arrivals","Almost empty")))</f>
        <v/>
      </c>
    </row>
    <row r="63" ht="21.95" customHeight="1">
      <c r="A63" s="14" t="inlineStr">
        <is>
          <t>With Smart Scan screens</t>
        </is>
      </c>
      <c r="B63" s="14" t="inlineStr">
        <is>
          <t>Central CT</t>
        </is>
      </c>
      <c r="C63" s="27" t="inlineStr">
        <is>
          <t>14:10</t>
        </is>
      </c>
      <c r="D63" s="54">
        <f>'Sim Data'!$E$273</f>
        <v/>
      </c>
      <c r="E63" s="54">
        <f>'Sim Data'!$G$273</f>
        <v/>
      </c>
      <c r="F63" s="57">
        <f>'Sim Data'!$I$273</f>
        <v/>
      </c>
      <c r="G63" s="48">
        <f>D63*E63</f>
        <v/>
      </c>
      <c r="H63" s="49">
        <f>IF(MAX(F63,G63)&lt;10,"≈ 0",IF(G63=0,"no new arrivals",F63/G63))</f>
        <v/>
      </c>
      <c r="I63" s="14">
        <f>IF(D63=0,"",IF(ISNUMBER(H63),IF(ABS(H63-1)&lt;=0.15,"Steady: L = λW holds",IF(H63&lt;1,"Filling up: arrivals outpace people leaving","Emptying: people from earlier slots still inside")),IF(G63=0,"Emptying: no new arrivals","Almost empty")))</f>
        <v/>
      </c>
    </row>
    <row r="64" ht="21.95" customHeight="1">
      <c r="A64" s="14" t="inlineStr">
        <is>
          <t>With Smart Scan screens</t>
        </is>
      </c>
      <c r="B64" s="14" t="inlineStr">
        <is>
          <t>Central CT</t>
        </is>
      </c>
      <c r="C64" s="27" t="inlineStr">
        <is>
          <t>14:20</t>
        </is>
      </c>
      <c r="D64" s="54">
        <f>'Sim Data'!$E$274</f>
        <v/>
      </c>
      <c r="E64" s="54">
        <f>'Sim Data'!$G$274</f>
        <v/>
      </c>
      <c r="F64" s="57">
        <f>'Sim Data'!$I$274</f>
        <v/>
      </c>
      <c r="G64" s="48">
        <f>D64*E64</f>
        <v/>
      </c>
      <c r="H64" s="49">
        <f>IF(MAX(F64,G64)&lt;10,"≈ 0",IF(G64=0,"no new arrivals",F64/G64))</f>
        <v/>
      </c>
      <c r="I64" s="14">
        <f>IF(D64=0,"",IF(ISNUMBER(H64),IF(ABS(H64-1)&lt;=0.15,"Steady: L = λW holds",IF(H64&lt;1,"Filling up: arrivals outpace people leaving","Emptying: people from earlier slots still inside")),IF(G64=0,"Emptying: no new arrivals","Almost empty")))</f>
        <v/>
      </c>
    </row>
    <row r="65" ht="21.95" customHeight="1">
      <c r="A65" s="14" t="inlineStr">
        <is>
          <t>With Smart Scan screens</t>
        </is>
      </c>
      <c r="B65" s="14" t="inlineStr">
        <is>
          <t>Munch Mess</t>
        </is>
      </c>
      <c r="C65" s="27" t="inlineStr">
        <is>
          <t>11:30</t>
        </is>
      </c>
      <c r="D65" s="54">
        <f>'Sim Data'!$E$347</f>
        <v/>
      </c>
      <c r="E65" s="54">
        <f>'Sim Data'!$G$347</f>
        <v/>
      </c>
      <c r="F65" s="57">
        <f>'Sim Data'!$I$347</f>
        <v/>
      </c>
      <c r="G65" s="48">
        <f>D65*E65</f>
        <v/>
      </c>
      <c r="H65" s="49">
        <f>IF(MAX(F65,G65)&lt;10,"≈ 0",IF(G65=0,"no new arrivals",F65/G65))</f>
        <v/>
      </c>
      <c r="I65" s="14">
        <f>IF(D65=0,"",IF(ISNUMBER(H65),IF(ABS(H65-1)&lt;=0.15,"Steady: L = λW holds",IF(H65&lt;1,"Filling up: arrivals outpace people leaving","Emptying: people from earlier slots still inside")),IF(G65=0,"Emptying: no new arrivals","Almost empty")))</f>
        <v/>
      </c>
    </row>
    <row r="66" ht="21.95" customHeight="1">
      <c r="A66" s="14" t="inlineStr">
        <is>
          <t>With Smart Scan screens</t>
        </is>
      </c>
      <c r="B66" s="14" t="inlineStr">
        <is>
          <t>Munch Mess</t>
        </is>
      </c>
      <c r="C66" s="27" t="inlineStr">
        <is>
          <t>11:40</t>
        </is>
      </c>
      <c r="D66" s="54">
        <f>'Sim Data'!$E$348</f>
        <v/>
      </c>
      <c r="E66" s="54">
        <f>'Sim Data'!$G$348</f>
        <v/>
      </c>
      <c r="F66" s="57">
        <f>'Sim Data'!$I$348</f>
        <v/>
      </c>
      <c r="G66" s="48">
        <f>D66*E66</f>
        <v/>
      </c>
      <c r="H66" s="49">
        <f>IF(MAX(F66,G66)&lt;10,"≈ 0",IF(G66=0,"no new arrivals",F66/G66))</f>
        <v/>
      </c>
      <c r="I66" s="14">
        <f>IF(D66=0,"",IF(ISNUMBER(H66),IF(ABS(H66-1)&lt;=0.15,"Steady: L = λW holds",IF(H66&lt;1,"Filling up: arrivals outpace people leaving","Emptying: people from earlier slots still inside")),IF(G66=0,"Emptying: no new arrivals","Almost empty")))</f>
        <v/>
      </c>
    </row>
    <row r="67" ht="21.95" customHeight="1">
      <c r="A67" s="14" t="inlineStr">
        <is>
          <t>With Smart Scan screens</t>
        </is>
      </c>
      <c r="B67" s="14" t="inlineStr">
        <is>
          <t>Munch Mess</t>
        </is>
      </c>
      <c r="C67" s="27" t="inlineStr">
        <is>
          <t>11:50</t>
        </is>
      </c>
      <c r="D67" s="54">
        <f>'Sim Data'!$E$349</f>
        <v/>
      </c>
      <c r="E67" s="54">
        <f>'Sim Data'!$G$349</f>
        <v/>
      </c>
      <c r="F67" s="57">
        <f>'Sim Data'!$I$349</f>
        <v/>
      </c>
      <c r="G67" s="48">
        <f>D67*E67</f>
        <v/>
      </c>
      <c r="H67" s="49">
        <f>IF(MAX(F67,G67)&lt;10,"≈ 0",IF(G67=0,"no new arrivals",F67/G67))</f>
        <v/>
      </c>
      <c r="I67" s="14">
        <f>IF(D67=0,"",IF(ISNUMBER(H67),IF(ABS(H67-1)&lt;=0.15,"Steady: L = λW holds",IF(H67&lt;1,"Filling up: arrivals outpace people leaving","Emptying: people from earlier slots still inside")),IF(G67=0,"Emptying: no new arrivals","Almost empty")))</f>
        <v/>
      </c>
    </row>
    <row r="68" ht="21.95" customHeight="1">
      <c r="A68" s="14" t="inlineStr">
        <is>
          <t>With Smart Scan screens</t>
        </is>
      </c>
      <c r="B68" s="14" t="inlineStr">
        <is>
          <t>Munch Mess</t>
        </is>
      </c>
      <c r="C68" s="27" t="inlineStr">
        <is>
          <t>12:00</t>
        </is>
      </c>
      <c r="D68" s="54">
        <f>'Sim Data'!$E$350</f>
        <v/>
      </c>
      <c r="E68" s="54">
        <f>'Sim Data'!$G$350</f>
        <v/>
      </c>
      <c r="F68" s="57">
        <f>'Sim Data'!$I$350</f>
        <v/>
      </c>
      <c r="G68" s="48">
        <f>D68*E68</f>
        <v/>
      </c>
      <c r="H68" s="49">
        <f>IF(MAX(F68,G68)&lt;10,"≈ 0",IF(G68=0,"no new arrivals",F68/G68))</f>
        <v/>
      </c>
      <c r="I68" s="14">
        <f>IF(D68=0,"",IF(ISNUMBER(H68),IF(ABS(H68-1)&lt;=0.15,"Steady: L = λW holds",IF(H68&lt;1,"Filling up: arrivals outpace people leaving","Emptying: people from earlier slots still inside")),IF(G68=0,"Emptying: no new arrivals","Almost empty")))</f>
        <v/>
      </c>
    </row>
    <row r="69" ht="21.95" customHeight="1">
      <c r="A69" s="14" t="inlineStr">
        <is>
          <t>With Smart Scan screens</t>
        </is>
      </c>
      <c r="B69" s="14" t="inlineStr">
        <is>
          <t>Munch Mess</t>
        </is>
      </c>
      <c r="C69" s="27" t="inlineStr">
        <is>
          <t>12:10</t>
        </is>
      </c>
      <c r="D69" s="54">
        <f>'Sim Data'!$E$351</f>
        <v/>
      </c>
      <c r="E69" s="54">
        <f>'Sim Data'!$G$351</f>
        <v/>
      </c>
      <c r="F69" s="57">
        <f>'Sim Data'!$I$351</f>
        <v/>
      </c>
      <c r="G69" s="48">
        <f>D69*E69</f>
        <v/>
      </c>
      <c r="H69" s="49">
        <f>IF(MAX(F69,G69)&lt;10,"≈ 0",IF(G69=0,"no new arrivals",F69/G69))</f>
        <v/>
      </c>
      <c r="I69" s="14">
        <f>IF(D69=0,"",IF(ISNUMBER(H69),IF(ABS(H69-1)&lt;=0.15,"Steady: L = λW holds",IF(H69&lt;1,"Filling up: arrivals outpace people leaving","Emptying: people from earlier slots still inside")),IF(G69=0,"Emptying: no new arrivals","Almost empty")))</f>
        <v/>
      </c>
    </row>
    <row r="70" ht="21.95" customHeight="1">
      <c r="A70" s="14" t="inlineStr">
        <is>
          <t>With Smart Scan screens</t>
        </is>
      </c>
      <c r="B70" s="14" t="inlineStr">
        <is>
          <t>Munch Mess</t>
        </is>
      </c>
      <c r="C70" s="27" t="inlineStr">
        <is>
          <t>12:20</t>
        </is>
      </c>
      <c r="D70" s="54">
        <f>'Sim Data'!$E$352</f>
        <v/>
      </c>
      <c r="E70" s="54">
        <f>'Sim Data'!$G$352</f>
        <v/>
      </c>
      <c r="F70" s="57">
        <f>'Sim Data'!$I$352</f>
        <v/>
      </c>
      <c r="G70" s="48">
        <f>D70*E70</f>
        <v/>
      </c>
      <c r="H70" s="49">
        <f>IF(MAX(F70,G70)&lt;10,"≈ 0",IF(G70=0,"no new arrivals",F70/G70))</f>
        <v/>
      </c>
      <c r="I70" s="14">
        <f>IF(D70=0,"",IF(ISNUMBER(H70),IF(ABS(H70-1)&lt;=0.15,"Steady: L = λW holds",IF(H70&lt;1,"Filling up: arrivals outpace people leaving","Emptying: people from earlier slots still inside")),IF(G70=0,"Emptying: no new arrivals","Almost empty")))</f>
        <v/>
      </c>
    </row>
    <row r="71" ht="21.95" customHeight="1">
      <c r="A71" s="14" t="inlineStr">
        <is>
          <t>With Smart Scan screens</t>
        </is>
      </c>
      <c r="B71" s="14" t="inlineStr">
        <is>
          <t>Munch Mess</t>
        </is>
      </c>
      <c r="C71" s="27" t="inlineStr">
        <is>
          <t>12:30</t>
        </is>
      </c>
      <c r="D71" s="54">
        <f>'Sim Data'!$E$353</f>
        <v/>
      </c>
      <c r="E71" s="54">
        <f>'Sim Data'!$G$353</f>
        <v/>
      </c>
      <c r="F71" s="57">
        <f>'Sim Data'!$I$353</f>
        <v/>
      </c>
      <c r="G71" s="48">
        <f>D71*E71</f>
        <v/>
      </c>
      <c r="H71" s="49">
        <f>IF(MAX(F71,G71)&lt;10,"≈ 0",IF(G71=0,"no new arrivals",F71/G71))</f>
        <v/>
      </c>
      <c r="I71" s="14">
        <f>IF(D71=0,"",IF(ISNUMBER(H71),IF(ABS(H71-1)&lt;=0.15,"Steady: L = λW holds",IF(H71&lt;1,"Filling up: arrivals outpace people leaving","Emptying: people from earlier slots still inside")),IF(G71=0,"Emptying: no new arrivals","Almost empty")))</f>
        <v/>
      </c>
    </row>
    <row r="72" ht="21.95" customHeight="1">
      <c r="A72" s="14" t="inlineStr">
        <is>
          <t>With Smart Scan screens</t>
        </is>
      </c>
      <c r="B72" s="14" t="inlineStr">
        <is>
          <t>Munch Mess</t>
        </is>
      </c>
      <c r="C72" s="27" t="inlineStr">
        <is>
          <t>12:40</t>
        </is>
      </c>
      <c r="D72" s="54">
        <f>'Sim Data'!$E$354</f>
        <v/>
      </c>
      <c r="E72" s="54">
        <f>'Sim Data'!$G$354</f>
        <v/>
      </c>
      <c r="F72" s="57">
        <f>'Sim Data'!$I$354</f>
        <v/>
      </c>
      <c r="G72" s="48">
        <f>D72*E72</f>
        <v/>
      </c>
      <c r="H72" s="49">
        <f>IF(MAX(F72,G72)&lt;10,"≈ 0",IF(G72=0,"no new arrivals",F72/G72))</f>
        <v/>
      </c>
      <c r="I72" s="14">
        <f>IF(D72=0,"",IF(ISNUMBER(H72),IF(ABS(H72-1)&lt;=0.15,"Steady: L = λW holds",IF(H72&lt;1,"Filling up: arrivals outpace people leaving","Emptying: people from earlier slots still inside")),IF(G72=0,"Emptying: no new arrivals","Almost empty")))</f>
        <v/>
      </c>
    </row>
    <row r="73" ht="21.95" customHeight="1">
      <c r="A73" s="14" t="inlineStr">
        <is>
          <t>With Smart Scan screens</t>
        </is>
      </c>
      <c r="B73" s="14" t="inlineStr">
        <is>
          <t>Munch Mess</t>
        </is>
      </c>
      <c r="C73" s="27" t="inlineStr">
        <is>
          <t>12:50</t>
        </is>
      </c>
      <c r="D73" s="54">
        <f>'Sim Data'!$E$355</f>
        <v/>
      </c>
      <c r="E73" s="54">
        <f>'Sim Data'!$G$355</f>
        <v/>
      </c>
      <c r="F73" s="57">
        <f>'Sim Data'!$I$355</f>
        <v/>
      </c>
      <c r="G73" s="48">
        <f>D73*E73</f>
        <v/>
      </c>
      <c r="H73" s="49">
        <f>IF(MAX(F73,G73)&lt;10,"≈ 0",IF(G73=0,"no new arrivals",F73/G73))</f>
        <v/>
      </c>
      <c r="I73" s="14">
        <f>IF(D73=0,"",IF(ISNUMBER(H73),IF(ABS(H73-1)&lt;=0.15,"Steady: L = λW holds",IF(H73&lt;1,"Filling up: arrivals outpace people leaving","Emptying: people from earlier slots still inside")),IF(G73=0,"Emptying: no new arrivals","Almost empty")))</f>
        <v/>
      </c>
    </row>
    <row r="74" ht="21.95" customHeight="1">
      <c r="A74" s="14" t="inlineStr">
        <is>
          <t>With Smart Scan screens</t>
        </is>
      </c>
      <c r="B74" s="14" t="inlineStr">
        <is>
          <t>Munch Mess</t>
        </is>
      </c>
      <c r="C74" s="27" t="inlineStr">
        <is>
          <t>13:00</t>
        </is>
      </c>
      <c r="D74" s="54">
        <f>'Sim Data'!$E$356</f>
        <v/>
      </c>
      <c r="E74" s="54">
        <f>'Sim Data'!$G$356</f>
        <v/>
      </c>
      <c r="F74" s="57">
        <f>'Sim Data'!$I$356</f>
        <v/>
      </c>
      <c r="G74" s="48">
        <f>D74*E74</f>
        <v/>
      </c>
      <c r="H74" s="49">
        <f>IF(MAX(F74,G74)&lt;10,"≈ 0",IF(G74=0,"no new arrivals",F74/G74))</f>
        <v/>
      </c>
      <c r="I74" s="14">
        <f>IF(D74=0,"",IF(ISNUMBER(H74),IF(ABS(H74-1)&lt;=0.15,"Steady: L = λW holds",IF(H74&lt;1,"Filling up: arrivals outpace people leaving","Emptying: people from earlier slots still inside")),IF(G74=0,"Emptying: no new arrivals","Almost empty")))</f>
        <v/>
      </c>
    </row>
    <row r="75" ht="21.95" customHeight="1">
      <c r="A75" s="14" t="inlineStr">
        <is>
          <t>With Smart Scan screens</t>
        </is>
      </c>
      <c r="B75" s="14" t="inlineStr">
        <is>
          <t>Munch Mess</t>
        </is>
      </c>
      <c r="C75" s="27" t="inlineStr">
        <is>
          <t>13:10</t>
        </is>
      </c>
      <c r="D75" s="54">
        <f>'Sim Data'!$E$357</f>
        <v/>
      </c>
      <c r="E75" s="54">
        <f>'Sim Data'!$G$357</f>
        <v/>
      </c>
      <c r="F75" s="57">
        <f>'Sim Data'!$I$357</f>
        <v/>
      </c>
      <c r="G75" s="48">
        <f>D75*E75</f>
        <v/>
      </c>
      <c r="H75" s="49">
        <f>IF(MAX(F75,G75)&lt;10,"≈ 0",IF(G75=0,"no new arrivals",F75/G75))</f>
        <v/>
      </c>
      <c r="I75" s="14">
        <f>IF(D75=0,"",IF(ISNUMBER(H75),IF(ABS(H75-1)&lt;=0.15,"Steady: L = λW holds",IF(H75&lt;1,"Filling up: arrivals outpace people leaving","Emptying: people from earlier slots still inside")),IF(G75=0,"Emptying: no new arrivals","Almost empty")))</f>
        <v/>
      </c>
    </row>
    <row r="76" ht="21.95" customHeight="1">
      <c r="A76" s="14" t="inlineStr">
        <is>
          <t>With Smart Scan screens</t>
        </is>
      </c>
      <c r="B76" s="14" t="inlineStr">
        <is>
          <t>Munch Mess</t>
        </is>
      </c>
      <c r="C76" s="27" t="inlineStr">
        <is>
          <t>13:20</t>
        </is>
      </c>
      <c r="D76" s="54">
        <f>'Sim Data'!$E$358</f>
        <v/>
      </c>
      <c r="E76" s="54">
        <f>'Sim Data'!$G$358</f>
        <v/>
      </c>
      <c r="F76" s="57">
        <f>'Sim Data'!$I$358</f>
        <v/>
      </c>
      <c r="G76" s="48">
        <f>D76*E76</f>
        <v/>
      </c>
      <c r="H76" s="49">
        <f>IF(MAX(F76,G76)&lt;10,"≈ 0",IF(G76=0,"no new arrivals",F76/G76))</f>
        <v/>
      </c>
      <c r="I76" s="14">
        <f>IF(D76=0,"",IF(ISNUMBER(H76),IF(ABS(H76-1)&lt;=0.15,"Steady: L = λW holds",IF(H76&lt;1,"Filling up: arrivals outpace people leaving","Emptying: people from earlier slots still inside")),IF(G76=0,"Emptying: no new arrivals","Almost empty")))</f>
        <v/>
      </c>
    </row>
    <row r="77" ht="21.95" customHeight="1">
      <c r="A77" s="14" t="inlineStr">
        <is>
          <t>With Smart Scan screens</t>
        </is>
      </c>
      <c r="B77" s="14" t="inlineStr">
        <is>
          <t>Munch Mess</t>
        </is>
      </c>
      <c r="C77" s="27" t="inlineStr">
        <is>
          <t>13:30</t>
        </is>
      </c>
      <c r="D77" s="54">
        <f>'Sim Data'!$E$359</f>
        <v/>
      </c>
      <c r="E77" s="54">
        <f>'Sim Data'!$G$359</f>
        <v/>
      </c>
      <c r="F77" s="57">
        <f>'Sim Data'!$I$359</f>
        <v/>
      </c>
      <c r="G77" s="48">
        <f>D77*E77</f>
        <v/>
      </c>
      <c r="H77" s="49">
        <f>IF(MAX(F77,G77)&lt;10,"≈ 0",IF(G77=0,"no new arrivals",F77/G77))</f>
        <v/>
      </c>
      <c r="I77" s="14">
        <f>IF(D77=0,"",IF(ISNUMBER(H77),IF(ABS(H77-1)&lt;=0.15,"Steady: L = λW holds",IF(H77&lt;1,"Filling up: arrivals outpace people leaving","Emptying: people from earlier slots still inside")),IF(G77=0,"Emptying: no new arrivals","Almost empty")))</f>
        <v/>
      </c>
    </row>
    <row r="78" ht="21.95" customHeight="1">
      <c r="A78" s="14" t="inlineStr">
        <is>
          <t>With Smart Scan screens</t>
        </is>
      </c>
      <c r="B78" s="14" t="inlineStr">
        <is>
          <t>Munch Mess</t>
        </is>
      </c>
      <c r="C78" s="27" t="inlineStr">
        <is>
          <t>13:40</t>
        </is>
      </c>
      <c r="D78" s="54">
        <f>'Sim Data'!$E$360</f>
        <v/>
      </c>
      <c r="E78" s="54">
        <f>'Sim Data'!$G$360</f>
        <v/>
      </c>
      <c r="F78" s="57">
        <f>'Sim Data'!$I$360</f>
        <v/>
      </c>
      <c r="G78" s="48">
        <f>D78*E78</f>
        <v/>
      </c>
      <c r="H78" s="49">
        <f>IF(MAX(F78,G78)&lt;10,"≈ 0",IF(G78=0,"no new arrivals",F78/G78))</f>
        <v/>
      </c>
      <c r="I78" s="14">
        <f>IF(D78=0,"",IF(ISNUMBER(H78),IF(ABS(H78-1)&lt;=0.15,"Steady: L = λW holds",IF(H78&lt;1,"Filling up: arrivals outpace people leaving","Emptying: people from earlier slots still inside")),IF(G78=0,"Emptying: no new arrivals","Almost empty")))</f>
        <v/>
      </c>
    </row>
    <row r="79" ht="21.95" customHeight="1">
      <c r="A79" s="14" t="inlineStr">
        <is>
          <t>With Smart Scan screens</t>
        </is>
      </c>
      <c r="B79" s="14" t="inlineStr">
        <is>
          <t>Munch Mess</t>
        </is>
      </c>
      <c r="C79" s="27" t="inlineStr">
        <is>
          <t>13:50</t>
        </is>
      </c>
      <c r="D79" s="54">
        <f>'Sim Data'!$E$361</f>
        <v/>
      </c>
      <c r="E79" s="54">
        <f>'Sim Data'!$G$361</f>
        <v/>
      </c>
      <c r="F79" s="57">
        <f>'Sim Data'!$I$361</f>
        <v/>
      </c>
      <c r="G79" s="48">
        <f>D79*E79</f>
        <v/>
      </c>
      <c r="H79" s="49">
        <f>IF(MAX(F79,G79)&lt;10,"≈ 0",IF(G79=0,"no new arrivals",F79/G79))</f>
        <v/>
      </c>
      <c r="I79" s="14">
        <f>IF(D79=0,"",IF(ISNUMBER(H79),IF(ABS(H79-1)&lt;=0.15,"Steady: L = λW holds",IF(H79&lt;1,"Filling up: arrivals outpace people leaving","Emptying: people from earlier slots still inside")),IF(G79=0,"Emptying: no new arrivals","Almost empty")))</f>
        <v/>
      </c>
    </row>
    <row r="80" ht="21.95" customHeight="1">
      <c r="A80" s="14" t="inlineStr">
        <is>
          <t>With Smart Scan screens</t>
        </is>
      </c>
      <c r="B80" s="14" t="inlineStr">
        <is>
          <t>Munch Mess</t>
        </is>
      </c>
      <c r="C80" s="27" t="inlineStr">
        <is>
          <t>14:00</t>
        </is>
      </c>
      <c r="D80" s="54">
        <f>'Sim Data'!$E$362</f>
        <v/>
      </c>
      <c r="E80" s="54">
        <f>'Sim Data'!$G$362</f>
        <v/>
      </c>
      <c r="F80" s="57">
        <f>'Sim Data'!$I$362</f>
        <v/>
      </c>
      <c r="G80" s="48">
        <f>D80*E80</f>
        <v/>
      </c>
      <c r="H80" s="49">
        <f>IF(MAX(F80,G80)&lt;10,"≈ 0",IF(G80=0,"no new arrivals",F80/G80))</f>
        <v/>
      </c>
      <c r="I80" s="14">
        <f>IF(D80=0,"",IF(ISNUMBER(H80),IF(ABS(H80-1)&lt;=0.15,"Steady: L = λW holds",IF(H80&lt;1,"Filling up: arrivals outpace people leaving","Emptying: people from earlier slots still inside")),IF(G80=0,"Emptying: no new arrivals","Almost empty")))</f>
        <v/>
      </c>
    </row>
    <row r="81" ht="21.95" customHeight="1">
      <c r="A81" s="14" t="inlineStr">
        <is>
          <t>With Smart Scan screens</t>
        </is>
      </c>
      <c r="B81" s="14" t="inlineStr">
        <is>
          <t>Munch Mess</t>
        </is>
      </c>
      <c r="C81" s="27" t="inlineStr">
        <is>
          <t>14:10</t>
        </is>
      </c>
      <c r="D81" s="54">
        <f>'Sim Data'!$E$363</f>
        <v/>
      </c>
      <c r="E81" s="54">
        <f>'Sim Data'!$G$363</f>
        <v/>
      </c>
      <c r="F81" s="57">
        <f>'Sim Data'!$I$363</f>
        <v/>
      </c>
      <c r="G81" s="48">
        <f>D81*E81</f>
        <v/>
      </c>
      <c r="H81" s="49">
        <f>IF(MAX(F81,G81)&lt;10,"≈ 0",IF(G81=0,"no new arrivals",F81/G81))</f>
        <v/>
      </c>
      <c r="I81" s="14">
        <f>IF(D81=0,"",IF(ISNUMBER(H81),IF(ABS(H81-1)&lt;=0.15,"Steady: L = λW holds",IF(H81&lt;1,"Filling up: arrivals outpace people leaving","Emptying: people from earlier slots still inside")),IF(G81=0,"Emptying: no new arrivals","Almost empty")))</f>
        <v/>
      </c>
    </row>
    <row r="82" ht="21.95" customHeight="1">
      <c r="A82" s="14" t="inlineStr">
        <is>
          <t>With Smart Scan screens</t>
        </is>
      </c>
      <c r="B82" s="14" t="inlineStr">
        <is>
          <t>Munch Mess</t>
        </is>
      </c>
      <c r="C82" s="27" t="inlineStr">
        <is>
          <t>14:20</t>
        </is>
      </c>
      <c r="D82" s="54">
        <f>'Sim Data'!$E$364</f>
        <v/>
      </c>
      <c r="E82" s="54">
        <f>'Sim Data'!$G$364</f>
        <v/>
      </c>
      <c r="F82" s="57">
        <f>'Sim Data'!$I$364</f>
        <v/>
      </c>
      <c r="G82" s="48">
        <f>D82*E82</f>
        <v/>
      </c>
      <c r="H82" s="49">
        <f>IF(MAX(F82,G82)&lt;10,"≈ 0",IF(G82=0,"no new arrivals",F82/G82))</f>
        <v/>
      </c>
      <c r="I82" s="14">
        <f>IF(D82=0,"",IF(ISNUMBER(H82),IF(ABS(H82-1)&lt;=0.15,"Steady: L = λW holds",IF(H82&lt;1,"Filling up: arrivals outpace people leaving","Emptying: people from earlier slots still inside")),IF(G82=0,"Emptying: no new arrivals","Almost empty")))</f>
        <v/>
      </c>
    </row>
    <row r="83"/>
    <row r="84"/>
    <row r="85" ht="24.85" customHeight="1">
      <c r="A85" s="4" t="inlineStr">
        <is>
          <t>Central CT today: people inside vs λ × W (chart data)</t>
        </is>
      </c>
    </row>
    <row r="86" ht="37.9" customHeight="1">
      <c r="A86" s="7" t="inlineStr">
        <is>
          <t>Slot</t>
        </is>
      </c>
      <c r="B86" s="7" t="inlineStr">
        <is>
          <t>People inside (simulated)</t>
        </is>
      </c>
      <c r="C86" s="7" t="inlineStr">
        <is>
          <t>λ × W</t>
        </is>
      </c>
    </row>
    <row r="87" ht="21.95" customHeight="1">
      <c r="A87" s="14" t="inlineStr">
        <is>
          <t>11:30</t>
        </is>
      </c>
      <c r="B87" s="62">
        <f>F11</f>
        <v/>
      </c>
      <c r="C87" s="62">
        <f>G11</f>
        <v/>
      </c>
    </row>
    <row r="88" ht="21.95" customHeight="1">
      <c r="A88" s="14" t="inlineStr">
        <is>
          <t>11:40</t>
        </is>
      </c>
      <c r="B88" s="62">
        <f>F12</f>
        <v/>
      </c>
      <c r="C88" s="62">
        <f>G12</f>
        <v/>
      </c>
    </row>
    <row r="89" ht="21.95" customHeight="1">
      <c r="A89" s="14" t="inlineStr">
        <is>
          <t>11:50</t>
        </is>
      </c>
      <c r="B89" s="62">
        <f>F13</f>
        <v/>
      </c>
      <c r="C89" s="62">
        <f>G13</f>
        <v/>
      </c>
    </row>
    <row r="90" ht="21.95" customHeight="1">
      <c r="A90" s="14" t="inlineStr">
        <is>
          <t>12:00</t>
        </is>
      </c>
      <c r="B90" s="62">
        <f>F14</f>
        <v/>
      </c>
      <c r="C90" s="62">
        <f>G14</f>
        <v/>
      </c>
    </row>
    <row r="91" ht="21.95" customHeight="1">
      <c r="A91" s="14" t="inlineStr">
        <is>
          <t>12:10</t>
        </is>
      </c>
      <c r="B91" s="62">
        <f>F15</f>
        <v/>
      </c>
      <c r="C91" s="62">
        <f>G15</f>
        <v/>
      </c>
    </row>
    <row r="92" ht="21.95" customHeight="1">
      <c r="A92" s="14" t="inlineStr">
        <is>
          <t>12:20</t>
        </is>
      </c>
      <c r="B92" s="62">
        <f>F16</f>
        <v/>
      </c>
      <c r="C92" s="62">
        <f>G16</f>
        <v/>
      </c>
    </row>
    <row r="93" ht="21.95" customHeight="1">
      <c r="A93" s="14" t="inlineStr">
        <is>
          <t>12:30</t>
        </is>
      </c>
      <c r="B93" s="62">
        <f>F17</f>
        <v/>
      </c>
      <c r="C93" s="62">
        <f>G17</f>
        <v/>
      </c>
    </row>
    <row r="94" ht="21.95" customHeight="1">
      <c r="A94" s="14" t="inlineStr">
        <is>
          <t>12:40</t>
        </is>
      </c>
      <c r="B94" s="62">
        <f>F18</f>
        <v/>
      </c>
      <c r="C94" s="62">
        <f>G18</f>
        <v/>
      </c>
    </row>
    <row r="95" ht="21.95" customHeight="1">
      <c r="A95" s="14" t="inlineStr">
        <is>
          <t>12:50</t>
        </is>
      </c>
      <c r="B95" s="62">
        <f>F19</f>
        <v/>
      </c>
      <c r="C95" s="62">
        <f>G19</f>
        <v/>
      </c>
    </row>
    <row r="96" ht="21.95" customHeight="1">
      <c r="A96" s="14" t="inlineStr">
        <is>
          <t>13:00</t>
        </is>
      </c>
      <c r="B96" s="62">
        <f>F20</f>
        <v/>
      </c>
      <c r="C96" s="62">
        <f>G20</f>
        <v/>
      </c>
    </row>
    <row r="97" ht="21.95" customHeight="1">
      <c r="A97" s="14" t="inlineStr">
        <is>
          <t>13:10</t>
        </is>
      </c>
      <c r="B97" s="62">
        <f>F21</f>
        <v/>
      </c>
      <c r="C97" s="62">
        <f>G21</f>
        <v/>
      </c>
    </row>
    <row r="98" ht="21.95" customHeight="1">
      <c r="A98" s="14" t="inlineStr">
        <is>
          <t>13:20</t>
        </is>
      </c>
      <c r="B98" s="62">
        <f>F22</f>
        <v/>
      </c>
      <c r="C98" s="62">
        <f>G22</f>
        <v/>
      </c>
    </row>
    <row r="99" ht="21.95" customHeight="1">
      <c r="A99" s="14" t="inlineStr">
        <is>
          <t>13:30</t>
        </is>
      </c>
      <c r="B99" s="62">
        <f>F23</f>
        <v/>
      </c>
      <c r="C99" s="62">
        <f>G23</f>
        <v/>
      </c>
    </row>
    <row r="100" ht="21.95" customHeight="1">
      <c r="A100" s="14" t="inlineStr">
        <is>
          <t>13:40</t>
        </is>
      </c>
      <c r="B100" s="62">
        <f>F24</f>
        <v/>
      </c>
      <c r="C100" s="62">
        <f>G24</f>
        <v/>
      </c>
    </row>
    <row r="101" ht="21.95" customHeight="1">
      <c r="A101" s="14" t="inlineStr">
        <is>
          <t>13:50</t>
        </is>
      </c>
      <c r="B101" s="62">
        <f>F25</f>
        <v/>
      </c>
      <c r="C101" s="62">
        <f>G25</f>
        <v/>
      </c>
    </row>
    <row r="102" ht="21.95" customHeight="1">
      <c r="A102" s="14" t="inlineStr">
        <is>
          <t>14:00</t>
        </is>
      </c>
      <c r="B102" s="62">
        <f>F26</f>
        <v/>
      </c>
      <c r="C102" s="62">
        <f>G26</f>
        <v/>
      </c>
    </row>
    <row r="103" ht="21.95" customHeight="1">
      <c r="A103" s="14" t="inlineStr">
        <is>
          <t>14:10</t>
        </is>
      </c>
      <c r="B103" s="62">
        <f>F27</f>
        <v/>
      </c>
      <c r="C103" s="62">
        <f>G27</f>
        <v/>
      </c>
    </row>
    <row r="104" ht="21.95" customHeight="1">
      <c r="A104" s="14" t="inlineStr">
        <is>
          <t>14:20</t>
        </is>
      </c>
      <c r="B104" s="62">
        <f>F28</f>
        <v/>
      </c>
      <c r="C104" s="62">
        <f>G28</f>
        <v/>
      </c>
    </row>
  </sheetData>
  <autoFilter ref="A10:I82"/>
  <mergeCells count="1">
    <mergeCell ref="A4:I7"/>
  </mergeCells>
  <conditionalFormatting sqref="I11:I82">
    <cfRule type="expression" priority="1" dxfId="2">
      <formula>LEFT($I11,6)="Steady"</formula>
    </cfRule>
  </conditionalFormatting>
  <printOptions horizontalCentered="1"/>
  <pageMargins left="0.75" right="0.75" top="1" bottom="1"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tabColor rgb="00548235"/>
    <outlinePr summaryBelow="1" summaryRight="1"/>
    <pageSetUpPr fitToPage="1"/>
  </sheetPr>
  <dimension ref="A1:D58"/>
  <sheetViews>
    <sheetView showGridLines="0" tabSelected="0" zoomScale="100" workbookViewId="0">
      <selection activeCell="A1" sqref="A1"/>
    </sheetView>
  </sheetViews>
  <sheetFormatPr baseColWidth="8" defaultRowHeight="15"/>
  <cols>
    <col width="58" customWidth="1" min="1" max="1"/>
    <col width="17" customWidth="1" min="2" max="2"/>
    <col width="17" customWidth="1" min="3" max="3"/>
    <col width="50" customWidth="1" min="4" max="4"/>
  </cols>
  <sheetData>
    <row r="1" ht="36" customHeight="1">
      <c r="A1" s="1" t="inlineStr">
        <is>
          <t>Capacity</t>
        </is>
      </c>
      <c r="B1" s="2" t="n"/>
      <c r="C1" s="2" t="n"/>
      <c r="D1" s="2" t="n"/>
    </row>
    <row r="2" ht="22" customHeight="1">
      <c r="A2" s="3" t="inlineStr">
        <is>
          <t>Seat turnover, the capacity of each stage, and the bottleneck. Times are simulated averages for today (no screens).</t>
        </is>
      </c>
    </row>
    <row r="3" ht="8" customHeight="1"/>
    <row r="4" ht="21.95" customHeight="1">
      <c r="A4" s="7" t="inlineStr">
        <is>
          <t>Measure</t>
        </is>
      </c>
      <c r="B4" s="7" t="inlineStr">
        <is>
          <t>Central CT</t>
        </is>
      </c>
      <c r="C4" s="7" t="inlineStr">
        <is>
          <t>Munch Mess</t>
        </is>
      </c>
      <c r="D4" s="7" t="inlineStr">
        <is>
          <t>How it is calculated</t>
        </is>
      </c>
    </row>
    <row r="5" ht="24.85" customHeight="1">
      <c r="A5" s="4" t="inlineStr">
        <is>
          <t>1. Time at each stage, per student (simulated, today)</t>
        </is>
      </c>
    </row>
    <row r="6" ht="21.95" customHeight="1">
      <c r="A6" s="44" t="inlineStr">
        <is>
          <t>Stage 1 · Scan &amp; collect plate (minutes)</t>
        </is>
      </c>
      <c r="B6" s="63">
        <f>SUMPRODUCT('Sim Data'!$E$5:$E$22,'Sim Data'!$F$5:$F$22)/SUM('Sim Data'!$E$5:$E$22)+SUMPRODUCT('Sim Data'!$E$5:$E$22,'Sim Data'!$G$5:$G$22)/SUM('Sim Data'!$E$5:$E$22)+'Assumptions'!$B$17/60</f>
        <v/>
      </c>
      <c r="C6" s="63">
        <f>SUMPRODUCT('Sim Data'!$E$95:$E$112,'Sim Data'!$F$95:$F$112)/SUM('Sim Data'!$E$95:$E$112)+SUMPRODUCT('Sim Data'!$E$95:$E$112,'Sim Data'!$G$95:$G$112)/SUM('Sim Data'!$E$95:$E$112)+'Assumptions'!$B$17/60</f>
        <v/>
      </c>
      <c r="D6" s="23" t="inlineStr">
        <is>
          <t>Group: 30–45 s, plus any queue at the scanner</t>
        </is>
      </c>
    </row>
    <row r="7" ht="37.9" customHeight="1">
      <c r="A7" s="44" t="inlineStr">
        <is>
          <t>Stage 2 · Collect food (minutes)</t>
        </is>
      </c>
      <c r="B7" s="63">
        <f>SUMPRODUCT('Sim Data'!$E$23:$E$40,'Sim Data'!$F$23:$F$40)/SUM('Sim Data'!$E$23:$E$40)+SUMPRODUCT('Sim Data'!$E$23:$E$40,'Sim Data'!$G$23:$G$40)/SUM('Sim Data'!$E$23:$E$40)+'Assumptions'!$B$23/60</f>
        <v/>
      </c>
      <c r="C7" s="63">
        <f>SUMPRODUCT('Sim Data'!$E$113:$E$130,'Sim Data'!$F$113:$F$130)/SUM('Sim Data'!$E$113:$E$130)+SUMPRODUCT('Sim Data'!$E$113:$E$130,'Sim Data'!$G$113:$G$130)/SUM('Sim Data'!$E$113:$E$130)+'Assumptions'!$B$23/60</f>
        <v/>
      </c>
      <c r="D7" s="23" t="inlineStr">
        <is>
          <t>Group: 1–2 min, plus the queue (up to ~15 min in the rush)</t>
        </is>
      </c>
    </row>
    <row r="8" ht="21.95" customHeight="1">
      <c r="A8" s="44" t="inlineStr">
        <is>
          <t>Stage 3 · Eat (minutes)</t>
        </is>
      </c>
      <c r="B8" s="64">
        <f>SUMPRODUCT('Sim Data'!$E$41:$E$58,'Sim Data'!$F$41:$F$58)/SUM('Sim Data'!$E$41:$E$58)+SUMPRODUCT('Sim Data'!$E$41:$E$58,'Sim Data'!$G$41:$G$58)/SUM('Sim Data'!$E$41:$E$58)</f>
        <v/>
      </c>
      <c r="C8" s="64">
        <f>SUMPRODUCT('Sim Data'!$E$131:$E$148,'Sim Data'!$F$131:$F$148)/SUM('Sim Data'!$E$131:$E$148)+SUMPRODUCT('Sim Data'!$E$131:$E$148,'Sim Data'!$G$131:$G$148)/SUM('Sim Data'!$E$131:$E$148)</f>
        <v/>
      </c>
      <c r="D8" s="23" t="inlineStr">
        <is>
          <t>Group: 14–18 min</t>
        </is>
      </c>
    </row>
    <row r="9" ht="21.95" customHeight="1">
      <c r="A9" s="44" t="inlineStr">
        <is>
          <t>Stage 4 · Dispose of plate (minutes)</t>
        </is>
      </c>
      <c r="B9" s="64">
        <f>SUMPRODUCT('Sim Data'!$E$59:$E$76,'Sim Data'!$G$59:$G$76)/SUM('Sim Data'!$E$59:$E$76)</f>
        <v/>
      </c>
      <c r="C9" s="64">
        <f>SUMPRODUCT('Sim Data'!$E$149:$E$166,'Sim Data'!$G$149:$G$166)/SUM('Sim Data'!$E$149:$E$166)</f>
        <v/>
      </c>
      <c r="D9" s="23" t="inlineStr">
        <is>
          <t>Group: 1–2 min</t>
        </is>
      </c>
    </row>
    <row r="10" ht="21.95" customHeight="1">
      <c r="A10" s="44" t="inlineStr">
        <is>
          <t>Total time in the mess, door to leaving (minutes)</t>
        </is>
      </c>
      <c r="B10" s="64">
        <f>SUMPRODUCT('Sim Data'!$E$77:$E$94,'Sim Data'!$G$77:$G$94)/SUM('Sim Data'!$E$77:$E$94)</f>
        <v/>
      </c>
      <c r="C10" s="64">
        <f>SUMPRODUCT('Sim Data'!$E$167:$E$184,'Sim Data'!$G$167:$G$184)/SUM('Sim Data'!$E$167:$E$184)</f>
        <v/>
      </c>
      <c r="D10" s="23" t="inlineStr">
        <is>
          <t>Group: 17–35 min</t>
        </is>
      </c>
    </row>
    <row r="11"/>
    <row r="12" ht="24.85" customHeight="1">
      <c r="A12" s="4" t="inlineStr">
        <is>
          <t>Detail: queues and service times</t>
        </is>
      </c>
    </row>
    <row r="13" ht="21.95" customHeight="1">
      <c r="A13" s="14" t="inlineStr">
        <is>
          <t>Average scan time (seconds)</t>
        </is>
      </c>
      <c r="B13" s="54">
        <f>SUMPRODUCT('Sim Data'!$E$5:$E$22,'Sim Data'!$G$5:$G$22)/SUM('Sim Data'!$E$5:$E$22)*60</f>
        <v/>
      </c>
      <c r="C13" s="54">
        <f>SUMPRODUCT('Sim Data'!$E$95:$E$112,'Sim Data'!$G$95:$G$112)/SUM('Sim Data'!$E$95:$E$112)*60</f>
        <v/>
      </c>
      <c r="D13" s="23" t="inlineStr">
        <is>
          <t>Mean time at the face scanner, excluding the queue</t>
        </is>
      </c>
    </row>
    <row r="14" ht="21.95" customHeight="1">
      <c r="A14" s="14" t="inlineStr">
        <is>
          <t>Average wait for the scanner (minutes)</t>
        </is>
      </c>
      <c r="B14" s="59">
        <f>SUMPRODUCT('Sim Data'!$E$5:$E$22,'Sim Data'!$F$5:$F$22)/SUM('Sim Data'!$E$5:$E$22)</f>
        <v/>
      </c>
      <c r="C14" s="59">
        <f>SUMPRODUCT('Sim Data'!$E$95:$E$112,'Sim Data'!$F$95:$F$112)/SUM('Sim Data'!$E$95:$E$112)</f>
        <v/>
      </c>
      <c r="D14" s="23" t="inlineStr">
        <is>
          <t>Queue</t>
        </is>
      </c>
    </row>
    <row r="15" ht="21.95" customHeight="1">
      <c r="A15" s="14" t="inlineStr">
        <is>
          <t>Average wait at the serving station (minutes)</t>
        </is>
      </c>
      <c r="B15" s="59">
        <f>SUMPRODUCT('Sim Data'!$E$23:$E$40,'Sim Data'!$F$23:$F$40)/SUM('Sim Data'!$E$23:$E$40)</f>
        <v/>
      </c>
      <c r="C15" s="59">
        <f>SUMPRODUCT('Sim Data'!$E$113:$E$130,'Sim Data'!$F$113:$F$130)/SUM('Sim Data'!$E$113:$E$130)</f>
        <v/>
      </c>
      <c r="D15" s="23" t="inlineStr">
        <is>
          <t>Queue for the 2 stations</t>
        </is>
      </c>
    </row>
    <row r="16" ht="21.95" customHeight="1">
      <c r="A16" s="14" t="inlineStr">
        <is>
          <t>Average serving time (minutes)</t>
        </is>
      </c>
      <c r="B16" s="59">
        <f>SUMPRODUCT('Sim Data'!$E$23:$E$40,'Sim Data'!$G$23:$G$40)/SUM('Sim Data'!$E$23:$E$40)</f>
        <v/>
      </c>
      <c r="C16" s="59">
        <f>SUMPRODUCT('Sim Data'!$E$113:$E$130,'Sim Data'!$G$113:$G$130)/SUM('Sim Data'!$E$113:$E$130)</f>
        <v/>
      </c>
      <c r="D16" s="23" t="inlineStr">
        <is>
          <t>At the station</t>
        </is>
      </c>
    </row>
    <row r="17" ht="21.95" customHeight="1">
      <c r="A17" s="14" t="inlineStr">
        <is>
          <t>Average time at the kitchen / serving station (wait + serving, minutes)</t>
        </is>
      </c>
      <c r="B17" s="49">
        <f>B15+B16</f>
        <v/>
      </c>
      <c r="C17" s="49">
        <f>C15+C16</f>
        <v/>
      </c>
      <c r="D17" s="23" t="inlineStr">
        <is>
          <t>Queue + service</t>
        </is>
      </c>
    </row>
    <row r="18" ht="21.95" customHeight="1">
      <c r="A18" s="14" t="inlineStr">
        <is>
          <t>Average lunch (eating) time at the table (minutes)</t>
        </is>
      </c>
      <c r="B18" s="54">
        <f>SUMPRODUCT('Sim Data'!$E$41:$E$58,'Sim Data'!$G$41:$G$58)/SUM('Sim Data'!$E$41:$E$58)</f>
        <v/>
      </c>
      <c r="C18" s="54">
        <f>SUMPRODUCT('Sim Data'!$E$131:$E$148,'Sim Data'!$G$131:$G$148)/SUM('Sim Data'!$E$131:$E$148)</f>
        <v/>
      </c>
      <c r="D18" s="23" t="inlineStr">
        <is>
          <t>Seat held from sitting down to getting up</t>
        </is>
      </c>
    </row>
    <row r="19"/>
    <row r="20" ht="24.85" customHeight="1">
      <c r="A20" s="4" t="inlineStr">
        <is>
          <t>2. Seat turnover</t>
        </is>
      </c>
    </row>
    <row r="21" ht="21.95" customHeight="1">
      <c r="A21" s="14" t="inlineStr">
        <is>
          <t>Seats</t>
        </is>
      </c>
      <c r="B21" s="61">
        <f>'Assumptions'!$B$26</f>
        <v/>
      </c>
      <c r="C21" s="61">
        <f>'Assumptions'!$B$27</f>
        <v/>
      </c>
      <c r="D21" s="23" t="inlineStr">
        <is>
          <t>Measured (Munch recounted: 492)</t>
        </is>
      </c>
    </row>
    <row r="22" ht="21.95" customHeight="1">
      <c r="A22" s="44" t="inlineStr">
        <is>
          <t>Seat turnover time T (minutes per diner)</t>
        </is>
      </c>
      <c r="B22" s="64">
        <f>B18+'Assumptions'!$B$30</f>
        <v/>
      </c>
      <c r="C22" s="64">
        <f>C18+'Assumptions'!$B$30</f>
        <v/>
      </c>
      <c r="D22" s="23" t="inlineStr">
        <is>
          <t>Eating time + changeover (0.2 min)</t>
        </is>
      </c>
    </row>
    <row r="23" ht="21.95" customHeight="1">
      <c r="A23" s="44" t="inlineStr">
        <is>
          <t>Seat turnover rate (diners per seat per hour)</t>
        </is>
      </c>
      <c r="B23" s="50">
        <f>60/B22</f>
        <v/>
      </c>
      <c r="C23" s="50">
        <f>60/C22</f>
        <v/>
      </c>
      <c r="D23" s="23" t="inlineStr">
        <is>
          <t>60 ÷ T</t>
        </is>
      </c>
    </row>
    <row r="24" ht="21.95" customHeight="1">
      <c r="A24" s="44" t="inlineStr">
        <is>
          <t>Seating capacity (students per minute)</t>
        </is>
      </c>
      <c r="B24" s="65">
        <f>B21/B22</f>
        <v/>
      </c>
      <c r="C24" s="65">
        <f>C21/C22</f>
        <v/>
      </c>
      <c r="D24" s="23" t="inlineStr">
        <is>
          <t>Seats ÷ T (Little's Law: λmax = L ÷ W)</t>
        </is>
      </c>
    </row>
    <row r="25" ht="21.95" customHeight="1">
      <c r="A25" s="14" t="inlineStr">
        <is>
          <t>Seating capacity over the lunch window (students)</t>
        </is>
      </c>
      <c r="B25" s="61">
        <f>B21*'Assumptions'!$B$8/B22</f>
        <v/>
      </c>
      <c r="C25" s="61">
        <f>C21*'Assumptions'!$B$8/C22</f>
        <v/>
      </c>
      <c r="D25" s="23" t="inlineStr">
        <is>
          <t>Seats × 180 ÷ T</t>
        </is>
      </c>
    </row>
    <row r="26" ht="21.95" customHeight="1">
      <c r="A26" s="14" t="inlineStr">
        <is>
          <t>Students served this lunch (simulated)</t>
        </is>
      </c>
      <c r="B26" s="61">
        <f>'Sim Data'!$C$368</f>
        <v/>
      </c>
      <c r="C26" s="61">
        <f>'Sim Data'!$C$369</f>
        <v/>
      </c>
      <c r="D26" s="23" t="inlineStr">
        <is>
          <t>Sim Data</t>
        </is>
      </c>
    </row>
    <row r="27" ht="21.95" customHeight="1">
      <c r="A27" s="14" t="inlineStr">
        <is>
          <t>Actual turns per seat this lunch</t>
        </is>
      </c>
      <c r="B27" s="49">
        <f>B26/B21</f>
        <v/>
      </c>
      <c r="C27" s="49">
        <f>C26/C21</f>
        <v/>
      </c>
      <c r="D27" s="23" t="inlineStr">
        <is>
          <t>Students served ÷ seats</t>
        </is>
      </c>
    </row>
    <row r="28" ht="21.95" customHeight="1">
      <c r="A28" s="14" t="inlineStr">
        <is>
          <t>Peak seats in use (simulated)</t>
        </is>
      </c>
      <c r="B28" s="61">
        <f>'Sim Data'!$D$368</f>
        <v/>
      </c>
      <c r="C28" s="61">
        <f>'Sim Data'!$D$369</f>
        <v/>
      </c>
      <c r="D28" s="23" t="inlineStr">
        <is>
          <t>Sim Data</t>
        </is>
      </c>
    </row>
    <row r="29" ht="21.95" customHeight="1">
      <c r="A29" s="44" t="inlineStr">
        <is>
          <t>Peak seat utilisation</t>
        </is>
      </c>
      <c r="B29" s="46">
        <f>B28/B21</f>
        <v/>
      </c>
      <c r="C29" s="46">
        <f>C28/C21</f>
        <v/>
      </c>
      <c r="D29" s="23" t="inlineStr">
        <is>
          <t>Peak in use ÷ seats</t>
        </is>
      </c>
    </row>
    <row r="30"/>
    <row r="31" ht="24.85" customHeight="1">
      <c r="A31" s="4" t="inlineStr">
        <is>
          <t>3. Capacity of each stage (students per minute) and the bottleneck</t>
        </is>
      </c>
    </row>
    <row r="32" ht="21.95" customHeight="1">
      <c r="A32" s="14" t="inlineStr">
        <is>
          <t>Scanner capacity</t>
        </is>
      </c>
      <c r="B32" s="54">
        <f>'Assumptions'!$B$15*60/'Assumptions'!$B$16</f>
        <v/>
      </c>
      <c r="C32" s="54">
        <f>'Assumptions'!$B$15*60/'Assumptions'!$B$16</f>
        <v/>
      </c>
      <c r="D32" s="23" t="inlineStr">
        <is>
          <t>Scanners × 60 ÷ seconds per scan</t>
        </is>
      </c>
    </row>
    <row r="33" ht="21.95" customHeight="1">
      <c r="A33" s="14" t="inlineStr">
        <is>
          <t>Serving-station capacity</t>
        </is>
      </c>
      <c r="B33" s="54">
        <f>'Assumptions'!$B$20*'Assumptions'!$B$21</f>
        <v/>
      </c>
      <c r="C33" s="54">
        <f>'Assumptions'!$B$20*'Assumptions'!$B$21</f>
        <v/>
      </c>
      <c r="D33" s="23" t="inlineStr">
        <is>
          <t>Stations × μ</t>
        </is>
      </c>
    </row>
    <row r="34" ht="21.95" customHeight="1">
      <c r="A34" s="14" t="inlineStr">
        <is>
          <t>Seating capacity</t>
        </is>
      </c>
      <c r="B34" s="56">
        <f>B24</f>
        <v/>
      </c>
      <c r="C34" s="56">
        <f>C24</f>
        <v/>
      </c>
      <c r="D34" s="23" t="inlineStr">
        <is>
          <t>From section 2</t>
        </is>
      </c>
    </row>
    <row r="35" ht="21.95" customHeight="1">
      <c r="A35" s="14" t="inlineStr">
        <is>
          <t>Disposal capacity</t>
        </is>
      </c>
      <c r="B35" s="27" t="inlineStr">
        <is>
          <t>no limit</t>
        </is>
      </c>
      <c r="C35" s="27" t="inlineStr">
        <is>
          <t>no limit</t>
        </is>
      </c>
      <c r="D35" s="23" t="inlineStr">
        <is>
          <t>No queue: several bins, 1–2 min each</t>
        </is>
      </c>
    </row>
    <row r="36" ht="21.95" customHeight="1">
      <c r="A36" s="44" t="inlineStr">
        <is>
          <t>Bottleneck (smallest capacity)</t>
        </is>
      </c>
      <c r="B36" s="66">
        <f>IF(MIN(B32,B33,B34)=B33,"Serving stations",IF(MIN(B32,B33,B34)=B32,"Scanner","Seats"))</f>
        <v/>
      </c>
      <c r="C36" s="66">
        <f>IF(MIN(C32,C33,C34)=C33,"Serving stations",IF(MIN(C32,C33,C34)=C32,"Scanner","Seats"))</f>
        <v/>
      </c>
      <c r="D36" s="23" t="inlineStr">
        <is>
          <t>The stage with the smallest capacity</t>
        </is>
      </c>
    </row>
    <row r="37" ht="21.95" customHeight="1">
      <c r="A37" s="14" t="inlineStr">
        <is>
          <t>Design capacity per lunch (bottleneck × window, students)</t>
        </is>
      </c>
      <c r="B37" s="61">
        <f>MIN(B32,B33,B34)*'Assumptions'!$B$8</f>
        <v/>
      </c>
      <c r="C37" s="61">
        <f>MIN(C32,C33,C34)*'Assumptions'!$B$8</f>
        <v/>
      </c>
      <c r="D37" s="23" t="inlineStr">
        <is>
          <t>Best possible output</t>
        </is>
      </c>
    </row>
    <row r="38" ht="21.95" customHeight="1">
      <c r="A38" s="14" t="inlineStr">
        <is>
          <t>Stock-out minutes this lunch (simulated)</t>
        </is>
      </c>
      <c r="B38" s="54">
        <f>'Sim Data'!$E$368</f>
        <v/>
      </c>
      <c r="C38" s="54">
        <f>'Sim Data'!$E$369</f>
        <v/>
      </c>
      <c r="D38" s="23" t="inlineStr">
        <is>
          <t>Stations idle while the star dish is out</t>
        </is>
      </c>
    </row>
    <row r="39" ht="21.95" customHeight="1">
      <c r="A39" s="14" t="inlineStr">
        <is>
          <t>Effective capacity per lunch (students)</t>
        </is>
      </c>
      <c r="B39" s="61">
        <f>B37*(1-B38/'Assumptions'!$B$8)</f>
        <v/>
      </c>
      <c r="C39" s="61">
        <f>C37*(1-C38/'Assumptions'!$B$8)</f>
        <v/>
      </c>
      <c r="D39" s="23" t="inlineStr">
        <is>
          <t>Design × share of time food is available</t>
        </is>
      </c>
    </row>
    <row r="40" ht="21.95" customHeight="1">
      <c r="A40" s="44" t="inlineStr">
        <is>
          <t>Utilisation = actual ÷ design</t>
        </is>
      </c>
      <c r="B40" s="46">
        <f>B26/B37</f>
        <v/>
      </c>
      <c r="C40" s="46">
        <f>C26/C37</f>
        <v/>
      </c>
      <c r="D40" s="23" t="inlineStr">
        <is>
          <t>OM definition</t>
        </is>
      </c>
    </row>
    <row r="41" ht="21.95" customHeight="1">
      <c r="A41" s="14" t="inlineStr">
        <is>
          <t>Efficiency = actual ÷ effective</t>
        </is>
      </c>
      <c r="B41" s="58">
        <f>B26/B39</f>
        <v/>
      </c>
      <c r="C41" s="58">
        <f>C26/C39</f>
        <v/>
      </c>
      <c r="D41" s="23" t="inlineStr">
        <is>
          <t>OM definition</t>
        </is>
      </c>
    </row>
    <row r="42" ht="37.9" customHeight="1">
      <c r="A42" s="14" t="inlineStr">
        <is>
          <t>Capacity cushion = 1 − utilisation</t>
        </is>
      </c>
      <c r="B42" s="58">
        <f>1-B40</f>
        <v/>
      </c>
      <c r="C42" s="58">
        <f>1-C40</f>
        <v/>
      </c>
      <c r="D42" s="23" t="inlineStr">
        <is>
          <t>Spare capacity over the whole lunch. Averages hide the peak: see section 4</t>
        </is>
      </c>
    </row>
    <row r="43"/>
    <row r="44" ht="24.85" customHeight="1">
      <c r="A44" s="4" t="inlineStr">
        <is>
          <t>4. The peak decides: capacity needed in the busiest 10 minutes (serving stations)</t>
        </is>
      </c>
    </row>
    <row r="45" ht="21.95" customHeight="1">
      <c r="A45" s="14" t="inlineStr">
        <is>
          <t>Peak 10-min arrival rate at the serving stations, today (/min)</t>
        </is>
      </c>
      <c r="B45" s="54">
        <f>MAX('Sim Data'!$E$23:$E$40)</f>
        <v/>
      </c>
      <c r="C45" s="54">
        <f>MAX('Sim Data'!$E$113:$E$130)</f>
        <v/>
      </c>
      <c r="D45" s="23" t="inlineStr">
        <is>
          <t>Sim Data</t>
        </is>
      </c>
    </row>
    <row r="46" ht="21.95" customHeight="1">
      <c r="A46" s="44" t="inlineStr">
        <is>
          <t>Peak load today: arrivals ÷ serving capacity</t>
        </is>
      </c>
      <c r="B46" s="46">
        <f>B45/B33</f>
        <v/>
      </c>
      <c r="C46" s="46">
        <f>C45/C33</f>
        <v/>
      </c>
      <c r="D46" s="23" t="inlineStr">
        <is>
          <t>Above 100% the line grows</t>
        </is>
      </c>
    </row>
    <row r="47" ht="21.95" customHeight="1">
      <c r="A47" s="14" t="inlineStr">
        <is>
          <t>Peak 10-min arrival rate with the screens (/min)</t>
        </is>
      </c>
      <c r="B47" s="54">
        <f>MAX('Sim Data'!$E$203:$E$220)</f>
        <v/>
      </c>
      <c r="C47" s="54">
        <f>MAX('Sim Data'!$E$293:$E$310)</f>
        <v/>
      </c>
      <c r="D47" s="23" t="inlineStr">
        <is>
          <t>Sim Data</t>
        </is>
      </c>
    </row>
    <row r="48" ht="37.9" customHeight="1">
      <c r="A48" s="44" t="inlineStr">
        <is>
          <t>Peak load with the screens</t>
        </is>
      </c>
      <c r="B48" s="46">
        <f>B47/B33</f>
        <v/>
      </c>
      <c r="C48" s="46">
        <f>C47/C33</f>
        <v/>
      </c>
      <c r="D48" s="23" t="inlineStr">
        <is>
          <t>Load balancing moves part of Central's peak to Munch</t>
        </is>
      </c>
    </row>
    <row r="49" ht="21.95" customHeight="1">
      <c r="A49" s="14" t="inlineStr">
        <is>
          <t>Serving stations available</t>
        </is>
      </c>
      <c r="B49" s="57">
        <f>'Assumptions'!$B$20</f>
        <v/>
      </c>
      <c r="C49" s="57">
        <f>'Assumptions'!$B$20</f>
        <v/>
      </c>
      <c r="D49" s="23" t="inlineStr">
        <is>
          <t>Measured</t>
        </is>
      </c>
    </row>
    <row r="50" ht="37.9" customHeight="1">
      <c r="A50" s="44" t="inlineStr">
        <is>
          <t>Stations needed today to keep the peak at or below the target utilisation</t>
        </is>
      </c>
      <c r="B50" s="67">
        <f>ROUNDUP(B45/('Assumptions'!$B$21*'Assumptions'!$B$43),0)</f>
        <v/>
      </c>
      <c r="C50" s="67">
        <f>ROUNDUP(C45/('Assumptions'!$B$21*'Assumptions'!$B$43),0)</f>
        <v/>
      </c>
      <c r="D50" s="23" t="inlineStr">
        <is>
          <t>ROUNDUP(peak λ ÷ (μ × target)); target on Assumptions</t>
        </is>
      </c>
    </row>
    <row r="51" ht="21.95" customHeight="1">
      <c r="A51" s="44" t="inlineStr">
        <is>
          <t>Stations needed with the screens</t>
        </is>
      </c>
      <c r="B51" s="67">
        <f>ROUNDUP(B47/('Assumptions'!$B$21*'Assumptions'!$B$43),0)</f>
        <v/>
      </c>
      <c r="C51" s="67">
        <f>ROUNDUP(C47/('Assumptions'!$B$21*'Assumptions'!$B$43),0)</f>
        <v/>
      </c>
      <c r="D51" s="23" t="inlineStr">
        <is>
          <t>Same rule, after load balancing</t>
        </is>
      </c>
    </row>
    <row r="52"/>
    <row r="53" ht="19.60833333333333" customHeight="1">
      <c r="A53" s="52" t="inlineStr">
        <is>
          <t>Takeaway: A seat turns over about every 16.2 minutes, roughly 3.7 diners an hour, so the seats could take about 56 students a minute at Central and 30 at Munch. The serving stations (20 a minute per mess) are the bottleneck at both messes, below the scanner (30) and the seats. Total capacity is not the problem: at the peak Central gets far more than its 20 a minute while Munch runs well under, so the answer is balancing the load, not adding seats. Averages hide this: over the whole lunch Central's stations look only about two-thirds used, yet in the busiest 10 minutes they are far over capacity. Sizing for the peak at the target utilisation, Central alone would need more stations today; with the screens the peak is shared, so it needs fewer. Seats can never fill: the stations let at most 20 students a minute through, and 20 × ~16 min of eating ≈ 320 seats, well under 900 and 492.</t>
        </is>
      </c>
    </row>
    <row r="54">
      <c r="A54" s="53" t="n"/>
    </row>
    <row r="55">
      <c r="A55" s="53" t="n"/>
    </row>
    <row r="56">
      <c r="A56" s="53" t="n"/>
    </row>
    <row r="57">
      <c r="A57" s="53" t="n"/>
    </row>
    <row r="58">
      <c r="A58" s="53" t="n"/>
    </row>
  </sheetData>
  <mergeCells count="1">
    <mergeCell ref="A53:D58"/>
  </mergeCells>
  <printOptions horizontalCentered="1"/>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tabColor rgb="00C55A11"/>
    <outlinePr summaryBelow="1" summaryRight="1"/>
    <pageSetUpPr fitToPage="1"/>
  </sheetPr>
  <dimension ref="A1:J177"/>
  <sheetViews>
    <sheetView showGridLines="0" tabSelected="0" zoomScale="100" workbookViewId="0">
      <selection activeCell="A1" sqref="A1"/>
    </sheetView>
  </sheetViews>
  <sheetFormatPr baseColWidth="8" defaultRowHeight="15"/>
  <cols>
    <col width="54" customWidth="1" min="1" max="1"/>
    <col width="14" customWidth="1" min="2" max="2"/>
    <col width="14" customWidth="1" min="3" max="3"/>
    <col width="14" customWidth="1" min="4" max="4"/>
    <col width="14" customWidth="1" min="5" max="5"/>
    <col width="14" customWidth="1" min="6" max="6"/>
    <col width="14" customWidth="1" min="7" max="7"/>
    <col width="13" customWidth="1" min="8" max="8"/>
    <col width="13" customWidth="1" min="9" max="9"/>
    <col width="18" customWidth="1" min="10" max="10"/>
  </cols>
  <sheetData>
    <row r="1" ht="36" customHeight="1">
      <c r="A1" s="1" t="inlineStr">
        <is>
          <t>Load balancing</t>
        </is>
      </c>
      <c r="B1" s="2" t="n"/>
      <c r="C1" s="2" t="n"/>
      <c r="D1" s="2" t="n"/>
      <c r="E1" s="2" t="n"/>
      <c r="F1" s="2" t="n"/>
      <c r="G1" s="2" t="n"/>
      <c r="H1" s="2" t="n"/>
      <c r="I1" s="2" t="n"/>
    </row>
    <row r="2" ht="22" customHeight="1">
      <c r="A2" s="3" t="inlineStr">
        <is>
          <t>How Smart Scan decides when to send a student to the other mess, and why a fixed 'department X eats at mess Y' rule does not work.</t>
        </is>
      </c>
    </row>
    <row r="3" ht="8" customHeight="1"/>
    <row r="4" ht="24.85" customHeight="1">
      <c r="A4" s="4" t="inlineStr">
        <is>
          <t>1. How the routing works (every 5 seconds)</t>
        </is>
      </c>
    </row>
    <row r="5" ht="21.95" customHeight="1">
      <c r="A5" s="5" t="inlineStr">
        <is>
          <t>1.  Scans in: every face scan arrives with a timestamp and the mess (no face data, only id + time + mess).</t>
        </is>
      </c>
    </row>
    <row r="6" ht="21.95" customHeight="1">
      <c r="A6" s="5" t="inlineStr">
        <is>
          <t>2.  Arrival rate: λ̂ for each mess = scans in the last 5 minutes ÷ 5.</t>
        </is>
      </c>
    </row>
    <row r="7" ht="21.95" customHeight="1">
      <c r="A7" s="5" t="inlineStr">
        <is>
          <t>3.  Queue estimate: fluid model. Backlog B grows by (λ̂ − c·μ) per minute when arrivals exceed the 2 stations' capacity, and drains otherwise.</t>
        </is>
      </c>
    </row>
    <row r="8" ht="21.95" customHeight="1">
      <c r="A8" s="5" t="inlineStr">
        <is>
          <t>4.  Predicted wait at each mess for someone arriving now = B ÷ (c·μ) + M/M/c wait + food delay (a star dish out = nobody served until the refill).</t>
        </is>
      </c>
    </row>
    <row r="9" ht="21.95" customHeight="1">
      <c r="A9" s="5" t="inlineStr">
        <is>
          <t>5.  Equal-wait split: find the share p of arrivals for Central at which both predicted waits are equal (Wardrop equilibrium, by bisection).</t>
        </is>
      </c>
    </row>
    <row r="10" ht="21.95" customHeight="1">
      <c r="A10" s="5" t="inlineStr">
        <is>
          <t>6.  Door advice: at the busier mess's door, ask a share (h − p) ÷ (h × κ) of students to switch (h = habit share, κ = share who follow).</t>
        </is>
      </c>
    </row>
    <row r="11" ht="21.95" customHeight="1">
      <c r="A11" s="5" t="inlineStr">
        <is>
          <t>7.  Threshold: only advise a switch if it saves at least the minimum saving after the 30 s walk; otherwise 'come in, this is still your fastest'.</t>
        </is>
      </c>
    </row>
    <row r="12" ht="21.95" customHeight="1">
      <c r="A12" s="5" t="inlineStr">
        <is>
          <t>8.  Feedback: the advice changes arrivals, which changes the next scans and the next estimate, so it never sends everyone to one mess (no herding).</t>
        </is>
      </c>
    </row>
    <row r="13"/>
    <row r="14" ht="24.85" customHeight="1">
      <c r="A14" s="4" t="inlineStr">
        <is>
          <t>2. Try the rule (change the blue cells)</t>
        </is>
      </c>
    </row>
    <row r="15" ht="21.95" customHeight="1">
      <c r="A15" s="68" t="inlineStr">
        <is>
          <t>Predicted wait if you stay at Central (min)</t>
        </is>
      </c>
      <c r="B15" s="30" t="n">
        <v>6</v>
      </c>
    </row>
    <row r="16" ht="21.95" customHeight="1">
      <c r="A16" s="68" t="inlineStr">
        <is>
          <t>Predicted wait at Munch (min)</t>
        </is>
      </c>
      <c r="B16" s="30" t="n">
        <v>1</v>
      </c>
    </row>
    <row r="17" ht="21.95" customHeight="1">
      <c r="A17" s="68" t="inlineStr">
        <is>
          <t>Walk between doors (min)</t>
        </is>
      </c>
      <c r="B17" s="69">
        <f>'Assumptions'!$B$38</f>
        <v/>
      </c>
    </row>
    <row r="18" ht="21.95" customHeight="1">
      <c r="A18" s="68" t="inlineStr">
        <is>
          <t>Minimum saving to suggest a switch (min)</t>
        </is>
      </c>
      <c r="B18" s="69">
        <f>'Assumptions'!$B$39</f>
        <v/>
      </c>
    </row>
    <row r="19" ht="21.95" customHeight="1">
      <c r="A19" s="68" t="inlineStr">
        <is>
          <t>Habit share h for Central</t>
        </is>
      </c>
      <c r="B19" s="70">
        <f>'Assumptions'!$B$7</f>
        <v/>
      </c>
    </row>
    <row r="20" ht="21.95" customHeight="1">
      <c r="A20" s="68" t="inlineStr">
        <is>
          <t>Equal-wait share p for Central (from the engine)</t>
        </is>
      </c>
      <c r="B20" s="31" t="n">
        <v>0.6</v>
      </c>
    </row>
    <row r="21" ht="21.95" customHeight="1">
      <c r="A21" s="68" t="inlineStr">
        <is>
          <t>Share who follow κ</t>
        </is>
      </c>
      <c r="B21" s="70">
        <f>'Assumptions'!$B$37</f>
        <v/>
      </c>
    </row>
    <row r="22"/>
    <row r="23" ht="21.95" customHeight="1">
      <c r="A23" s="68" t="inlineStr">
        <is>
          <t>Saving after the walk (min)</t>
        </is>
      </c>
      <c r="B23" s="71">
        <f>B15-B16-B17</f>
        <v/>
      </c>
    </row>
    <row r="24" ht="21.95" customHeight="1">
      <c r="A24" s="68" t="inlineStr">
        <is>
          <t>Share of arrivals at Central's door asked to switch</t>
        </is>
      </c>
      <c r="B24" s="72">
        <f>IF(B23&gt;=B18,MIN(1,MAX(0,(B19-B20)/(B19*B21))),0)</f>
        <v/>
      </c>
    </row>
    <row r="25" ht="21.95" customHeight="1">
      <c r="A25" s="68" t="inlineStr">
        <is>
          <t>What the screen outside Central says</t>
        </is>
      </c>
      <c r="B25" s="73">
        <f>IF(B24&gt;=0.5,"Munch is faster right now →",IF(B24&gt;=0.15,"In a hurry? Munch is "&amp;TEXT(B23,"0")&amp;" min faster →","Come on in"))</f>
        <v/>
      </c>
      <c r="C25" s="12" t="n"/>
      <c r="D25" s="12" t="n"/>
      <c r="E25" s="12" t="n"/>
    </row>
    <row r="26"/>
    <row r="27" ht="24.85" customHeight="1">
      <c r="A27" s="4" t="inlineStr">
        <is>
          <t>3. What the screens decided at moments of one simulated lunch (seed 0, with screens)</t>
        </is>
      </c>
    </row>
    <row r="28" ht="53.85" customHeight="1">
      <c r="A28" s="7" t="inlineStr">
        <is>
          <t>Time</t>
        </is>
      </c>
      <c r="B28" s="7" t="inlineStr">
        <is>
          <t>Central: arrivals /min</t>
        </is>
      </c>
      <c r="C28" s="7" t="inlineStr">
        <is>
          <t>Central: predicted wait (min)</t>
        </is>
      </c>
      <c r="D28" s="7" t="inlineStr">
        <is>
          <t>Munch: arrivals /min</t>
        </is>
      </c>
      <c r="E28" s="7" t="inlineStr">
        <is>
          <t>Munch: predicted wait (min)</t>
        </is>
      </c>
      <c r="F28" s="7" t="inlineStr">
        <is>
          <t>Equal-wait share for Central</t>
        </is>
      </c>
      <c r="G28" s="7" t="inlineStr">
        <is>
          <t>Central door: share asked to switch</t>
        </is>
      </c>
      <c r="H28" s="7" t="inlineStr">
        <is>
          <t>Saving (min)</t>
        </is>
      </c>
      <c r="I28" s="7" t="inlineStr">
        <is>
          <t>Screen outside Central</t>
        </is>
      </c>
    </row>
    <row r="29" ht="21.95" customHeight="1">
      <c r="A29" s="74" t="inlineStr">
        <is>
          <t>12:10</t>
        </is>
      </c>
      <c r="B29" s="75" t="n">
        <v>17.6</v>
      </c>
      <c r="C29" s="75" t="n">
        <v>0.4</v>
      </c>
      <c r="D29" s="75" t="n">
        <v>2</v>
      </c>
      <c r="E29" s="75" t="n">
        <v>0.1</v>
      </c>
      <c r="F29" s="76" t="n">
        <v>0.5</v>
      </c>
      <c r="G29" s="76" t="n">
        <v>0</v>
      </c>
      <c r="H29" s="75" t="n">
        <v>0</v>
      </c>
      <c r="I29" s="74" t="inlineStr">
        <is>
          <t>Come on in</t>
        </is>
      </c>
    </row>
    <row r="30" ht="21.95" customHeight="1">
      <c r="A30" s="74" t="inlineStr">
        <is>
          <t>12:40</t>
        </is>
      </c>
      <c r="B30" s="75" t="n">
        <v>19.8</v>
      </c>
      <c r="C30" s="75" t="n">
        <v>2.1</v>
      </c>
      <c r="D30" s="75" t="n">
        <v>6.2</v>
      </c>
      <c r="E30" s="75" t="n">
        <v>0.1</v>
      </c>
      <c r="F30" s="76" t="n">
        <v>0.17</v>
      </c>
      <c r="G30" s="76" t="n">
        <v>0</v>
      </c>
      <c r="H30" s="75" t="n">
        <v>0</v>
      </c>
      <c r="I30" s="74" t="inlineStr">
        <is>
          <t>Come on in</t>
        </is>
      </c>
    </row>
    <row r="31" ht="21.95" customHeight="1">
      <c r="A31" s="74" t="inlineStr">
        <is>
          <t>13:10</t>
        </is>
      </c>
      <c r="B31" s="75" t="n">
        <v>24.4</v>
      </c>
      <c r="C31" s="75" t="n">
        <v>2.7</v>
      </c>
      <c r="D31" s="75" t="n">
        <v>8.199999999999999</v>
      </c>
      <c r="E31" s="75" t="n">
        <v>0.2</v>
      </c>
      <c r="F31" s="76" t="n">
        <v>0.344</v>
      </c>
      <c r="G31" s="76" t="n">
        <v>0.5679999999999999</v>
      </c>
      <c r="H31" s="75" t="n">
        <v>2</v>
      </c>
      <c r="I31" s="74" t="inlineStr">
        <is>
          <t>Munch is faster right now →</t>
        </is>
      </c>
    </row>
    <row r="32" ht="21.95" customHeight="1">
      <c r="A32" s="74" t="inlineStr">
        <is>
          <t>13:15</t>
        </is>
      </c>
      <c r="B32" s="75" t="n">
        <v>23</v>
      </c>
      <c r="C32" s="75" t="n">
        <v>3.3</v>
      </c>
      <c r="D32" s="75" t="n">
        <v>12.8</v>
      </c>
      <c r="E32" s="75" t="n">
        <v>0.4</v>
      </c>
      <c r="F32" s="76" t="n">
        <v>0.242</v>
      </c>
      <c r="G32" s="76" t="n">
        <v>0.697</v>
      </c>
      <c r="H32" s="75" t="n">
        <v>2.4</v>
      </c>
      <c r="I32" s="74" t="inlineStr">
        <is>
          <t>Munch is faster right now →</t>
        </is>
      </c>
    </row>
    <row r="33" ht="21.95" customHeight="1">
      <c r="A33" s="74" t="inlineStr">
        <is>
          <t>13:20</t>
        </is>
      </c>
      <c r="B33" s="75" t="n">
        <v>20.6</v>
      </c>
      <c r="C33" s="75" t="n">
        <v>3.2</v>
      </c>
      <c r="D33" s="75" t="n">
        <v>17.8</v>
      </c>
      <c r="E33" s="75" t="n">
        <v>0.5</v>
      </c>
      <c r="F33" s="76" t="n">
        <v>0.298</v>
      </c>
      <c r="G33" s="76" t="n">
        <v>0</v>
      </c>
      <c r="H33" s="75" t="n">
        <v>0</v>
      </c>
      <c r="I33" s="74" t="inlineStr">
        <is>
          <t>Come on in</t>
        </is>
      </c>
    </row>
    <row r="34" ht="21.95" customHeight="1">
      <c r="A34" s="74" t="inlineStr">
        <is>
          <t>13:35</t>
        </is>
      </c>
      <c r="B34" s="75" t="n">
        <v>20</v>
      </c>
      <c r="C34" s="75" t="n">
        <v>2.7</v>
      </c>
      <c r="D34" s="75" t="n">
        <v>9.800000000000001</v>
      </c>
      <c r="E34" s="75" t="n">
        <v>0.1</v>
      </c>
      <c r="F34" s="76" t="n">
        <v>0.132</v>
      </c>
      <c r="G34" s="76" t="n">
        <v>0.835</v>
      </c>
      <c r="H34" s="75" t="n">
        <v>2.1</v>
      </c>
      <c r="I34" s="74" t="inlineStr">
        <is>
          <t>Munch is faster right now →</t>
        </is>
      </c>
    </row>
    <row r="35"/>
    <row r="36" ht="24.85" customHeight="1">
      <c r="A36" s="4" t="inlineStr">
        <is>
          <t>4. When routing happens: students asked to switch per 10-min slot (with screens; simulated average)</t>
        </is>
      </c>
    </row>
    <row r="37" ht="37.9" customHeight="1">
      <c r="A37" s="7" t="inlineStr">
        <is>
          <t>Slot</t>
        </is>
      </c>
      <c r="B37" s="7" t="inlineStr">
        <is>
          <t>Students deciding</t>
        </is>
      </c>
      <c r="C37" s="7" t="inlineStr">
        <is>
          <t>Asked to switch</t>
        </is>
      </c>
      <c r="D37" s="7" t="inlineStr">
        <is>
          <t>Actually switched</t>
        </is>
      </c>
      <c r="E37" s="7" t="inlineStr">
        <is>
          <t>Share asked</t>
        </is>
      </c>
      <c r="F37" s="7" t="inlineStr">
        <is>
          <t>Departments on lunch break</t>
        </is>
      </c>
      <c r="G37" s="77" t="n"/>
      <c r="H37" s="77" t="n"/>
      <c r="I37" s="77" t="n"/>
    </row>
    <row r="38" ht="21.95" customHeight="1">
      <c r="A38" s="68" t="inlineStr">
        <is>
          <t>11:30</t>
        </is>
      </c>
      <c r="B38" s="78" t="n">
        <v>0</v>
      </c>
      <c r="C38" s="78" t="n">
        <v>0</v>
      </c>
      <c r="D38" s="78" t="n">
        <v>0</v>
      </c>
      <c r="E38" s="58">
        <f>IF(B38&gt;0,C38/B38,0)</f>
        <v/>
      </c>
      <c r="F38" s="79" t="inlineStr"/>
    </row>
    <row r="39" ht="21.95" customHeight="1">
      <c r="A39" s="68" t="inlineStr">
        <is>
          <t>11:40</t>
        </is>
      </c>
      <c r="B39" s="78" t="n">
        <v>0</v>
      </c>
      <c r="C39" s="78" t="n">
        <v>0</v>
      </c>
      <c r="D39" s="78" t="n">
        <v>0</v>
      </c>
      <c r="E39" s="58">
        <f>IF(B39&gt;0,C39/B39,0)</f>
        <v/>
      </c>
      <c r="F39" s="79" t="inlineStr"/>
    </row>
    <row r="40" ht="21.95" customHeight="1">
      <c r="A40" s="68" t="inlineStr">
        <is>
          <t>11:50</t>
        </is>
      </c>
      <c r="B40" s="78" t="n">
        <v>0</v>
      </c>
      <c r="C40" s="78" t="n">
        <v>0</v>
      </c>
      <c r="D40" s="78" t="n">
        <v>0</v>
      </c>
      <c r="E40" s="58">
        <f>IF(B40&gt;0,C40/B40,0)</f>
        <v/>
      </c>
      <c r="F40" s="79" t="inlineStr"/>
    </row>
    <row r="41" ht="21.95" customHeight="1">
      <c r="A41" s="68" t="inlineStr">
        <is>
          <t>12:00</t>
        </is>
      </c>
      <c r="B41" s="78" t="n">
        <v>184</v>
      </c>
      <c r="C41" s="78" t="n">
        <v>0</v>
      </c>
      <c r="D41" s="78" t="n">
        <v>0</v>
      </c>
      <c r="E41" s="58">
        <f>IF(B41&gt;0,C41/B41,0)</f>
        <v/>
      </c>
      <c r="F41" s="79" t="inlineStr">
        <is>
          <t>MIT, SMI</t>
        </is>
      </c>
    </row>
    <row r="42" ht="21.95" customHeight="1">
      <c r="A42" s="68" t="inlineStr">
        <is>
          <t>12:10</t>
        </is>
      </c>
      <c r="B42" s="78" t="n">
        <v>234.1</v>
      </c>
      <c r="C42" s="78" t="n">
        <v>0</v>
      </c>
      <c r="D42" s="78" t="n">
        <v>0</v>
      </c>
      <c r="E42" s="58">
        <f>IF(B42&gt;0,C42/B42,0)</f>
        <v/>
      </c>
      <c r="F42" s="79" t="inlineStr">
        <is>
          <t>MIT, SMI</t>
        </is>
      </c>
    </row>
    <row r="43" ht="21.95" customHeight="1">
      <c r="A43" s="68" t="inlineStr">
        <is>
          <t>12:20</t>
        </is>
      </c>
      <c r="B43" s="78" t="n">
        <v>236.1</v>
      </c>
      <c r="C43" s="78" t="n">
        <v>4.3</v>
      </c>
      <c r="D43" s="78" t="n">
        <v>2.3</v>
      </c>
      <c r="E43" s="58">
        <f>IF(B43&gt;0,C43/B43,0)</f>
        <v/>
      </c>
      <c r="F43" s="79" t="inlineStr">
        <is>
          <t>MIT, SMI</t>
        </is>
      </c>
    </row>
    <row r="44" ht="21.95" customHeight="1">
      <c r="A44" s="68" t="inlineStr">
        <is>
          <t>12:30</t>
        </is>
      </c>
      <c r="B44" s="78" t="n">
        <v>286.4</v>
      </c>
      <c r="C44" s="78" t="n">
        <v>20.9</v>
      </c>
      <c r="D44" s="78" t="n">
        <v>12.7</v>
      </c>
      <c r="E44" s="58">
        <f>IF(B44&gt;0,C44/B44,0)</f>
        <v/>
      </c>
      <c r="F44" s="79" t="inlineStr">
        <is>
          <t>MIT, DOC/MICFE, SMI, MIRM</t>
        </is>
      </c>
    </row>
    <row r="45" ht="21.95" customHeight="1">
      <c r="A45" s="68" t="inlineStr">
        <is>
          <t>12:40</t>
        </is>
      </c>
      <c r="B45" s="78" t="n">
        <v>257.1</v>
      </c>
      <c r="C45" s="78" t="n">
        <v>26.8</v>
      </c>
      <c r="D45" s="78" t="n">
        <v>16.1</v>
      </c>
      <c r="E45" s="58">
        <f>IF(B45&gt;0,C45/B45,0)</f>
        <v/>
      </c>
      <c r="F45" s="79" t="inlineStr">
        <is>
          <t>MIT, DOC/MICFE, SMI, DLHS/MILHS, MIRM</t>
        </is>
      </c>
    </row>
    <row r="46" ht="21.95" customHeight="1">
      <c r="A46" s="68" t="inlineStr">
        <is>
          <t>12:50</t>
        </is>
      </c>
      <c r="B46" s="78" t="n">
        <v>212.3</v>
      </c>
      <c r="C46" s="78" t="n">
        <v>17.1</v>
      </c>
      <c r="D46" s="78" t="n">
        <v>9.6</v>
      </c>
      <c r="E46" s="58">
        <f>IF(B46&gt;0,C46/B46,0)</f>
        <v/>
      </c>
      <c r="F46" s="79" t="inlineStr">
        <is>
          <t>MIT, DOC/MICFE, SMI, DLHS/MILHS, MLS, MIRM</t>
        </is>
      </c>
    </row>
    <row r="47" ht="21.95" customHeight="1">
      <c r="A47" s="68" t="inlineStr">
        <is>
          <t>13:00</t>
        </is>
      </c>
      <c r="B47" s="78" t="n">
        <v>283.8</v>
      </c>
      <c r="C47" s="78" t="n">
        <v>22.9</v>
      </c>
      <c r="D47" s="78" t="n">
        <v>14.4</v>
      </c>
      <c r="E47" s="58">
        <f>IF(B47&gt;0,C47/B47,0)</f>
        <v/>
      </c>
      <c r="F47" s="79" t="inlineStr">
        <is>
          <t>MIT (lab day), TAPMI, DOC/MICFE, DLHS/MILHS, MLS, MIRM</t>
        </is>
      </c>
    </row>
    <row r="48" ht="21.95" customHeight="1">
      <c r="A48" s="68" t="inlineStr">
        <is>
          <t>13:10</t>
        </is>
      </c>
      <c r="B48" s="78" t="n">
        <v>369.9</v>
      </c>
      <c r="C48" s="78" t="n">
        <v>131.9</v>
      </c>
      <c r="D48" s="78" t="n">
        <v>81.8</v>
      </c>
      <c r="E48" s="58">
        <f>IF(B48&gt;0,C48/B48,0)</f>
        <v/>
      </c>
      <c r="F48" s="79" t="inlineStr">
        <is>
          <t>MIT (lab day), TAPMI, DOC/MICFE, DLHS/MILHS, MLS, MIRM</t>
        </is>
      </c>
    </row>
    <row r="49" ht="21.95" customHeight="1">
      <c r="A49" s="68" t="inlineStr">
        <is>
          <t>13:20</t>
        </is>
      </c>
      <c r="B49" s="78" t="n">
        <v>356.8</v>
      </c>
      <c r="C49" s="78" t="n">
        <v>141.4</v>
      </c>
      <c r="D49" s="78" t="n">
        <v>87</v>
      </c>
      <c r="E49" s="58">
        <f>IF(B49&gt;0,C49/B49,0)</f>
        <v/>
      </c>
      <c r="F49" s="79" t="inlineStr">
        <is>
          <t>MIT (lab day), TAPMI, DOC/MICFE, DLHS/MILHS, MLS, MIRM</t>
        </is>
      </c>
    </row>
    <row r="50" ht="21.95" customHeight="1">
      <c r="A50" s="68" t="inlineStr">
        <is>
          <t>13:30</t>
        </is>
      </c>
      <c r="B50" s="78" t="n">
        <v>266.7</v>
      </c>
      <c r="C50" s="78" t="n">
        <v>56.9</v>
      </c>
      <c r="D50" s="78" t="n">
        <v>34.1</v>
      </c>
      <c r="E50" s="58">
        <f>IF(B50&gt;0,C50/B50,0)</f>
        <v/>
      </c>
      <c r="F50" s="79" t="inlineStr">
        <is>
          <t>MIT (lab day), TAPMI, DLHS/MILHS, MLS</t>
        </is>
      </c>
    </row>
    <row r="51" ht="21.95" customHeight="1">
      <c r="A51" s="68" t="inlineStr">
        <is>
          <t>13:40</t>
        </is>
      </c>
      <c r="B51" s="78" t="n">
        <v>180.8</v>
      </c>
      <c r="C51" s="78" t="n">
        <v>4.6</v>
      </c>
      <c r="D51" s="78" t="n">
        <v>3</v>
      </c>
      <c r="E51" s="58">
        <f>IF(B51&gt;0,C51/B51,0)</f>
        <v/>
      </c>
      <c r="F51" s="79" t="inlineStr">
        <is>
          <t>MIT (lab day), TAPMI, MLS</t>
        </is>
      </c>
    </row>
    <row r="52" ht="21.95" customHeight="1">
      <c r="A52" s="68" t="inlineStr">
        <is>
          <t>13:50</t>
        </is>
      </c>
      <c r="B52" s="78" t="n">
        <v>90</v>
      </c>
      <c r="C52" s="78" t="n">
        <v>0</v>
      </c>
      <c r="D52" s="78" t="n">
        <v>0</v>
      </c>
      <c r="E52" s="58">
        <f>IF(B52&gt;0,C52/B52,0)</f>
        <v/>
      </c>
      <c r="F52" s="79" t="inlineStr">
        <is>
          <t>MIT (lab day), TAPMI</t>
        </is>
      </c>
    </row>
    <row r="53" ht="21.95" customHeight="1">
      <c r="A53" s="68" t="inlineStr">
        <is>
          <t>14:00</t>
        </is>
      </c>
      <c r="B53" s="78" t="n">
        <v>0</v>
      </c>
      <c r="C53" s="78" t="n">
        <v>0</v>
      </c>
      <c r="D53" s="78" t="n">
        <v>0</v>
      </c>
      <c r="E53" s="58">
        <f>IF(B53&gt;0,C53/B53,0)</f>
        <v/>
      </c>
      <c r="F53" s="79" t="inlineStr"/>
    </row>
    <row r="54" ht="21.95" customHeight="1">
      <c r="A54" s="68" t="inlineStr">
        <is>
          <t>14:10</t>
        </is>
      </c>
      <c r="B54" s="78" t="n">
        <v>0</v>
      </c>
      <c r="C54" s="78" t="n">
        <v>0</v>
      </c>
      <c r="D54" s="78" t="n">
        <v>0</v>
      </c>
      <c r="E54" s="58">
        <f>IF(B54&gt;0,C54/B54,0)</f>
        <v/>
      </c>
      <c r="F54" s="79" t="inlineStr"/>
    </row>
    <row r="55" ht="21.95" customHeight="1">
      <c r="A55" s="68" t="inlineStr">
        <is>
          <t>14:20</t>
        </is>
      </c>
      <c r="B55" s="78" t="n">
        <v>0</v>
      </c>
      <c r="C55" s="78" t="n">
        <v>0</v>
      </c>
      <c r="D55" s="78" t="n">
        <v>0</v>
      </c>
      <c r="E55" s="58">
        <f>IF(B55&gt;0,C55/B55,0)</f>
        <v/>
      </c>
      <c r="F55" s="79" t="inlineStr"/>
    </row>
    <row r="56" ht="21.95" customHeight="1">
      <c r="A56" s="68" t="inlineStr">
        <is>
          <t>Total</t>
        </is>
      </c>
      <c r="B56" s="80">
        <f>SUM(B38:B55)</f>
        <v/>
      </c>
      <c r="C56" s="80">
        <f>SUM(C38:C55)</f>
        <v/>
      </c>
      <c r="D56" s="80">
        <f>SUM(D38:D55)</f>
        <v/>
      </c>
    </row>
    <row r="57"/>
    <row r="58" ht="18.95" customHeight="1">
      <c r="A58" s="52" t="inlineStr">
        <is>
          <t>Takeaway: The screens stay quiet while both messes are quick and only ask students to walk when Central's predicted wait beats Munch's by more than the minimum saving, which happens mostly in the 13:10–13:30 surge. Nobody is assigned; each student sees advice based on the queue at that moment.</t>
        </is>
      </c>
    </row>
    <row r="59">
      <c r="A59" s="53" t="n"/>
    </row>
    <row r="60"/>
    <row r="61"/>
    <row r="62" ht="24.85" customHeight="1">
      <c r="A62" s="4" t="inlineStr">
        <is>
          <t>5. Static rules vs dynamic routing (average day, simulated)</t>
        </is>
      </c>
    </row>
    <row r="63" ht="53.85" customHeight="1">
      <c r="A63" s="7" t="inlineStr">
        <is>
          <t>Rule</t>
        </is>
      </c>
      <c r="B63" s="7" t="inlineStr">
        <is>
          <t>Average wait (min)</t>
        </is>
      </c>
      <c r="C63" s="7" t="inlineStr">
        <is>
          <t>90th pct wait (min)</t>
        </is>
      </c>
      <c r="D63" s="7" t="inlineStr">
        <is>
          <t>Students waiting &gt; 10 min</t>
        </is>
      </c>
      <c r="E63" s="7" t="inlineStr">
        <is>
          <t>Share eating at Munch</t>
        </is>
      </c>
      <c r="F63" s="7" t="inlineStr">
        <is>
          <t>Students moved from their usual mess</t>
        </is>
      </c>
      <c r="G63" s="7" t="inlineStr">
        <is>
          <t>Munch stock-outs per lunch</t>
        </is>
      </c>
      <c r="H63" s="7" t="inlineStr">
        <is>
          <t>Peak queue: Central</t>
        </is>
      </c>
      <c r="I63" s="7" t="inlineStr">
        <is>
          <t>Peak queue: Munch</t>
        </is>
      </c>
      <c r="J63" s="7" t="inlineStr">
        <is>
          <t>Short name</t>
        </is>
      </c>
    </row>
    <row r="64" ht="21.95" customHeight="1">
      <c r="A64" s="9" t="inlineStr">
        <is>
          <t>Today: habit 80/20, no screens</t>
        </is>
      </c>
      <c r="B64" s="81" t="n">
        <v>4.31</v>
      </c>
      <c r="C64" s="82" t="n">
        <v>13.9</v>
      </c>
      <c r="D64" s="83" t="n">
        <v>560</v>
      </c>
      <c r="E64" s="84" t="n">
        <v>0.202</v>
      </c>
      <c r="F64" s="85">
        <f>MAX(0,E64-(1-'Assumptions'!$B$7))*'Assumptions'!$B$6</f>
        <v/>
      </c>
      <c r="G64" s="82" t="n">
        <v>0</v>
      </c>
      <c r="H64" s="78" t="n">
        <v>299</v>
      </c>
      <c r="I64" s="78" t="n">
        <v>3</v>
      </c>
      <c r="J64" s="79" t="inlineStr">
        <is>
          <t>Today</t>
        </is>
      </c>
    </row>
    <row r="65" ht="37.9" customHeight="1">
      <c r="A65" s="9" t="inlineStr">
        <is>
          <t>Static: freshers to Munch (25% of every department) (enforced: all obey)</t>
        </is>
      </c>
      <c r="B65" s="81" t="n">
        <v>2.9</v>
      </c>
      <c r="C65" s="82" t="n">
        <v>10.5</v>
      </c>
      <c r="D65" s="83" t="n">
        <v>244</v>
      </c>
      <c r="E65" s="84" t="n">
        <v>0.249</v>
      </c>
      <c r="F65" s="85">
        <f>MAX(0,E65-(1-'Assumptions'!$B$7))*'Assumptions'!$B$6</f>
        <v/>
      </c>
      <c r="G65" s="82" t="n">
        <v>0</v>
      </c>
      <c r="H65" s="78" t="n">
        <v>232</v>
      </c>
      <c r="I65" s="78" t="n">
        <v>3</v>
      </c>
      <c r="J65" s="79" t="inlineStr">
        <is>
          <t>Freshers rule</t>
        </is>
      </c>
    </row>
    <row r="66" ht="21.95" customHeight="1">
      <c r="A66" s="9" t="inlineStr">
        <is>
          <t>Static: fixed 40% to Munch (enforced: all obey)</t>
        </is>
      </c>
      <c r="B66" s="81" t="n">
        <v>0.46</v>
      </c>
      <c r="C66" s="82" t="n">
        <v>1.9</v>
      </c>
      <c r="D66" s="83" t="n">
        <v>2</v>
      </c>
      <c r="E66" s="84" t="n">
        <v>0.398</v>
      </c>
      <c r="F66" s="85">
        <f>MAX(0,E66-(1-'Assumptions'!$B$7))*'Assumptions'!$B$6</f>
        <v/>
      </c>
      <c r="G66" s="82" t="n">
        <v>0.45</v>
      </c>
      <c r="H66" s="78" t="n">
        <v>58</v>
      </c>
      <c r="I66" s="78" t="n">
        <v>28</v>
      </c>
      <c r="J66" s="79" t="inlineStr">
        <is>
          <t>Fixed 40% (forced)</t>
        </is>
      </c>
    </row>
    <row r="67" ht="37.9" customHeight="1">
      <c r="A67" s="9" t="inlineStr">
        <is>
          <t>Static: fixed 50/50 split (equal stations) (enforced: all obey)</t>
        </is>
      </c>
      <c r="B67" s="81" t="n">
        <v>0.6</v>
      </c>
      <c r="C67" s="82" t="n">
        <v>3.1</v>
      </c>
      <c r="D67" s="83" t="n">
        <v>49</v>
      </c>
      <c r="E67" s="84" t="n">
        <v>0.498</v>
      </c>
      <c r="F67" s="85">
        <f>MAX(0,E67-(1-'Assumptions'!$B$7))*'Assumptions'!$B$6</f>
        <v/>
      </c>
      <c r="G67" s="82" t="n">
        <v>0.65</v>
      </c>
      <c r="H67" s="78" t="n">
        <v>17</v>
      </c>
      <c r="I67" s="78" t="n">
        <v>87</v>
      </c>
      <c r="J67" s="79" t="inlineStr">
        <is>
          <t>Fixed 50/50 (forced)</t>
        </is>
      </c>
    </row>
    <row r="68" ht="21.95" customHeight="1">
      <c r="A68" s="9" t="inlineStr">
        <is>
          <t>Static: 40% assigned to Munch, 60% obey</t>
        </is>
      </c>
      <c r="B68" s="81" t="n">
        <v>1.39</v>
      </c>
      <c r="C68" s="82" t="n">
        <v>5.2</v>
      </c>
      <c r="D68" s="83" t="n">
        <v>17</v>
      </c>
      <c r="E68" s="84" t="n">
        <v>0.319</v>
      </c>
      <c r="F68" s="85">
        <f>MAX(0,E68-(1-'Assumptions'!$B$7))*'Assumptions'!$B$6</f>
        <v/>
      </c>
      <c r="G68" s="82" t="n">
        <v>0</v>
      </c>
      <c r="H68" s="78" t="n">
        <v>134</v>
      </c>
      <c r="I68" s="78" t="n">
        <v>5</v>
      </c>
      <c r="J68" s="79" t="inlineStr">
        <is>
          <t>Fixed 40%, 60% obey</t>
        </is>
      </c>
    </row>
    <row r="69" ht="37.9" customHeight="1">
      <c r="A69" s="9" t="inlineStr">
        <is>
          <t>Static: TAPMI + DOC/MICFE to Munch, rest to Central (enforced: all obey)</t>
        </is>
      </c>
      <c r="B69" s="81" t="n">
        <v>2.43</v>
      </c>
      <c r="C69" s="82" t="n">
        <v>7.7</v>
      </c>
      <c r="D69" s="83" t="n">
        <v>178</v>
      </c>
      <c r="E69" s="84" t="n">
        <v>0.441</v>
      </c>
      <c r="F69" s="85">
        <f>MAX(0,E69-(1-'Assumptions'!$B$7))*'Assumptions'!$B$6</f>
        <v/>
      </c>
      <c r="G69" s="82" t="n">
        <v>0.6</v>
      </c>
      <c r="H69" s="78" t="n">
        <v>96</v>
      </c>
      <c r="I69" s="78" t="n">
        <v>156</v>
      </c>
      <c r="J69" s="79" t="inlineStr">
        <is>
          <t>TAPMI + DOC rule</t>
        </is>
      </c>
    </row>
    <row r="70" ht="37.9" customHeight="1">
      <c r="A70" s="9" t="inlineStr">
        <is>
          <t>Static: MIT to Munch, rest to Central (enforced: all obey)</t>
        </is>
      </c>
      <c r="B70" s="81" t="n">
        <v>1.92</v>
      </c>
      <c r="C70" s="82" t="n">
        <v>7</v>
      </c>
      <c r="D70" s="83" t="n">
        <v>49</v>
      </c>
      <c r="E70" s="84" t="n">
        <v>0.352</v>
      </c>
      <c r="F70" s="85">
        <f>MAX(0,E70-(1-'Assumptions'!$B$7))*'Assumptions'!$B$6</f>
        <v/>
      </c>
      <c r="G70" s="82" t="n">
        <v>0.25</v>
      </c>
      <c r="H70" s="78" t="n">
        <v>166</v>
      </c>
      <c r="I70" s="78" t="n">
        <v>12</v>
      </c>
      <c r="J70" s="79" t="inlineStr">
        <is>
          <t>MIT rule</t>
        </is>
      </c>
    </row>
    <row r="71" ht="21.95" customHeight="1">
      <c r="A71" s="9" t="inlineStr">
        <is>
          <t>Dynamic: Smart Scan screens (60% follow)</t>
        </is>
      </c>
      <c r="B71" s="81" t="n">
        <v>0.8</v>
      </c>
      <c r="C71" s="82" t="n">
        <v>2.1</v>
      </c>
      <c r="D71" s="83" t="n">
        <v>0</v>
      </c>
      <c r="E71" s="84" t="n">
        <v>0.291</v>
      </c>
      <c r="F71" s="85">
        <f>MAX(0,E71-(1-'Assumptions'!$B$7))*'Assumptions'!$B$6</f>
        <v/>
      </c>
      <c r="G71" s="82" t="n">
        <v>0</v>
      </c>
      <c r="H71" s="78" t="n">
        <v>63</v>
      </c>
      <c r="I71" s="78" t="n">
        <v>13</v>
      </c>
      <c r="J71" s="79" t="inlineStr">
        <is>
          <t>Screens (60%)</t>
        </is>
      </c>
    </row>
    <row r="72" ht="21.95" customHeight="1">
      <c r="A72" s="9" t="inlineStr">
        <is>
          <t>Dynamic: Smart Scan screens (everyone follows)</t>
        </is>
      </c>
      <c r="B72" s="81" t="n">
        <v>0.76</v>
      </c>
      <c r="C72" s="82" t="n">
        <v>2</v>
      </c>
      <c r="D72" s="83" t="n">
        <v>0</v>
      </c>
      <c r="E72" s="84" t="n">
        <v>0.303</v>
      </c>
      <c r="F72" s="85">
        <f>MAX(0,E72-(1-'Assumptions'!$B$7))*'Assumptions'!$B$6</f>
        <v/>
      </c>
      <c r="G72" s="82" t="n">
        <v>0.05</v>
      </c>
      <c r="H72" s="78" t="n">
        <v>54</v>
      </c>
      <c r="I72" s="78" t="n">
        <v>18</v>
      </c>
      <c r="J72" s="79" t="inlineStr">
        <is>
          <t>Screens (100%)</t>
        </is>
      </c>
    </row>
    <row r="73"/>
    <row r="74"/>
    <row r="75" ht="24.85" customHeight="1">
      <c r="A75" s="4" t="inlineStr">
        <is>
          <t>6. Does the rule hold on other kinds of day? Average wait (min)</t>
        </is>
      </c>
    </row>
    <row r="76" ht="53.85" customHeight="1">
      <c r="A76" s="7" t="inlineStr">
        <is>
          <t>Rule</t>
        </is>
      </c>
      <c r="B76" s="7" t="inlineStr">
        <is>
          <t>Average day</t>
        </is>
      </c>
      <c r="C76" s="7" t="inlineStr">
        <is>
          <t>Normal day (-20% students)</t>
        </is>
      </c>
      <c r="D76" s="7" t="inlineStr">
        <is>
          <t>Busy day (+20% students)</t>
        </is>
      </c>
      <c r="E76" s="7" t="inlineStr">
        <is>
          <t>No MIT labs (MIT + SMI at 12:00)</t>
        </is>
      </c>
      <c r="F76" s="7" t="inlineStr">
        <is>
          <t>Heavy lab day (70% of MIT at 13:00)</t>
        </is>
      </c>
      <c r="G76" s="7" t="inlineStr">
        <is>
          <t>Late refills (next batch never ready)</t>
        </is>
      </c>
      <c r="J76" s="7" t="inlineStr">
        <is>
          <t>Short name</t>
        </is>
      </c>
    </row>
    <row r="77" ht="21.95" customHeight="1">
      <c r="A77" s="9" t="inlineStr">
        <is>
          <t>Today: habit 80/20, no screens</t>
        </is>
      </c>
      <c r="B77" s="81" t="n">
        <v>4.31</v>
      </c>
      <c r="C77" s="81" t="n">
        <v>0.8100000000000001</v>
      </c>
      <c r="D77" s="81" t="n">
        <v>12.05</v>
      </c>
      <c r="E77" s="81" t="n">
        <v>8.779999999999999</v>
      </c>
      <c r="F77" s="81" t="n">
        <v>5.95</v>
      </c>
      <c r="G77" s="81" t="n">
        <v>6.52</v>
      </c>
      <c r="H77" s="86" t="n"/>
      <c r="I77" s="86" t="n"/>
      <c r="J77" s="79" t="inlineStr">
        <is>
          <t>Today</t>
        </is>
      </c>
    </row>
    <row r="78" ht="37.9" customHeight="1">
      <c r="A78" s="9" t="inlineStr">
        <is>
          <t>Static: freshers to Munch (25% of every department) (enforced: all obey)</t>
        </is>
      </c>
      <c r="B78" s="81" t="n">
        <v>2.9</v>
      </c>
      <c r="C78" s="81" t="n">
        <v>0.42</v>
      </c>
      <c r="D78" s="81" t="n">
        <v>8.58</v>
      </c>
      <c r="E78" s="81" t="n">
        <v>6.16</v>
      </c>
      <c r="F78" s="81" t="n">
        <v>4.56</v>
      </c>
      <c r="G78" s="81" t="n">
        <v>4.01</v>
      </c>
      <c r="H78" s="86" t="n"/>
      <c r="I78" s="86" t="n"/>
      <c r="J78" s="79" t="inlineStr">
        <is>
          <t>Freshers rule</t>
        </is>
      </c>
    </row>
    <row r="79" ht="21.95" customHeight="1">
      <c r="A79" s="9" t="inlineStr">
        <is>
          <t>Static: fixed 40% to Munch (enforced: all obey)</t>
        </is>
      </c>
      <c r="B79" s="81" t="n">
        <v>0.46</v>
      </c>
      <c r="C79" s="81" t="n">
        <v>0.07000000000000001</v>
      </c>
      <c r="D79" s="81" t="n">
        <v>2.3</v>
      </c>
      <c r="E79" s="81" t="n">
        <v>0.8100000000000001</v>
      </c>
      <c r="F79" s="81" t="n">
        <v>1.48</v>
      </c>
      <c r="G79" s="81" t="n">
        <v>0.66</v>
      </c>
      <c r="H79" s="86" t="n"/>
      <c r="I79" s="86" t="n"/>
      <c r="J79" s="79" t="inlineStr">
        <is>
          <t>Fixed 40% (forced)</t>
        </is>
      </c>
    </row>
    <row r="80" ht="37.9" customHeight="1">
      <c r="A80" s="9" t="inlineStr">
        <is>
          <t>Static: fixed 50/50 split (equal stations) (enforced: all obey)</t>
        </is>
      </c>
      <c r="B80" s="81" t="n">
        <v>0.6</v>
      </c>
      <c r="C80" s="81" t="n">
        <v>0.1</v>
      </c>
      <c r="D80" s="81" t="n">
        <v>1.93</v>
      </c>
      <c r="E80" s="81" t="n">
        <v>0.63</v>
      </c>
      <c r="F80" s="81" t="n">
        <v>1.25</v>
      </c>
      <c r="G80" s="81" t="n">
        <v>1.74</v>
      </c>
      <c r="H80" s="86" t="n"/>
      <c r="I80" s="86" t="n"/>
      <c r="J80" s="79" t="inlineStr">
        <is>
          <t>Fixed 50/50 (forced)</t>
        </is>
      </c>
    </row>
    <row r="81" ht="21.95" customHeight="1">
      <c r="A81" s="9" t="inlineStr">
        <is>
          <t>Static: 40% assigned to Munch, 60% obey</t>
        </is>
      </c>
      <c r="B81" s="81" t="n">
        <v>1.39</v>
      </c>
      <c r="C81" s="81" t="n">
        <v>0.16</v>
      </c>
      <c r="D81" s="81" t="n">
        <v>4.27</v>
      </c>
      <c r="E81" s="81" t="n">
        <v>2.97</v>
      </c>
      <c r="F81" s="81" t="n">
        <v>2.67</v>
      </c>
      <c r="G81" s="81" t="n">
        <v>1.63</v>
      </c>
      <c r="H81" s="86" t="n"/>
      <c r="I81" s="86" t="n"/>
      <c r="J81" s="79" t="inlineStr">
        <is>
          <t>Fixed 40%, 60% obey</t>
        </is>
      </c>
    </row>
    <row r="82" ht="37.9" customHeight="1">
      <c r="A82" s="9" t="inlineStr">
        <is>
          <t>Static: TAPMI + DOC/MICFE to Munch, rest to Central (enforced: all obey)</t>
        </is>
      </c>
      <c r="B82" s="81" t="n">
        <v>2.43</v>
      </c>
      <c r="C82" s="81" t="n">
        <v>0.64</v>
      </c>
      <c r="D82" s="81" t="n">
        <v>6.51</v>
      </c>
      <c r="E82" s="81" t="n">
        <v>8.94</v>
      </c>
      <c r="F82" s="81" t="n">
        <v>1.42</v>
      </c>
      <c r="G82" s="81" t="n">
        <v>5.13</v>
      </c>
      <c r="H82" s="86" t="n"/>
      <c r="I82" s="86" t="n"/>
      <c r="J82" s="79" t="inlineStr">
        <is>
          <t>TAPMI + DOC rule</t>
        </is>
      </c>
    </row>
    <row r="83" ht="21.95" customHeight="1">
      <c r="A83" s="9" t="inlineStr">
        <is>
          <t>Dynamic: Smart Scan screens (60% follow)</t>
        </is>
      </c>
      <c r="B83" s="81" t="n">
        <v>0.8</v>
      </c>
      <c r="C83" s="81" t="n">
        <v>0.38</v>
      </c>
      <c r="D83" s="81" t="n">
        <v>2.02</v>
      </c>
      <c r="E83" s="81" t="n">
        <v>0.95</v>
      </c>
      <c r="F83" s="81" t="n">
        <v>1.34</v>
      </c>
      <c r="G83" s="81" t="n">
        <v>0.9399999999999999</v>
      </c>
      <c r="H83" s="86" t="n"/>
      <c r="I83" s="86" t="n"/>
      <c r="J83" s="79" t="inlineStr">
        <is>
          <t>Screens (60%)</t>
        </is>
      </c>
    </row>
    <row r="84" ht="21.95" customHeight="1">
      <c r="A84" s="9" t="inlineStr">
        <is>
          <t>Dynamic: Smart Scan screens (everyone follows)</t>
        </is>
      </c>
      <c r="B84" s="81" t="n">
        <v>0.76</v>
      </c>
      <c r="C84" s="81" t="n">
        <v>0.33</v>
      </c>
      <c r="D84" s="81" t="n">
        <v>2.05</v>
      </c>
      <c r="E84" s="81" t="n">
        <v>1.17</v>
      </c>
      <c r="F84" s="81" t="n">
        <v>1.09</v>
      </c>
      <c r="G84" s="81" t="n">
        <v>0.83</v>
      </c>
      <c r="H84" s="86" t="n"/>
      <c r="I84" s="86" t="n"/>
      <c r="J84" s="79" t="inlineStr">
        <is>
          <t>Screens (100%)</t>
        </is>
      </c>
    </row>
    <row r="85" ht="21.95" customHeight="1">
      <c r="A85" s="87" t="inlineStr">
        <is>
          <t>Lowest wait on this kind of day</t>
        </is>
      </c>
      <c r="B85" s="88">
        <f>INDEX($J$77:$J$84,MATCH(MIN(B77:B84),B77:B84,0))</f>
        <v/>
      </c>
      <c r="C85" s="88">
        <f>INDEX($J$77:$J$84,MATCH(MIN(C77:C84),C77:C84,0))</f>
        <v/>
      </c>
      <c r="D85" s="88">
        <f>INDEX($J$77:$J$84,MATCH(MIN(D77:D84),D77:D84,0))</f>
        <v/>
      </c>
      <c r="E85" s="88">
        <f>INDEX($J$77:$J$84,MATCH(MIN(E77:E84),E77:E84,0))</f>
        <v/>
      </c>
      <c r="F85" s="88">
        <f>INDEX($J$77:$J$84,MATCH(MIN(F77:F84),F77:F84,0))</f>
        <v/>
      </c>
      <c r="G85" s="88">
        <f>INDEX($J$77:$J$84,MATCH(MIN(G77:G84),G77:G84,0))</f>
        <v/>
      </c>
    </row>
    <row r="86" ht="37.9" customHeight="1">
      <c r="A86" s="89" t="inlineStr">
        <is>
          <t>Minutes saved by the screens over a fixed 40% share, at the same 60% compliance</t>
        </is>
      </c>
      <c r="B86" s="90">
        <f>B81-B83</f>
        <v/>
      </c>
      <c r="C86" s="90">
        <f>C81-C83</f>
        <v/>
      </c>
      <c r="D86" s="90">
        <f>D81-D83</f>
        <v/>
      </c>
      <c r="E86" s="90">
        <f>E81-E83</f>
        <v/>
      </c>
      <c r="F86" s="90">
        <f>F81-F83</f>
        <v/>
      </c>
      <c r="G86" s="90">
        <f>G81-G83</f>
        <v/>
      </c>
    </row>
    <row r="87"/>
    <row r="88" ht="24.85" customHeight="1">
      <c r="A88" s="4" t="inlineStr">
        <is>
          <t>7. Why 'department / year X eats at mess Y' does not work, and why the routing must be dynamic</t>
        </is>
      </c>
    </row>
    <row r="89" ht="53.85" customHeight="1">
      <c r="A89" s="5" t="inlineStr">
        <is>
          <t>1.  It has been tried. The messes first split students by year: freshers at Munch, seniors at Central. Simulated, that rule (freshers ≈ 25% of every department, assumed) still leaves an average wait of 2.9 min and 244 students waiting over 10 min, against 4.3 min today: it moves too few students, and the wrong ones, because who you are does not tell you when the queue is long.</t>
        </is>
      </c>
    </row>
    <row r="90" ht="37.9" customHeight="1">
      <c r="A90" s="5" t="inlineStr">
        <is>
          <t>2.  Department rules overload the other mess instead. Sending TAPMI and DOC/MICFE to Munch puts their whole 13:05 surge on Munch's two stations (peak queue 156 at Munch); average wait 2.4 min. On a day with no MIT labs it gives 8.9 min, worse than doing nothing (8.8).</t>
        </is>
      </c>
    </row>
    <row r="91" ht="37.9" customHeight="1">
      <c r="A91" s="5" t="inlineStr">
        <is>
          <t>3.  Demand moves with the timetable. The surge depends on which departments break when (lab days, TAPMI at 13:05), so the right split changes from slot to slot and day to day. A fixed rule is right at one moment and wrong at the next; the screens re-decide every 5 seconds.</t>
        </is>
      </c>
    </row>
    <row r="92" ht="37.9" customHeight="1">
      <c r="A92" s="5" t="inlineStr">
        <is>
          <t>4.  Food changes the answer. A run-out at one mess makes it the slow one for 10–30 minutes. A static rule keeps sending students there; the dynamic rule treats a star-dish run-out as an outage and routes around it. With late refills, the fixed 50/50 split averages 1.74 min vs 0.94 with the screens.</t>
        </is>
      </c>
    </row>
    <row r="93" ht="69.8" customHeight="1">
      <c r="A93" s="5" t="inlineStr">
        <is>
          <t>5.  A well-chosen fixed share only works if it is enforced. A fixed 40% to Munch, obeyed by everyone, averages 0.46 min, similar to the screens (0.80). But it forces about 578 students a day to change mess, every day and in every slot, including when both messes are empty; doubles Munch's food demand (0.5 Munch stock-outs per lunch vs 0.0); and 40% was found by our own simulation sweep, with hindsight. At the same 60% compliance as the screens it averages 1.39 min, worse than the screens on every busy kind of day (row 86).</t>
        </is>
      </c>
    </row>
    <row r="94" ht="37.9" customHeight="1">
      <c r="A94" s="5" t="inlineStr">
        <is>
          <t>6.  The screens move fewer students for more benefit: about 260 students walk over, only in the surges, and only when it saves at least 2 minutes after the walk. Nobody is assigned; advice is a nudge, and students who ignore it still get the shortest wait available to them.</t>
        </is>
      </c>
    </row>
    <row r="95"/>
    <row r="96"/>
    <row r="97" ht="24.85" customHeight="1">
      <c r="A97" s="4" t="inlineStr">
        <is>
          <t>8. Average wait by 10-min slot (both messes, weighted by students): today vs static rules vs dynamic</t>
        </is>
      </c>
    </row>
    <row r="98" ht="101.7" customHeight="1">
      <c r="A98" s="7" t="inlineStr">
        <is>
          <t>Slot</t>
        </is>
      </c>
      <c r="B98" s="7" t="inlineStr">
        <is>
          <t>Today: habit 80/20, no screens</t>
        </is>
      </c>
      <c r="C98" s="7" t="inlineStr">
        <is>
          <t>Static: freshers to Munch (25% of every department) (enforced: all obey)</t>
        </is>
      </c>
      <c r="D98" s="7" t="inlineStr">
        <is>
          <t>Static: TAPMI + DOC/MICFE to Munch, rest to Central (enforced: all obey)</t>
        </is>
      </c>
      <c r="E98" s="7" t="inlineStr">
        <is>
          <t>Static: 40% assigned to Munch, 60% obey</t>
        </is>
      </c>
      <c r="F98" s="7" t="inlineStr">
        <is>
          <t>Dynamic: Smart Scan screens (60% follow)</t>
        </is>
      </c>
    </row>
    <row r="99" ht="21.95" customHeight="1">
      <c r="A99" s="68" t="inlineStr">
        <is>
          <t>11:30</t>
        </is>
      </c>
      <c r="B99" s="75" t="n">
        <v>0</v>
      </c>
      <c r="C99" s="75" t="n">
        <v>0</v>
      </c>
      <c r="D99" s="75" t="n">
        <v>0</v>
      </c>
      <c r="E99" s="75" t="n">
        <v>0</v>
      </c>
      <c r="F99" s="75" t="n">
        <v>0</v>
      </c>
    </row>
    <row r="100" ht="21.95" customHeight="1">
      <c r="A100" s="68" t="inlineStr">
        <is>
          <t>11:40</t>
        </is>
      </c>
      <c r="B100" s="75" t="n">
        <v>0</v>
      </c>
      <c r="C100" s="75" t="n">
        <v>0</v>
      </c>
      <c r="D100" s="75" t="n">
        <v>0</v>
      </c>
      <c r="E100" s="75" t="n">
        <v>0</v>
      </c>
      <c r="F100" s="75" t="n">
        <v>0</v>
      </c>
    </row>
    <row r="101" ht="21.95" customHeight="1">
      <c r="A101" s="68" t="inlineStr">
        <is>
          <t>11:50</t>
        </is>
      </c>
      <c r="B101" s="75" t="n">
        <v>0</v>
      </c>
      <c r="C101" s="75" t="n">
        <v>0</v>
      </c>
      <c r="D101" s="75" t="n">
        <v>0</v>
      </c>
      <c r="E101" s="75" t="n">
        <v>0</v>
      </c>
      <c r="F101" s="75" t="n">
        <v>0</v>
      </c>
    </row>
    <row r="102" ht="21.95" customHeight="1">
      <c r="A102" s="68" t="inlineStr">
        <is>
          <t>12:00</t>
        </is>
      </c>
      <c r="B102" s="75" t="n">
        <v>0.09</v>
      </c>
      <c r="C102" s="75" t="n">
        <v>0.06</v>
      </c>
      <c r="D102" s="75" t="n">
        <v>0.34</v>
      </c>
      <c r="E102" s="75" t="n">
        <v>0.04</v>
      </c>
      <c r="F102" s="75" t="n">
        <v>0.09</v>
      </c>
    </row>
    <row r="103" ht="21.95" customHeight="1">
      <c r="A103" s="68" t="inlineStr">
        <is>
          <t>12:10</t>
        </is>
      </c>
      <c r="B103" s="75" t="n">
        <v>0.25</v>
      </c>
      <c r="C103" s="75" t="n">
        <v>0.13</v>
      </c>
      <c r="D103" s="75" t="n">
        <v>1.4</v>
      </c>
      <c r="E103" s="75" t="n">
        <v>0.1</v>
      </c>
      <c r="F103" s="75" t="n">
        <v>0.25</v>
      </c>
    </row>
    <row r="104" ht="21.95" customHeight="1">
      <c r="A104" s="68" t="inlineStr">
        <is>
          <t>12:20</t>
        </is>
      </c>
      <c r="B104" s="75" t="n">
        <v>0.53</v>
      </c>
      <c r="C104" s="75" t="n">
        <v>0.26</v>
      </c>
      <c r="D104" s="75" t="n">
        <v>3.33</v>
      </c>
      <c r="E104" s="75" t="n">
        <v>0.12</v>
      </c>
      <c r="F104" s="75" t="n">
        <v>0.48</v>
      </c>
    </row>
    <row r="105" ht="21.95" customHeight="1">
      <c r="A105" s="68" t="inlineStr">
        <is>
          <t>12:30</t>
        </is>
      </c>
      <c r="B105" s="75" t="n">
        <v>1.19</v>
      </c>
      <c r="C105" s="75" t="n">
        <v>0.77</v>
      </c>
      <c r="D105" s="75" t="n">
        <v>2.77</v>
      </c>
      <c r="E105" s="75" t="n">
        <v>0.3</v>
      </c>
      <c r="F105" s="75" t="n">
        <v>0.8100000000000001</v>
      </c>
    </row>
    <row r="106" ht="21.95" customHeight="1">
      <c r="A106" s="68" t="inlineStr">
        <is>
          <t>12:40</t>
        </is>
      </c>
      <c r="B106" s="75" t="n">
        <v>2.03</v>
      </c>
      <c r="C106" s="75" t="n">
        <v>1.18</v>
      </c>
      <c r="D106" s="75" t="n">
        <v>1.76</v>
      </c>
      <c r="E106" s="75" t="n">
        <v>0.3</v>
      </c>
      <c r="F106" s="75" t="n">
        <v>0.88</v>
      </c>
    </row>
    <row r="107" ht="21.95" customHeight="1">
      <c r="A107" s="68" t="inlineStr">
        <is>
          <t>12:50</t>
        </is>
      </c>
      <c r="B107" s="75" t="n">
        <v>2.04</v>
      </c>
      <c r="C107" s="75" t="n">
        <v>1.26</v>
      </c>
      <c r="D107" s="75" t="n">
        <v>0.53</v>
      </c>
      <c r="E107" s="75" t="n">
        <v>0.37</v>
      </c>
      <c r="F107" s="75" t="n">
        <v>0.65</v>
      </c>
    </row>
    <row r="108" ht="21.95" customHeight="1">
      <c r="A108" s="68" t="inlineStr">
        <is>
          <t>13:00</t>
        </is>
      </c>
      <c r="B108" s="75" t="n">
        <v>1.81</v>
      </c>
      <c r="C108" s="75" t="n">
        <v>1.02</v>
      </c>
      <c r="D108" s="75" t="n">
        <v>0.29</v>
      </c>
      <c r="E108" s="75" t="n">
        <v>0.36</v>
      </c>
      <c r="F108" s="75" t="n">
        <v>0.59</v>
      </c>
    </row>
    <row r="109" ht="21.95" customHeight="1">
      <c r="A109" s="68" t="inlineStr">
        <is>
          <t>13:10</t>
        </is>
      </c>
      <c r="B109" s="75" t="n">
        <v>4.8</v>
      </c>
      <c r="C109" s="75" t="n">
        <v>3.25</v>
      </c>
      <c r="D109" s="75" t="n">
        <v>2.19</v>
      </c>
      <c r="E109" s="75" t="n">
        <v>1.76</v>
      </c>
      <c r="F109" s="75" t="n">
        <v>1.19</v>
      </c>
    </row>
    <row r="110" ht="21.95" customHeight="1">
      <c r="A110" s="68" t="inlineStr">
        <is>
          <t>13:20</t>
        </is>
      </c>
      <c r="B110" s="75" t="n">
        <v>8.970000000000001</v>
      </c>
      <c r="C110" s="75" t="n">
        <v>6.14</v>
      </c>
      <c r="D110" s="75" t="n">
        <v>3.15</v>
      </c>
      <c r="E110" s="75" t="n">
        <v>3.33</v>
      </c>
      <c r="F110" s="75" t="n">
        <v>1.32</v>
      </c>
    </row>
    <row r="111" ht="21.95" customHeight="1">
      <c r="A111" s="68" t="inlineStr">
        <is>
          <t>13:30</t>
        </is>
      </c>
      <c r="B111" s="75" t="n">
        <v>11.69</v>
      </c>
      <c r="C111" s="75" t="n">
        <v>8.539999999999999</v>
      </c>
      <c r="D111" s="75" t="n">
        <v>5.38</v>
      </c>
      <c r="E111" s="75" t="n">
        <v>4.17</v>
      </c>
      <c r="F111" s="75" t="n">
        <v>1.31</v>
      </c>
    </row>
    <row r="112" ht="21.95" customHeight="1">
      <c r="A112" s="68" t="inlineStr">
        <is>
          <t>13:40</t>
        </is>
      </c>
      <c r="B112" s="75" t="n">
        <v>11.13</v>
      </c>
      <c r="C112" s="75" t="n">
        <v>7.57</v>
      </c>
      <c r="D112" s="75" t="n">
        <v>4.97</v>
      </c>
      <c r="E112" s="75" t="n">
        <v>3.75</v>
      </c>
      <c r="F112" s="75" t="n">
        <v>0.82</v>
      </c>
    </row>
    <row r="113" ht="21.95" customHeight="1">
      <c r="A113" s="68" t="inlineStr">
        <is>
          <t>13:50</t>
        </is>
      </c>
      <c r="B113" s="75" t="n">
        <v>7.42</v>
      </c>
      <c r="C113" s="75" t="n">
        <v>4.03</v>
      </c>
      <c r="D113" s="75" t="n">
        <v>3.27</v>
      </c>
      <c r="E113" s="75" t="n">
        <v>0.99</v>
      </c>
      <c r="F113" s="75" t="n">
        <v>0.06</v>
      </c>
    </row>
    <row r="114" ht="21.95" customHeight="1">
      <c r="A114" s="68" t="inlineStr">
        <is>
          <t>14:00</t>
        </is>
      </c>
      <c r="B114" s="75" t="n">
        <v>0</v>
      </c>
      <c r="C114" s="75" t="n">
        <v>0</v>
      </c>
      <c r="D114" s="75" t="n">
        <v>0</v>
      </c>
      <c r="E114" s="75" t="n">
        <v>0</v>
      </c>
      <c r="F114" s="75" t="n">
        <v>0</v>
      </c>
    </row>
    <row r="115" ht="21.95" customHeight="1">
      <c r="A115" s="68" t="inlineStr">
        <is>
          <t>14:10</t>
        </is>
      </c>
      <c r="B115" s="75" t="n">
        <v>0</v>
      </c>
      <c r="C115" s="75" t="n">
        <v>0</v>
      </c>
      <c r="D115" s="75" t="n">
        <v>0</v>
      </c>
      <c r="E115" s="75" t="n">
        <v>0</v>
      </c>
      <c r="F115" s="75" t="n">
        <v>0</v>
      </c>
    </row>
    <row r="116" ht="21.95" customHeight="1">
      <c r="A116" s="68" t="inlineStr">
        <is>
          <t>14:20</t>
        </is>
      </c>
      <c r="B116" s="75" t="n">
        <v>0</v>
      </c>
      <c r="C116" s="75" t="n">
        <v>0</v>
      </c>
      <c r="D116" s="75" t="n">
        <v>0</v>
      </c>
      <c r="E116" s="75" t="n">
        <v>0</v>
      </c>
      <c r="F116" s="75" t="n">
        <v>0</v>
      </c>
    </row>
    <row r="117"/>
    <row r="118"/>
    <row r="119"/>
    <row r="120"/>
    <row r="121"/>
    <row r="122"/>
    <row r="123"/>
    <row r="124"/>
    <row r="125"/>
    <row r="126"/>
    <row r="127"/>
    <row r="128"/>
    <row r="129"/>
    <row r="130"/>
    <row r="131"/>
    <row r="132"/>
    <row r="133"/>
    <row r="134"/>
    <row r="135"/>
    <row r="136"/>
    <row r="137"/>
    <row r="138"/>
    <row r="139"/>
    <row r="140"/>
    <row r="141"/>
    <row r="142"/>
    <row r="143"/>
    <row r="144"/>
    <row r="145" ht="24.85" customHeight="1">
      <c r="A145" s="4" t="inlineStr">
        <is>
          <t>9. Load balance: utilisation ρ of the serving stations at each mess, slot by slot</t>
        </is>
      </c>
    </row>
    <row r="146" ht="37.9" customHeight="1">
      <c r="A146" s="6" t="inlineStr">
        <is>
          <t>Load balancing aims for equal utilisation: ρ at Central ≈ ρ at Munch ≈ the pooled level (all arrivals ÷ all capacity). The gap between the two messes is the imbalance the screens remove.</t>
        </is>
      </c>
    </row>
    <row r="147" ht="53.85" customHeight="1">
      <c r="A147" s="7" t="inlineStr">
        <is>
          <t>Slot</t>
        </is>
      </c>
      <c r="B147" s="7" t="inlineStr">
        <is>
          <t>Today: ρ Central</t>
        </is>
      </c>
      <c r="C147" s="7" t="inlineStr">
        <is>
          <t>Today: ρ Munch</t>
        </is>
      </c>
      <c r="D147" s="7" t="inlineStr">
        <is>
          <t>Today: gap</t>
        </is>
      </c>
      <c r="E147" s="7" t="inlineStr">
        <is>
          <t>Screens: ρ Central</t>
        </is>
      </c>
      <c r="F147" s="7" t="inlineStr">
        <is>
          <t>Screens: ρ Munch</t>
        </is>
      </c>
      <c r="G147" s="7" t="inlineStr">
        <is>
          <t>Screens: gap</t>
        </is>
      </c>
      <c r="H147" s="7" t="inlineStr">
        <is>
          <t>Balanced level (pooled ρ)</t>
        </is>
      </c>
      <c r="I147" s="7" t="inlineStr">
        <is>
          <t>Pooled stations needed at target</t>
        </is>
      </c>
    </row>
    <row r="148" ht="21.95" customHeight="1">
      <c r="A148" s="68" t="inlineStr">
        <is>
          <t>11:30</t>
        </is>
      </c>
      <c r="B148" s="91">
        <f>'Q2 Serving stations'!H28</f>
        <v/>
      </c>
      <c r="C148" s="91">
        <f>'Q2 Serving stations'!H46</f>
        <v/>
      </c>
      <c r="D148" s="58">
        <f>ABS(B148-C148)</f>
        <v/>
      </c>
      <c r="E148" s="91">
        <f>'Q2 Serving stations'!H64</f>
        <v/>
      </c>
      <c r="F148" s="91">
        <f>'Q2 Serving stations'!H82</f>
        <v/>
      </c>
      <c r="G148" s="58">
        <f>ABS(E148-F148)</f>
        <v/>
      </c>
      <c r="H148" s="58">
        <f>('Q2 Serving stations'!D28+'Q2 Serving stations'!D46)/('Q2 Serving stations'!G28*'Q2 Serving stations'!F28+'Q2 Serving stations'!G46*'Q2 Serving stations'!F46)</f>
        <v/>
      </c>
      <c r="I148" s="48">
        <f>ROUNDUP(('Q2 Serving stations'!D28+'Q2 Serving stations'!D46)/('Assumptions'!$B$21*'Assumptions'!$B$43),0)</f>
        <v/>
      </c>
    </row>
    <row r="149" ht="21.95" customHeight="1">
      <c r="A149" s="68" t="inlineStr">
        <is>
          <t>11:40</t>
        </is>
      </c>
      <c r="B149" s="91">
        <f>'Q2 Serving stations'!H29</f>
        <v/>
      </c>
      <c r="C149" s="91">
        <f>'Q2 Serving stations'!H47</f>
        <v/>
      </c>
      <c r="D149" s="58">
        <f>ABS(B149-C149)</f>
        <v/>
      </c>
      <c r="E149" s="91">
        <f>'Q2 Serving stations'!H65</f>
        <v/>
      </c>
      <c r="F149" s="91">
        <f>'Q2 Serving stations'!H83</f>
        <v/>
      </c>
      <c r="G149" s="58">
        <f>ABS(E149-F149)</f>
        <v/>
      </c>
      <c r="H149" s="58">
        <f>('Q2 Serving stations'!D29+'Q2 Serving stations'!D47)/('Q2 Serving stations'!G29*'Q2 Serving stations'!F29+'Q2 Serving stations'!G47*'Q2 Serving stations'!F47)</f>
        <v/>
      </c>
      <c r="I149" s="48">
        <f>ROUNDUP(('Q2 Serving stations'!D29+'Q2 Serving stations'!D47)/('Assumptions'!$B$21*'Assumptions'!$B$43),0)</f>
        <v/>
      </c>
    </row>
    <row r="150" ht="21.95" customHeight="1">
      <c r="A150" s="68" t="inlineStr">
        <is>
          <t>11:50</t>
        </is>
      </c>
      <c r="B150" s="91">
        <f>'Q2 Serving stations'!H30</f>
        <v/>
      </c>
      <c r="C150" s="91">
        <f>'Q2 Serving stations'!H48</f>
        <v/>
      </c>
      <c r="D150" s="58">
        <f>ABS(B150-C150)</f>
        <v/>
      </c>
      <c r="E150" s="91">
        <f>'Q2 Serving stations'!H66</f>
        <v/>
      </c>
      <c r="F150" s="91">
        <f>'Q2 Serving stations'!H84</f>
        <v/>
      </c>
      <c r="G150" s="58">
        <f>ABS(E150-F150)</f>
        <v/>
      </c>
      <c r="H150" s="58">
        <f>('Q2 Serving stations'!D30+'Q2 Serving stations'!D48)/('Q2 Serving stations'!G30*'Q2 Serving stations'!F30+'Q2 Serving stations'!G48*'Q2 Serving stations'!F48)</f>
        <v/>
      </c>
      <c r="I150" s="48">
        <f>ROUNDUP(('Q2 Serving stations'!D30+'Q2 Serving stations'!D48)/('Assumptions'!$B$21*'Assumptions'!$B$43),0)</f>
        <v/>
      </c>
    </row>
    <row r="151" ht="21.95" customHeight="1">
      <c r="A151" s="68" t="inlineStr">
        <is>
          <t>12:00</t>
        </is>
      </c>
      <c r="B151" s="91">
        <f>'Q2 Serving stations'!H31</f>
        <v/>
      </c>
      <c r="C151" s="91">
        <f>'Q2 Serving stations'!H49</f>
        <v/>
      </c>
      <c r="D151" s="58">
        <f>ABS(B151-C151)</f>
        <v/>
      </c>
      <c r="E151" s="91">
        <f>'Q2 Serving stations'!H67</f>
        <v/>
      </c>
      <c r="F151" s="91">
        <f>'Q2 Serving stations'!H85</f>
        <v/>
      </c>
      <c r="G151" s="58">
        <f>ABS(E151-F151)</f>
        <v/>
      </c>
      <c r="H151" s="58">
        <f>('Q2 Serving stations'!D31+'Q2 Serving stations'!D49)/('Q2 Serving stations'!G31*'Q2 Serving stations'!F31+'Q2 Serving stations'!G49*'Q2 Serving stations'!F49)</f>
        <v/>
      </c>
      <c r="I151" s="48">
        <f>ROUNDUP(('Q2 Serving stations'!D31+'Q2 Serving stations'!D49)/('Assumptions'!$B$21*'Assumptions'!$B$43),0)</f>
        <v/>
      </c>
    </row>
    <row r="152" ht="21.95" customHeight="1">
      <c r="A152" s="68" t="inlineStr">
        <is>
          <t>12:10</t>
        </is>
      </c>
      <c r="B152" s="91">
        <f>'Q2 Serving stations'!H32</f>
        <v/>
      </c>
      <c r="C152" s="91">
        <f>'Q2 Serving stations'!H50</f>
        <v/>
      </c>
      <c r="D152" s="58">
        <f>ABS(B152-C152)</f>
        <v/>
      </c>
      <c r="E152" s="91">
        <f>'Q2 Serving stations'!H68</f>
        <v/>
      </c>
      <c r="F152" s="91">
        <f>'Q2 Serving stations'!H86</f>
        <v/>
      </c>
      <c r="G152" s="58">
        <f>ABS(E152-F152)</f>
        <v/>
      </c>
      <c r="H152" s="58">
        <f>('Q2 Serving stations'!D32+'Q2 Serving stations'!D50)/('Q2 Serving stations'!G32*'Q2 Serving stations'!F32+'Q2 Serving stations'!G50*'Q2 Serving stations'!F50)</f>
        <v/>
      </c>
      <c r="I152" s="48">
        <f>ROUNDUP(('Q2 Serving stations'!D32+'Q2 Serving stations'!D50)/('Assumptions'!$B$21*'Assumptions'!$B$43),0)</f>
        <v/>
      </c>
    </row>
    <row r="153" ht="21.95" customHeight="1">
      <c r="A153" s="68" t="inlineStr">
        <is>
          <t>12:20</t>
        </is>
      </c>
      <c r="B153" s="91">
        <f>'Q2 Serving stations'!H33</f>
        <v/>
      </c>
      <c r="C153" s="91">
        <f>'Q2 Serving stations'!H51</f>
        <v/>
      </c>
      <c r="D153" s="58">
        <f>ABS(B153-C153)</f>
        <v/>
      </c>
      <c r="E153" s="91">
        <f>'Q2 Serving stations'!H69</f>
        <v/>
      </c>
      <c r="F153" s="91">
        <f>'Q2 Serving stations'!H87</f>
        <v/>
      </c>
      <c r="G153" s="58">
        <f>ABS(E153-F153)</f>
        <v/>
      </c>
      <c r="H153" s="58">
        <f>('Q2 Serving stations'!D33+'Q2 Serving stations'!D51)/('Q2 Serving stations'!G33*'Q2 Serving stations'!F33+'Q2 Serving stations'!G51*'Q2 Serving stations'!F51)</f>
        <v/>
      </c>
      <c r="I153" s="48">
        <f>ROUNDUP(('Q2 Serving stations'!D33+'Q2 Serving stations'!D51)/('Assumptions'!$B$21*'Assumptions'!$B$43),0)</f>
        <v/>
      </c>
    </row>
    <row r="154" ht="21.95" customHeight="1">
      <c r="A154" s="68" t="inlineStr">
        <is>
          <t>12:30</t>
        </is>
      </c>
      <c r="B154" s="91">
        <f>'Q2 Serving stations'!H34</f>
        <v/>
      </c>
      <c r="C154" s="91">
        <f>'Q2 Serving stations'!H52</f>
        <v/>
      </c>
      <c r="D154" s="58">
        <f>ABS(B154-C154)</f>
        <v/>
      </c>
      <c r="E154" s="91">
        <f>'Q2 Serving stations'!H70</f>
        <v/>
      </c>
      <c r="F154" s="91">
        <f>'Q2 Serving stations'!H88</f>
        <v/>
      </c>
      <c r="G154" s="58">
        <f>ABS(E154-F154)</f>
        <v/>
      </c>
      <c r="H154" s="58">
        <f>('Q2 Serving stations'!D34+'Q2 Serving stations'!D52)/('Q2 Serving stations'!G34*'Q2 Serving stations'!F34+'Q2 Serving stations'!G52*'Q2 Serving stations'!F52)</f>
        <v/>
      </c>
      <c r="I154" s="48">
        <f>ROUNDUP(('Q2 Serving stations'!D34+'Q2 Serving stations'!D52)/('Assumptions'!$B$21*'Assumptions'!$B$43),0)</f>
        <v/>
      </c>
    </row>
    <row r="155" ht="21.95" customHeight="1">
      <c r="A155" s="68" t="inlineStr">
        <is>
          <t>12:40</t>
        </is>
      </c>
      <c r="B155" s="91">
        <f>'Q2 Serving stations'!H35</f>
        <v/>
      </c>
      <c r="C155" s="91">
        <f>'Q2 Serving stations'!H53</f>
        <v/>
      </c>
      <c r="D155" s="58">
        <f>ABS(B155-C155)</f>
        <v/>
      </c>
      <c r="E155" s="91">
        <f>'Q2 Serving stations'!H71</f>
        <v/>
      </c>
      <c r="F155" s="91">
        <f>'Q2 Serving stations'!H89</f>
        <v/>
      </c>
      <c r="G155" s="58">
        <f>ABS(E155-F155)</f>
        <v/>
      </c>
      <c r="H155" s="58">
        <f>('Q2 Serving stations'!D35+'Q2 Serving stations'!D53)/('Q2 Serving stations'!G35*'Q2 Serving stations'!F35+'Q2 Serving stations'!G53*'Q2 Serving stations'!F53)</f>
        <v/>
      </c>
      <c r="I155" s="48">
        <f>ROUNDUP(('Q2 Serving stations'!D35+'Q2 Serving stations'!D53)/('Assumptions'!$B$21*'Assumptions'!$B$43),0)</f>
        <v/>
      </c>
    </row>
    <row r="156" ht="21.95" customHeight="1">
      <c r="A156" s="68" t="inlineStr">
        <is>
          <t>12:50</t>
        </is>
      </c>
      <c r="B156" s="91">
        <f>'Q2 Serving stations'!H36</f>
        <v/>
      </c>
      <c r="C156" s="91">
        <f>'Q2 Serving stations'!H54</f>
        <v/>
      </c>
      <c r="D156" s="58">
        <f>ABS(B156-C156)</f>
        <v/>
      </c>
      <c r="E156" s="91">
        <f>'Q2 Serving stations'!H72</f>
        <v/>
      </c>
      <c r="F156" s="91">
        <f>'Q2 Serving stations'!H90</f>
        <v/>
      </c>
      <c r="G156" s="58">
        <f>ABS(E156-F156)</f>
        <v/>
      </c>
      <c r="H156" s="58">
        <f>('Q2 Serving stations'!D36+'Q2 Serving stations'!D54)/('Q2 Serving stations'!G36*'Q2 Serving stations'!F36+'Q2 Serving stations'!G54*'Q2 Serving stations'!F54)</f>
        <v/>
      </c>
      <c r="I156" s="48">
        <f>ROUNDUP(('Q2 Serving stations'!D36+'Q2 Serving stations'!D54)/('Assumptions'!$B$21*'Assumptions'!$B$43),0)</f>
        <v/>
      </c>
    </row>
    <row r="157" ht="21.95" customHeight="1">
      <c r="A157" s="68" t="inlineStr">
        <is>
          <t>13:00</t>
        </is>
      </c>
      <c r="B157" s="91">
        <f>'Q2 Serving stations'!H37</f>
        <v/>
      </c>
      <c r="C157" s="91">
        <f>'Q2 Serving stations'!H55</f>
        <v/>
      </c>
      <c r="D157" s="58">
        <f>ABS(B157-C157)</f>
        <v/>
      </c>
      <c r="E157" s="91">
        <f>'Q2 Serving stations'!H73</f>
        <v/>
      </c>
      <c r="F157" s="91">
        <f>'Q2 Serving stations'!H91</f>
        <v/>
      </c>
      <c r="G157" s="58">
        <f>ABS(E157-F157)</f>
        <v/>
      </c>
      <c r="H157" s="58">
        <f>('Q2 Serving stations'!D37+'Q2 Serving stations'!D55)/('Q2 Serving stations'!G37*'Q2 Serving stations'!F37+'Q2 Serving stations'!G55*'Q2 Serving stations'!F55)</f>
        <v/>
      </c>
      <c r="I157" s="48">
        <f>ROUNDUP(('Q2 Serving stations'!D37+'Q2 Serving stations'!D55)/('Assumptions'!$B$21*'Assumptions'!$B$43),0)</f>
        <v/>
      </c>
    </row>
    <row r="158" ht="21.95" customHeight="1">
      <c r="A158" s="68" t="inlineStr">
        <is>
          <t>13:10</t>
        </is>
      </c>
      <c r="B158" s="91">
        <f>'Q2 Serving stations'!H38</f>
        <v/>
      </c>
      <c r="C158" s="91">
        <f>'Q2 Serving stations'!H56</f>
        <v/>
      </c>
      <c r="D158" s="58">
        <f>ABS(B158-C158)</f>
        <v/>
      </c>
      <c r="E158" s="91">
        <f>'Q2 Serving stations'!H74</f>
        <v/>
      </c>
      <c r="F158" s="91">
        <f>'Q2 Serving stations'!H92</f>
        <v/>
      </c>
      <c r="G158" s="58">
        <f>ABS(E158-F158)</f>
        <v/>
      </c>
      <c r="H158" s="58">
        <f>('Q2 Serving stations'!D38+'Q2 Serving stations'!D56)/('Q2 Serving stations'!G38*'Q2 Serving stations'!F38+'Q2 Serving stations'!G56*'Q2 Serving stations'!F56)</f>
        <v/>
      </c>
      <c r="I158" s="48">
        <f>ROUNDUP(('Q2 Serving stations'!D38+'Q2 Serving stations'!D56)/('Assumptions'!$B$21*'Assumptions'!$B$43),0)</f>
        <v/>
      </c>
    </row>
    <row r="159" ht="21.95" customHeight="1">
      <c r="A159" s="68" t="inlineStr">
        <is>
          <t>13:20</t>
        </is>
      </c>
      <c r="B159" s="91">
        <f>'Q2 Serving stations'!H39</f>
        <v/>
      </c>
      <c r="C159" s="91">
        <f>'Q2 Serving stations'!H57</f>
        <v/>
      </c>
      <c r="D159" s="58">
        <f>ABS(B159-C159)</f>
        <v/>
      </c>
      <c r="E159" s="91">
        <f>'Q2 Serving stations'!H75</f>
        <v/>
      </c>
      <c r="F159" s="91">
        <f>'Q2 Serving stations'!H93</f>
        <v/>
      </c>
      <c r="G159" s="58">
        <f>ABS(E159-F159)</f>
        <v/>
      </c>
      <c r="H159" s="58">
        <f>('Q2 Serving stations'!D39+'Q2 Serving stations'!D57)/('Q2 Serving stations'!G39*'Q2 Serving stations'!F39+'Q2 Serving stations'!G57*'Q2 Serving stations'!F57)</f>
        <v/>
      </c>
      <c r="I159" s="48">
        <f>ROUNDUP(('Q2 Serving stations'!D39+'Q2 Serving stations'!D57)/('Assumptions'!$B$21*'Assumptions'!$B$43),0)</f>
        <v/>
      </c>
    </row>
    <row r="160" ht="21.95" customHeight="1">
      <c r="A160" s="68" t="inlineStr">
        <is>
          <t>13:30</t>
        </is>
      </c>
      <c r="B160" s="91">
        <f>'Q2 Serving stations'!H40</f>
        <v/>
      </c>
      <c r="C160" s="91">
        <f>'Q2 Serving stations'!H58</f>
        <v/>
      </c>
      <c r="D160" s="58">
        <f>ABS(B160-C160)</f>
        <v/>
      </c>
      <c r="E160" s="91">
        <f>'Q2 Serving stations'!H76</f>
        <v/>
      </c>
      <c r="F160" s="91">
        <f>'Q2 Serving stations'!H94</f>
        <v/>
      </c>
      <c r="G160" s="58">
        <f>ABS(E160-F160)</f>
        <v/>
      </c>
      <c r="H160" s="58">
        <f>('Q2 Serving stations'!D40+'Q2 Serving stations'!D58)/('Q2 Serving stations'!G40*'Q2 Serving stations'!F40+'Q2 Serving stations'!G58*'Q2 Serving stations'!F58)</f>
        <v/>
      </c>
      <c r="I160" s="48">
        <f>ROUNDUP(('Q2 Serving stations'!D40+'Q2 Serving stations'!D58)/('Assumptions'!$B$21*'Assumptions'!$B$43),0)</f>
        <v/>
      </c>
    </row>
    <row r="161" ht="21.95" customHeight="1">
      <c r="A161" s="68" t="inlineStr">
        <is>
          <t>13:40</t>
        </is>
      </c>
      <c r="B161" s="91">
        <f>'Q2 Serving stations'!H41</f>
        <v/>
      </c>
      <c r="C161" s="91">
        <f>'Q2 Serving stations'!H59</f>
        <v/>
      </c>
      <c r="D161" s="58">
        <f>ABS(B161-C161)</f>
        <v/>
      </c>
      <c r="E161" s="91">
        <f>'Q2 Serving stations'!H77</f>
        <v/>
      </c>
      <c r="F161" s="91">
        <f>'Q2 Serving stations'!H95</f>
        <v/>
      </c>
      <c r="G161" s="58">
        <f>ABS(E161-F161)</f>
        <v/>
      </c>
      <c r="H161" s="58">
        <f>('Q2 Serving stations'!D41+'Q2 Serving stations'!D59)/('Q2 Serving stations'!G41*'Q2 Serving stations'!F41+'Q2 Serving stations'!G59*'Q2 Serving stations'!F59)</f>
        <v/>
      </c>
      <c r="I161" s="48">
        <f>ROUNDUP(('Q2 Serving stations'!D41+'Q2 Serving stations'!D59)/('Assumptions'!$B$21*'Assumptions'!$B$43),0)</f>
        <v/>
      </c>
    </row>
    <row r="162" ht="21.95" customHeight="1">
      <c r="A162" s="68" t="inlineStr">
        <is>
          <t>13:50</t>
        </is>
      </c>
      <c r="B162" s="91">
        <f>'Q2 Serving stations'!H42</f>
        <v/>
      </c>
      <c r="C162" s="91">
        <f>'Q2 Serving stations'!H60</f>
        <v/>
      </c>
      <c r="D162" s="58">
        <f>ABS(B162-C162)</f>
        <v/>
      </c>
      <c r="E162" s="91">
        <f>'Q2 Serving stations'!H78</f>
        <v/>
      </c>
      <c r="F162" s="91">
        <f>'Q2 Serving stations'!H96</f>
        <v/>
      </c>
      <c r="G162" s="58">
        <f>ABS(E162-F162)</f>
        <v/>
      </c>
      <c r="H162" s="58">
        <f>('Q2 Serving stations'!D42+'Q2 Serving stations'!D60)/('Q2 Serving stations'!G42*'Q2 Serving stations'!F42+'Q2 Serving stations'!G60*'Q2 Serving stations'!F60)</f>
        <v/>
      </c>
      <c r="I162" s="48">
        <f>ROUNDUP(('Q2 Serving stations'!D42+'Q2 Serving stations'!D60)/('Assumptions'!$B$21*'Assumptions'!$B$43),0)</f>
        <v/>
      </c>
    </row>
    <row r="163" ht="21.95" customHeight="1">
      <c r="A163" s="68" t="inlineStr">
        <is>
          <t>14:00</t>
        </is>
      </c>
      <c r="B163" s="91">
        <f>'Q2 Serving stations'!H43</f>
        <v/>
      </c>
      <c r="C163" s="91">
        <f>'Q2 Serving stations'!H61</f>
        <v/>
      </c>
      <c r="D163" s="58">
        <f>ABS(B163-C163)</f>
        <v/>
      </c>
      <c r="E163" s="91">
        <f>'Q2 Serving stations'!H79</f>
        <v/>
      </c>
      <c r="F163" s="91">
        <f>'Q2 Serving stations'!H97</f>
        <v/>
      </c>
      <c r="G163" s="58">
        <f>ABS(E163-F163)</f>
        <v/>
      </c>
      <c r="H163" s="58">
        <f>('Q2 Serving stations'!D43+'Q2 Serving stations'!D61)/('Q2 Serving stations'!G43*'Q2 Serving stations'!F43+'Q2 Serving stations'!G61*'Q2 Serving stations'!F61)</f>
        <v/>
      </c>
      <c r="I163" s="48">
        <f>ROUNDUP(('Q2 Serving stations'!D43+'Q2 Serving stations'!D61)/('Assumptions'!$B$21*'Assumptions'!$B$43),0)</f>
        <v/>
      </c>
    </row>
    <row r="164" ht="21.95" customHeight="1">
      <c r="A164" s="68" t="inlineStr">
        <is>
          <t>14:10</t>
        </is>
      </c>
      <c r="B164" s="91">
        <f>'Q2 Serving stations'!H44</f>
        <v/>
      </c>
      <c r="C164" s="91">
        <f>'Q2 Serving stations'!H62</f>
        <v/>
      </c>
      <c r="D164" s="58">
        <f>ABS(B164-C164)</f>
        <v/>
      </c>
      <c r="E164" s="91">
        <f>'Q2 Serving stations'!H80</f>
        <v/>
      </c>
      <c r="F164" s="91">
        <f>'Q2 Serving stations'!H98</f>
        <v/>
      </c>
      <c r="G164" s="58">
        <f>ABS(E164-F164)</f>
        <v/>
      </c>
      <c r="H164" s="58">
        <f>('Q2 Serving stations'!D44+'Q2 Serving stations'!D62)/('Q2 Serving stations'!G44*'Q2 Serving stations'!F44+'Q2 Serving stations'!G62*'Q2 Serving stations'!F62)</f>
        <v/>
      </c>
      <c r="I164" s="48">
        <f>ROUNDUP(('Q2 Serving stations'!D44+'Q2 Serving stations'!D62)/('Assumptions'!$B$21*'Assumptions'!$B$43),0)</f>
        <v/>
      </c>
    </row>
    <row r="165" ht="21.95" customHeight="1">
      <c r="A165" s="68" t="inlineStr">
        <is>
          <t>14:20</t>
        </is>
      </c>
      <c r="B165" s="91">
        <f>'Q2 Serving stations'!H45</f>
        <v/>
      </c>
      <c r="C165" s="91">
        <f>'Q2 Serving stations'!H63</f>
        <v/>
      </c>
      <c r="D165" s="58">
        <f>ABS(B165-C165)</f>
        <v/>
      </c>
      <c r="E165" s="91">
        <f>'Q2 Serving stations'!H81</f>
        <v/>
      </c>
      <c r="F165" s="91">
        <f>'Q2 Serving stations'!H99</f>
        <v/>
      </c>
      <c r="G165" s="58">
        <f>ABS(E165-F165)</f>
        <v/>
      </c>
      <c r="H165" s="58">
        <f>('Q2 Serving stations'!D45+'Q2 Serving stations'!D63)/('Q2 Serving stations'!G45*'Q2 Serving stations'!F45+'Q2 Serving stations'!G63*'Q2 Serving stations'!F63)</f>
        <v/>
      </c>
      <c r="I165" s="48">
        <f>ROUNDUP(('Q2 Serving stations'!D45+'Q2 Serving stations'!D63)/('Assumptions'!$B$21*'Assumptions'!$B$43),0)</f>
        <v/>
      </c>
    </row>
    <row r="166"/>
    <row r="167" ht="21.95" customHeight="1">
      <c r="A167" s="87" t="inlineStr">
        <is>
          <t>At the busiest 10 minutes (13:10–13:20, Central today)</t>
        </is>
      </c>
    </row>
    <row r="168" ht="37.9" customHeight="1">
      <c r="A168" s="7" t="inlineStr">
        <is>
          <t>Mess</t>
        </is>
      </c>
      <c r="B168" s="7" t="inlineStr">
        <is>
          <t>Today</t>
        </is>
      </c>
      <c r="C168" s="7" t="inlineStr">
        <is>
          <t>With the screens</t>
        </is>
      </c>
      <c r="D168" s="7" t="inlineStr">
        <is>
          <t>Balanced level</t>
        </is>
      </c>
    </row>
    <row r="169" ht="21.95" customHeight="1">
      <c r="A169" s="68" t="inlineStr">
        <is>
          <t>Central CT</t>
        </is>
      </c>
      <c r="B169" s="40">
        <f>B158</f>
        <v/>
      </c>
      <c r="C169" s="40">
        <f>E158</f>
        <v/>
      </c>
      <c r="D169" s="60">
        <f>H158</f>
        <v/>
      </c>
    </row>
    <row r="170" ht="21.95" customHeight="1">
      <c r="A170" s="68" t="inlineStr">
        <is>
          <t>Munch Mess</t>
        </is>
      </c>
      <c r="B170" s="40">
        <f>C158</f>
        <v/>
      </c>
      <c r="C170" s="40">
        <f>F158</f>
        <v/>
      </c>
      <c r="D170" s="60">
        <f>H158</f>
        <v/>
      </c>
    </row>
    <row r="171" ht="21.95" customHeight="1">
      <c r="A171" s="68" t="inlineStr">
        <is>
          <t>Gap between the messes</t>
        </is>
      </c>
      <c r="B171" s="92">
        <f>ABS(B169-B170)</f>
        <v/>
      </c>
      <c r="C171" s="92">
        <f>ABS(C169-C170)</f>
        <v/>
      </c>
    </row>
    <row r="172" ht="21.95" customHeight="1">
      <c r="A172" s="68" t="inlineStr">
        <is>
          <t>Pooled stations needed at the target (both messes; 4 available)</t>
        </is>
      </c>
      <c r="B172" s="93">
        <f>I158</f>
        <v/>
      </c>
    </row>
    <row r="173"/>
    <row r="174" ht="21.4375" customHeight="1">
      <c r="A174" s="52" t="inlineStr">
        <is>
          <t>Takeaway: Today the load is badly unbalanced: Central's stations are far over capacity while Munch's are mostly idle. The screens move both towards the balanced level without adding a station. They stop short of it because only 60% of students follow and the screens only speak up when switching saves at least 2 minutes. In the busiest minutes even perfect balancing leaves both messes near the steep part of the waiting curve: the balanced level is above 90%, so at the 85% planning target both messes together would need a fifth station for those 10 minutes. That is why the stagger options on the decision workbook (moving one department's lunch break) still matter.</t>
        </is>
      </c>
    </row>
    <row r="175">
      <c r="A175" s="53" t="n"/>
    </row>
    <row r="176">
      <c r="A176" s="53" t="n"/>
    </row>
    <row r="177">
      <c r="A177" s="53" t="n"/>
    </row>
  </sheetData>
  <mergeCells count="37">
    <mergeCell ref="A7:I7"/>
    <mergeCell ref="A90:I90"/>
    <mergeCell ref="F43:I43"/>
    <mergeCell ref="F39:I39"/>
    <mergeCell ref="A89:I89"/>
    <mergeCell ref="F52:I52"/>
    <mergeCell ref="F48:I48"/>
    <mergeCell ref="F37:I37"/>
    <mergeCell ref="A12:I12"/>
    <mergeCell ref="F49:I49"/>
    <mergeCell ref="A5:I5"/>
    <mergeCell ref="F53:I53"/>
    <mergeCell ref="A58:I59"/>
    <mergeCell ref="F44:I44"/>
    <mergeCell ref="B25:E25"/>
    <mergeCell ref="A8:I8"/>
    <mergeCell ref="F54:I54"/>
    <mergeCell ref="A91:I91"/>
    <mergeCell ref="F40:I40"/>
    <mergeCell ref="A10:I10"/>
    <mergeCell ref="A93:I93"/>
    <mergeCell ref="F55:I55"/>
    <mergeCell ref="A9:I9"/>
    <mergeCell ref="F51:I51"/>
    <mergeCell ref="F45:I45"/>
    <mergeCell ref="A92:I92"/>
    <mergeCell ref="A174:I177"/>
    <mergeCell ref="F42:I42"/>
    <mergeCell ref="F50:I50"/>
    <mergeCell ref="F41:I41"/>
    <mergeCell ref="A11:I11"/>
    <mergeCell ref="F47:I47"/>
    <mergeCell ref="A94:I94"/>
    <mergeCell ref="F38:I38"/>
    <mergeCell ref="A146:I146"/>
    <mergeCell ref="A6:I6"/>
    <mergeCell ref="F46:I46"/>
  </mergeCells>
  <conditionalFormatting sqref="B148:C165">
    <cfRule type="expression" priority="1" dxfId="3">
      <formula>B148&gt;=1</formula>
    </cfRule>
  </conditionalFormatting>
  <conditionalFormatting sqref="E148:F165">
    <cfRule type="expression" priority="2" dxfId="3">
      <formula>E148&gt;=1</formula>
    </cfRule>
  </conditionalFormatting>
  <printOptions horizontalCentered="1"/>
  <pageMargins left="0.75" right="0.75" top="1" bottom="1" header="0.5" footer="0.5"/>
  <pageSetup orientation="landscape" fitToHeight="0" fitToWidth="1"/>
  <drawing xmlns:r="http://schemas.openxmlformats.org/officeDocument/2006/relationships" r:id="rId1"/>
</worksheet>
</file>

<file path=xl/worksheets/sheet10.xml><?xml version="1.0" encoding="utf-8"?>
<worksheet xmlns="http://schemas.openxmlformats.org/spreadsheetml/2006/main">
  <sheetPr>
    <tabColor rgb="007F7F7F"/>
    <outlinePr summaryBelow="1" summaryRight="1"/>
    <pageSetUpPr fitToPage="1"/>
  </sheetPr>
  <dimension ref="A1:L371"/>
  <sheetViews>
    <sheetView showGridLines="0" tabSelected="0" zoomScale="100" workbookViewId="0">
      <pane xSplit="4" ySplit="4" topLeftCell="E5" activePane="bottomRight" state="frozen"/>
      <selection pane="topRight"/>
      <selection pane="bottomLeft"/>
      <selection pane="bottomRight" activeCell="A1" sqref="A1"/>
    </sheetView>
  </sheetViews>
  <sheetFormatPr baseColWidth="8" defaultRowHeight="15"/>
  <cols>
    <col width="24" customWidth="1" min="1" max="1"/>
    <col width="14" customWidth="1" min="2" max="2"/>
    <col width="16" customWidth="1" min="3" max="3"/>
    <col width="10" customWidth="1" min="4" max="4"/>
    <col width="14" customWidth="1" min="5" max="5"/>
    <col width="16" customWidth="1" min="6" max="6"/>
    <col width="18" customWidth="1" min="7" max="7"/>
    <col width="18" customWidth="1" min="8" max="8"/>
    <col width="18" customWidth="1" min="9" max="9"/>
    <col width="20" customWidth="1" min="10" max="10"/>
    <col width="18" customWidth="1" min="11" max="11"/>
    <col width="16" customWidth="1" min="12" max="12"/>
  </cols>
  <sheetData>
    <row r="1" ht="36" customHeight="1">
      <c r="A1" s="1" t="inlineStr">
        <is>
          <t>Simulated data</t>
        </is>
      </c>
      <c r="B1" s="2" t="n"/>
      <c r="C1" s="2" t="n"/>
      <c r="D1" s="2" t="n"/>
      <c r="E1" s="2" t="n"/>
      <c r="F1" s="2" t="n"/>
      <c r="G1" s="2" t="n"/>
      <c r="H1" s="2" t="n"/>
      <c r="I1" s="2" t="n"/>
      <c r="J1" s="2" t="n"/>
      <c r="K1" s="2" t="n"/>
      <c r="L1" s="2" t="n"/>
    </row>
    <row r="2" ht="22" customHeight="1">
      <c r="A2" s="3" t="inlineStr">
        <is>
          <t>Average of 20 simulated lunches per 10-minute slot, mess, process and scenario. Simulated, not measured.</t>
        </is>
      </c>
    </row>
    <row r="3" ht="8" customHeight="1"/>
    <row r="4" ht="53.85" customHeight="1">
      <c r="A4" s="7" t="inlineStr">
        <is>
          <t>Scenario</t>
        </is>
      </c>
      <c r="B4" s="7" t="inlineStr">
        <is>
          <t>Mess</t>
        </is>
      </c>
      <c r="C4" s="7" t="inlineStr">
        <is>
          <t>Process</t>
        </is>
      </c>
      <c r="D4" s="7" t="inlineStr">
        <is>
          <t>Slot</t>
        </is>
      </c>
      <c r="E4" s="7" t="inlineStr">
        <is>
          <t>λ arrivals (/min)</t>
        </is>
      </c>
      <c r="F4" s="7" t="inlineStr">
        <is>
          <t>Wq simulated (min)</t>
        </is>
      </c>
      <c r="G4" s="7" t="inlineStr">
        <is>
          <t>Stage time Ws simulated (min)</t>
        </is>
      </c>
      <c r="H4" s="7" t="inlineStr">
        <is>
          <t>Lq simulated (avg waiting)</t>
        </is>
      </c>
      <c r="I4" s="7" t="inlineStr">
        <is>
          <t>Ls simulated (avg in service)</t>
        </is>
      </c>
      <c r="J4" s="7" t="inlineStr">
        <is>
          <t>Rule wait, each lunch then averaged (min)</t>
        </is>
      </c>
      <c r="K4" s="7" t="inlineStr">
        <is>
          <t>Rule line at end, each lunch then averaged</t>
        </is>
      </c>
      <c r="L4" s="7" t="inlineStr">
        <is>
          <t>Food out in the slot (min, stations idle)</t>
        </is>
      </c>
    </row>
    <row r="5" ht="21.95" customHeight="1">
      <c r="A5" s="68" t="inlineStr">
        <is>
          <t>Today (no screens)</t>
        </is>
      </c>
      <c r="B5" s="68" t="inlineStr">
        <is>
          <t>Central CT</t>
        </is>
      </c>
      <c r="C5" s="68" t="inlineStr">
        <is>
          <t>Biometric scan</t>
        </is>
      </c>
      <c r="D5" s="68" t="inlineStr">
        <is>
          <t>11:30</t>
        </is>
      </c>
      <c r="E5" s="94" t="n">
        <v>0</v>
      </c>
      <c r="F5" s="94" t="n">
        <v>0</v>
      </c>
      <c r="G5" s="94" t="n">
        <v>0</v>
      </c>
      <c r="H5" s="94" t="n">
        <v>0</v>
      </c>
      <c r="I5" s="94" t="n">
        <v>0</v>
      </c>
      <c r="J5" s="94" t="n">
        <v>0</v>
      </c>
      <c r="K5" s="94" t="n">
        <v>0</v>
      </c>
      <c r="L5" s="94" t="n">
        <v>0</v>
      </c>
    </row>
    <row r="6" ht="21.95" customHeight="1">
      <c r="A6" s="68" t="inlineStr">
        <is>
          <t>Today (no screens)</t>
        </is>
      </c>
      <c r="B6" s="68" t="inlineStr">
        <is>
          <t>Central CT</t>
        </is>
      </c>
      <c r="C6" s="68" t="inlineStr">
        <is>
          <t>Biometric scan</t>
        </is>
      </c>
      <c r="D6" s="68" t="inlineStr">
        <is>
          <t>11:40</t>
        </is>
      </c>
      <c r="E6" s="94" t="n">
        <v>0</v>
      </c>
      <c r="F6" s="94" t="n">
        <v>0</v>
      </c>
      <c r="G6" s="94" t="n">
        <v>0</v>
      </c>
      <c r="H6" s="94" t="n">
        <v>0</v>
      </c>
      <c r="I6" s="94" t="n">
        <v>0</v>
      </c>
      <c r="J6" s="94" t="n">
        <v>0</v>
      </c>
      <c r="K6" s="94" t="n">
        <v>0</v>
      </c>
      <c r="L6" s="94" t="n">
        <v>0</v>
      </c>
    </row>
    <row r="7" ht="21.95" customHeight="1">
      <c r="A7" s="68" t="inlineStr">
        <is>
          <t>Today (no screens)</t>
        </is>
      </c>
      <c r="B7" s="68" t="inlineStr">
        <is>
          <t>Central CT</t>
        </is>
      </c>
      <c r="C7" s="68" t="inlineStr">
        <is>
          <t>Biometric scan</t>
        </is>
      </c>
      <c r="D7" s="68" t="inlineStr">
        <is>
          <t>11:50</t>
        </is>
      </c>
      <c r="E7" s="94" t="n">
        <v>0</v>
      </c>
      <c r="F7" s="94" t="n">
        <v>0</v>
      </c>
      <c r="G7" s="94" t="n">
        <v>0</v>
      </c>
      <c r="H7" s="94" t="n">
        <v>0</v>
      </c>
      <c r="I7" s="94" t="n">
        <v>0</v>
      </c>
      <c r="J7" s="94" t="n">
        <v>0</v>
      </c>
      <c r="K7" s="94" t="n">
        <v>0</v>
      </c>
      <c r="L7" s="94" t="n">
        <v>0</v>
      </c>
    </row>
    <row r="8" ht="21.95" customHeight="1">
      <c r="A8" s="68" t="inlineStr">
        <is>
          <t>Today (no screens)</t>
        </is>
      </c>
      <c r="B8" s="68" t="inlineStr">
        <is>
          <t>Central CT</t>
        </is>
      </c>
      <c r="C8" s="68" t="inlineStr">
        <is>
          <t>Biometric scan</t>
        </is>
      </c>
      <c r="D8" s="68" t="inlineStr">
        <is>
          <t>12:00</t>
        </is>
      </c>
      <c r="E8" s="94" t="n">
        <v>14.52</v>
      </c>
      <c r="F8" s="94" t="n">
        <v>0.0195</v>
      </c>
      <c r="G8" s="94" t="n">
        <v>0.0335</v>
      </c>
      <c r="H8" s="94" t="n">
        <v>0.2811</v>
      </c>
      <c r="I8" s="94" t="n">
        <v>0.4835</v>
      </c>
      <c r="J8" s="94" t="n">
        <v>0</v>
      </c>
      <c r="K8" s="94" t="n">
        <v>0</v>
      </c>
      <c r="L8" s="94" t="n">
        <v>0</v>
      </c>
    </row>
    <row r="9" ht="21.95" customHeight="1">
      <c r="A9" s="68" t="inlineStr">
        <is>
          <t>Today (no screens)</t>
        </is>
      </c>
      <c r="B9" s="68" t="inlineStr">
        <is>
          <t>Central CT</t>
        </is>
      </c>
      <c r="C9" s="68" t="inlineStr">
        <is>
          <t>Biometric scan</t>
        </is>
      </c>
      <c r="D9" s="68" t="inlineStr">
        <is>
          <t>12:10</t>
        </is>
      </c>
      <c r="E9" s="94" t="n">
        <v>18.77</v>
      </c>
      <c r="F9" s="94" t="n">
        <v>0.0272</v>
      </c>
      <c r="G9" s="94" t="n">
        <v>0.0333</v>
      </c>
      <c r="H9" s="94" t="n">
        <v>0.5063</v>
      </c>
      <c r="I9" s="94" t="n">
        <v>0.6245000000000001</v>
      </c>
      <c r="J9" s="94" t="n">
        <v>0</v>
      </c>
      <c r="K9" s="94" t="n">
        <v>0</v>
      </c>
      <c r="L9" s="94" t="n">
        <v>0</v>
      </c>
    </row>
    <row r="10" ht="21.95" customHeight="1">
      <c r="A10" s="68" t="inlineStr">
        <is>
          <t>Today (no screens)</t>
        </is>
      </c>
      <c r="B10" s="68" t="inlineStr">
        <is>
          <t>Central CT</t>
        </is>
      </c>
      <c r="C10" s="68" t="inlineStr">
        <is>
          <t>Biometric scan</t>
        </is>
      </c>
      <c r="D10" s="68" t="inlineStr">
        <is>
          <t>12:20</t>
        </is>
      </c>
      <c r="E10" s="94" t="n">
        <v>18.825</v>
      </c>
      <c r="F10" s="94" t="n">
        <v>0.037</v>
      </c>
      <c r="G10" s="94" t="n">
        <v>0.0335</v>
      </c>
      <c r="H10" s="94" t="n">
        <v>0.701</v>
      </c>
      <c r="I10" s="94" t="n">
        <v>0.6323</v>
      </c>
      <c r="J10" s="94" t="n">
        <v>0</v>
      </c>
      <c r="K10" s="94" t="n">
        <v>0</v>
      </c>
      <c r="L10" s="94" t="n">
        <v>0</v>
      </c>
    </row>
    <row r="11" ht="21.95" customHeight="1">
      <c r="A11" s="68" t="inlineStr">
        <is>
          <t>Today (no screens)</t>
        </is>
      </c>
      <c r="B11" s="68" t="inlineStr">
        <is>
          <t>Central CT</t>
        </is>
      </c>
      <c r="C11" s="68" t="inlineStr">
        <is>
          <t>Biometric scan</t>
        </is>
      </c>
      <c r="D11" s="68" t="inlineStr">
        <is>
          <t>12:30</t>
        </is>
      </c>
      <c r="E11" s="94" t="n">
        <v>22.915</v>
      </c>
      <c r="F11" s="94" t="n">
        <v>0.068</v>
      </c>
      <c r="G11" s="94" t="n">
        <v>0.0335</v>
      </c>
      <c r="H11" s="94" t="n">
        <v>1.5535</v>
      </c>
      <c r="I11" s="94" t="n">
        <v>0.7627</v>
      </c>
      <c r="J11" s="94" t="n">
        <v>0</v>
      </c>
      <c r="K11" s="94" t="n">
        <v>0</v>
      </c>
      <c r="L11" s="94" t="n">
        <v>0</v>
      </c>
    </row>
    <row r="12" ht="21.95" customHeight="1">
      <c r="A12" s="68" t="inlineStr">
        <is>
          <t>Today (no screens)</t>
        </is>
      </c>
      <c r="B12" s="68" t="inlineStr">
        <is>
          <t>Central CT</t>
        </is>
      </c>
      <c r="C12" s="68" t="inlineStr">
        <is>
          <t>Biometric scan</t>
        </is>
      </c>
      <c r="D12" s="68" t="inlineStr">
        <is>
          <t>12:40</t>
        </is>
      </c>
      <c r="E12" s="94" t="n">
        <v>20.35</v>
      </c>
      <c r="F12" s="94" t="n">
        <v>0.0399</v>
      </c>
      <c r="G12" s="94" t="n">
        <v>0.0334</v>
      </c>
      <c r="H12" s="94" t="n">
        <v>0.8137</v>
      </c>
      <c r="I12" s="94" t="n">
        <v>0.6830000000000001</v>
      </c>
      <c r="J12" s="94" t="n">
        <v>0</v>
      </c>
      <c r="K12" s="94" t="n">
        <v>0</v>
      </c>
      <c r="L12" s="94" t="n">
        <v>0</v>
      </c>
    </row>
    <row r="13" ht="21.95" customHeight="1">
      <c r="A13" s="68" t="inlineStr">
        <is>
          <t>Today (no screens)</t>
        </is>
      </c>
      <c r="B13" s="68" t="inlineStr">
        <is>
          <t>Central CT</t>
        </is>
      </c>
      <c r="C13" s="68" t="inlineStr">
        <is>
          <t>Biometric scan</t>
        </is>
      </c>
      <c r="D13" s="68" t="inlineStr">
        <is>
          <t>12:50</t>
        </is>
      </c>
      <c r="E13" s="94" t="n">
        <v>16.86</v>
      </c>
      <c r="F13" s="94" t="n">
        <v>0.0222</v>
      </c>
      <c r="G13" s="94" t="n">
        <v>0.0334</v>
      </c>
      <c r="H13" s="94" t="n">
        <v>0.3785</v>
      </c>
      <c r="I13" s="94" t="n">
        <v>0.5664</v>
      </c>
      <c r="J13" s="94" t="n">
        <v>0</v>
      </c>
      <c r="K13" s="94" t="n">
        <v>0</v>
      </c>
      <c r="L13" s="94" t="n">
        <v>0</v>
      </c>
    </row>
    <row r="14" ht="21.95" customHeight="1">
      <c r="A14" s="68" t="inlineStr">
        <is>
          <t>Today (no screens)</t>
        </is>
      </c>
      <c r="B14" s="68" t="inlineStr">
        <is>
          <t>Central CT</t>
        </is>
      </c>
      <c r="C14" s="68" t="inlineStr">
        <is>
          <t>Biometric scan</t>
        </is>
      </c>
      <c r="D14" s="68" t="inlineStr">
        <is>
          <t>13:00</t>
        </is>
      </c>
      <c r="E14" s="94" t="n">
        <v>22.705</v>
      </c>
      <c r="F14" s="94" t="n">
        <v>0.0897</v>
      </c>
      <c r="G14" s="94" t="n">
        <v>0.0333</v>
      </c>
      <c r="H14" s="94" t="n">
        <v>1.9655</v>
      </c>
      <c r="I14" s="94" t="n">
        <v>0.7395</v>
      </c>
      <c r="J14" s="94" t="n">
        <v>0</v>
      </c>
      <c r="K14" s="94" t="n">
        <v>0</v>
      </c>
      <c r="L14" s="94" t="n">
        <v>0</v>
      </c>
    </row>
    <row r="15" ht="21.95" customHeight="1">
      <c r="A15" s="68" t="inlineStr">
        <is>
          <t>Today (no screens)</t>
        </is>
      </c>
      <c r="B15" s="68" t="inlineStr">
        <is>
          <t>Central CT</t>
        </is>
      </c>
      <c r="C15" s="68" t="inlineStr">
        <is>
          <t>Biometric scan</t>
        </is>
      </c>
      <c r="D15" s="68" t="inlineStr">
        <is>
          <t>13:10</t>
        </is>
      </c>
      <c r="E15" s="94" t="n">
        <v>29.56</v>
      </c>
      <c r="F15" s="94" t="n">
        <v>0.3055</v>
      </c>
      <c r="G15" s="94" t="n">
        <v>0.0333</v>
      </c>
      <c r="H15" s="94" t="n">
        <v>8.9063</v>
      </c>
      <c r="I15" s="94" t="n">
        <v>0.9701</v>
      </c>
      <c r="J15" s="94" t="n">
        <v>0.0722</v>
      </c>
      <c r="K15" s="94" t="n">
        <v>4.05</v>
      </c>
      <c r="L15" s="94" t="n">
        <v>0</v>
      </c>
    </row>
    <row r="16" ht="21.95" customHeight="1">
      <c r="A16" s="68" t="inlineStr">
        <is>
          <t>Today (no screens)</t>
        </is>
      </c>
      <c r="B16" s="68" t="inlineStr">
        <is>
          <t>Central CT</t>
        </is>
      </c>
      <c r="C16" s="68" t="inlineStr">
        <is>
          <t>Biometric scan</t>
        </is>
      </c>
      <c r="D16" s="68" t="inlineStr">
        <is>
          <t>13:20</t>
        </is>
      </c>
      <c r="E16" s="94" t="n">
        <v>28.33</v>
      </c>
      <c r="F16" s="94" t="n">
        <v>0.3</v>
      </c>
      <c r="G16" s="94" t="n">
        <v>0.0332</v>
      </c>
      <c r="H16" s="94" t="n">
        <v>8.6</v>
      </c>
      <c r="I16" s="94" t="n">
        <v>0.9520999999999999</v>
      </c>
      <c r="J16" s="94" t="n">
        <v>0.0854</v>
      </c>
      <c r="K16" s="94" t="n">
        <v>1.05</v>
      </c>
      <c r="L16" s="94" t="n">
        <v>0</v>
      </c>
    </row>
    <row r="17" ht="21.95" customHeight="1">
      <c r="A17" s="68" t="inlineStr">
        <is>
          <t>Today (no screens)</t>
        </is>
      </c>
      <c r="B17" s="68" t="inlineStr">
        <is>
          <t>Central CT</t>
        </is>
      </c>
      <c r="C17" s="68" t="inlineStr">
        <is>
          <t>Biometric scan</t>
        </is>
      </c>
      <c r="D17" s="68" t="inlineStr">
        <is>
          <t>13:30</t>
        </is>
      </c>
      <c r="E17" s="94" t="n">
        <v>21.35</v>
      </c>
      <c r="F17" s="94" t="n">
        <v>0.059</v>
      </c>
      <c r="G17" s="94" t="n">
        <v>0.0334</v>
      </c>
      <c r="H17" s="94" t="n">
        <v>1.3529</v>
      </c>
      <c r="I17" s="94" t="n">
        <v>0.7295</v>
      </c>
      <c r="J17" s="94" t="n">
        <v>0.0168</v>
      </c>
      <c r="K17" s="94" t="n">
        <v>0</v>
      </c>
      <c r="L17" s="94" t="n">
        <v>0</v>
      </c>
    </row>
    <row r="18" ht="21.95" customHeight="1">
      <c r="A18" s="68" t="inlineStr">
        <is>
          <t>Today (no screens)</t>
        </is>
      </c>
      <c r="B18" s="68" t="inlineStr">
        <is>
          <t>Central CT</t>
        </is>
      </c>
      <c r="C18" s="68" t="inlineStr">
        <is>
          <t>Biometric scan</t>
        </is>
      </c>
      <c r="D18" s="68" t="inlineStr">
        <is>
          <t>13:40</t>
        </is>
      </c>
      <c r="E18" s="94" t="n">
        <v>14.575</v>
      </c>
      <c r="F18" s="94" t="n">
        <v>0.018</v>
      </c>
      <c r="G18" s="94" t="n">
        <v>0.0333</v>
      </c>
      <c r="H18" s="94" t="n">
        <v>0.263</v>
      </c>
      <c r="I18" s="94" t="n">
        <v>0.4869</v>
      </c>
      <c r="J18" s="94" t="n">
        <v>0</v>
      </c>
      <c r="K18" s="94" t="n">
        <v>0</v>
      </c>
      <c r="L18" s="94" t="n">
        <v>0</v>
      </c>
    </row>
    <row r="19" ht="21.95" customHeight="1">
      <c r="A19" s="68" t="inlineStr">
        <is>
          <t>Today (no screens)</t>
        </is>
      </c>
      <c r="B19" s="68" t="inlineStr">
        <is>
          <t>Central CT</t>
        </is>
      </c>
      <c r="C19" s="68" t="inlineStr">
        <is>
          <t>Biometric scan</t>
        </is>
      </c>
      <c r="D19" s="68" t="inlineStr">
        <is>
          <t>13:50</t>
        </is>
      </c>
      <c r="E19" s="94" t="n">
        <v>7.17</v>
      </c>
      <c r="F19" s="94" t="n">
        <v>0.0062</v>
      </c>
      <c r="G19" s="94" t="n">
        <v>0.0333</v>
      </c>
      <c r="H19" s="94" t="n">
        <v>0.0447</v>
      </c>
      <c r="I19" s="94" t="n">
        <v>0.2392</v>
      </c>
      <c r="J19" s="94" t="n">
        <v>0</v>
      </c>
      <c r="K19" s="94" t="n">
        <v>0</v>
      </c>
      <c r="L19" s="94" t="n">
        <v>0</v>
      </c>
    </row>
    <row r="20" ht="21.95" customHeight="1">
      <c r="A20" s="68" t="inlineStr">
        <is>
          <t>Today (no screens)</t>
        </is>
      </c>
      <c r="B20" s="68" t="inlineStr">
        <is>
          <t>Central CT</t>
        </is>
      </c>
      <c r="C20" s="68" t="inlineStr">
        <is>
          <t>Biometric scan</t>
        </is>
      </c>
      <c r="D20" s="68" t="inlineStr">
        <is>
          <t>14:00</t>
        </is>
      </c>
      <c r="E20" s="94" t="n">
        <v>0</v>
      </c>
      <c r="F20" s="94" t="n">
        <v>0</v>
      </c>
      <c r="G20" s="94" t="n">
        <v>0</v>
      </c>
      <c r="H20" s="94" t="n">
        <v>0</v>
      </c>
      <c r="I20" s="94" t="n">
        <v>0.0001</v>
      </c>
      <c r="J20" s="94" t="n">
        <v>0</v>
      </c>
      <c r="K20" s="94" t="n">
        <v>0</v>
      </c>
      <c r="L20" s="94" t="n">
        <v>0</v>
      </c>
    </row>
    <row r="21" ht="21.95" customHeight="1">
      <c r="A21" s="68" t="inlineStr">
        <is>
          <t>Today (no screens)</t>
        </is>
      </c>
      <c r="B21" s="68" t="inlineStr">
        <is>
          <t>Central CT</t>
        </is>
      </c>
      <c r="C21" s="68" t="inlineStr">
        <is>
          <t>Biometric scan</t>
        </is>
      </c>
      <c r="D21" s="68" t="inlineStr">
        <is>
          <t>14:10</t>
        </is>
      </c>
      <c r="E21" s="94" t="n">
        <v>0</v>
      </c>
      <c r="F21" s="94" t="n">
        <v>0</v>
      </c>
      <c r="G21" s="94" t="n">
        <v>0</v>
      </c>
      <c r="H21" s="94" t="n">
        <v>0</v>
      </c>
      <c r="I21" s="94" t="n">
        <v>0</v>
      </c>
      <c r="J21" s="94" t="n">
        <v>0</v>
      </c>
      <c r="K21" s="94" t="n">
        <v>0</v>
      </c>
      <c r="L21" s="94" t="n">
        <v>0</v>
      </c>
    </row>
    <row r="22" ht="21.95" customHeight="1">
      <c r="A22" s="68" t="inlineStr">
        <is>
          <t>Today (no screens)</t>
        </is>
      </c>
      <c r="B22" s="68" t="inlineStr">
        <is>
          <t>Central CT</t>
        </is>
      </c>
      <c r="C22" s="68" t="inlineStr">
        <is>
          <t>Biometric scan</t>
        </is>
      </c>
      <c r="D22" s="68" t="inlineStr">
        <is>
          <t>14:20</t>
        </is>
      </c>
      <c r="E22" s="94" t="n">
        <v>0</v>
      </c>
      <c r="F22" s="94" t="n">
        <v>0</v>
      </c>
      <c r="G22" s="94" t="n">
        <v>0</v>
      </c>
      <c r="H22" s="94" t="n">
        <v>0</v>
      </c>
      <c r="I22" s="94" t="n">
        <v>0</v>
      </c>
      <c r="J22" s="94" t="n">
        <v>0</v>
      </c>
      <c r="K22" s="94" t="n">
        <v>0</v>
      </c>
      <c r="L22" s="94" t="n">
        <v>0</v>
      </c>
    </row>
    <row r="23" ht="21.95" customHeight="1">
      <c r="A23" s="68" t="inlineStr">
        <is>
          <t>Today (no screens)</t>
        </is>
      </c>
      <c r="B23" s="68" t="inlineStr">
        <is>
          <t>Central CT</t>
        </is>
      </c>
      <c r="C23" s="68" t="inlineStr">
        <is>
          <t>Serving station</t>
        </is>
      </c>
      <c r="D23" s="68" t="inlineStr">
        <is>
          <t>11:30</t>
        </is>
      </c>
      <c r="E23" s="94" t="n">
        <v>0</v>
      </c>
      <c r="F23" s="94" t="n">
        <v>0</v>
      </c>
      <c r="G23" s="94" t="n">
        <v>0</v>
      </c>
      <c r="H23" s="94" t="n">
        <v>0</v>
      </c>
      <c r="I23" s="94" t="n">
        <v>0</v>
      </c>
      <c r="J23" s="94" t="n">
        <v>0</v>
      </c>
      <c r="K23" s="94" t="n">
        <v>0</v>
      </c>
      <c r="L23" s="94" t="n">
        <v>0</v>
      </c>
    </row>
    <row r="24" ht="21.95" customHeight="1">
      <c r="A24" s="68" t="inlineStr">
        <is>
          <t>Today (no screens)</t>
        </is>
      </c>
      <c r="B24" s="68" t="inlineStr">
        <is>
          <t>Central CT</t>
        </is>
      </c>
      <c r="C24" s="68" t="inlineStr">
        <is>
          <t>Serving station</t>
        </is>
      </c>
      <c r="D24" s="68" t="inlineStr">
        <is>
          <t>11:40</t>
        </is>
      </c>
      <c r="E24" s="94" t="n">
        <v>0</v>
      </c>
      <c r="F24" s="94" t="n">
        <v>0</v>
      </c>
      <c r="G24" s="94" t="n">
        <v>0</v>
      </c>
      <c r="H24" s="94" t="n">
        <v>0</v>
      </c>
      <c r="I24" s="94" t="n">
        <v>0</v>
      </c>
      <c r="J24" s="94" t="n">
        <v>0</v>
      </c>
      <c r="K24" s="94" t="n">
        <v>0</v>
      </c>
      <c r="L24" s="94" t="n">
        <v>0</v>
      </c>
    </row>
    <row r="25" ht="21.95" customHeight="1">
      <c r="A25" s="68" t="inlineStr">
        <is>
          <t>Today (no screens)</t>
        </is>
      </c>
      <c r="B25" s="68" t="inlineStr">
        <is>
          <t>Central CT</t>
        </is>
      </c>
      <c r="C25" s="68" t="inlineStr">
        <is>
          <t>Serving station</t>
        </is>
      </c>
      <c r="D25" s="68" t="inlineStr">
        <is>
          <t>11:50</t>
        </is>
      </c>
      <c r="E25" s="94" t="n">
        <v>0</v>
      </c>
      <c r="F25" s="94" t="n">
        <v>0</v>
      </c>
      <c r="G25" s="94" t="n">
        <v>0</v>
      </c>
      <c r="H25" s="94" t="n">
        <v>0</v>
      </c>
      <c r="I25" s="94" t="n">
        <v>0</v>
      </c>
      <c r="J25" s="94" t="n">
        <v>0</v>
      </c>
      <c r="K25" s="94" t="n">
        <v>0</v>
      </c>
      <c r="L25" s="94" t="n">
        <v>0</v>
      </c>
    </row>
    <row r="26" ht="21.95" customHeight="1">
      <c r="A26" s="68" t="inlineStr">
        <is>
          <t>Today (no screens)</t>
        </is>
      </c>
      <c r="B26" s="68" t="inlineStr">
        <is>
          <t>Central CT</t>
        </is>
      </c>
      <c r="C26" s="68" t="inlineStr">
        <is>
          <t>Serving station</t>
        </is>
      </c>
      <c r="D26" s="68" t="inlineStr">
        <is>
          <t>12:00</t>
        </is>
      </c>
      <c r="E26" s="94" t="n">
        <v>13.485</v>
      </c>
      <c r="F26" s="94" t="n">
        <v>0.0857</v>
      </c>
      <c r="G26" s="94" t="n">
        <v>0.1019</v>
      </c>
      <c r="H26" s="94" t="n">
        <v>1.1129</v>
      </c>
      <c r="I26" s="94" t="n">
        <v>1.3304</v>
      </c>
      <c r="J26" s="94" t="n">
        <v>0</v>
      </c>
      <c r="K26" s="94" t="n">
        <v>0</v>
      </c>
      <c r="L26" s="94" t="n">
        <v>0</v>
      </c>
    </row>
    <row r="27" ht="21.95" customHeight="1">
      <c r="A27" s="68" t="inlineStr">
        <is>
          <t>Today (no screens)</t>
        </is>
      </c>
      <c r="B27" s="68" t="inlineStr">
        <is>
          <t>Central CT</t>
        </is>
      </c>
      <c r="C27" s="68" t="inlineStr">
        <is>
          <t>Serving station</t>
        </is>
      </c>
      <c r="D27" s="68" t="inlineStr">
        <is>
          <t>12:10</t>
        </is>
      </c>
      <c r="E27" s="94" t="n">
        <v>18.49</v>
      </c>
      <c r="F27" s="94" t="n">
        <v>0.2595</v>
      </c>
      <c r="G27" s="94" t="n">
        <v>0.1004</v>
      </c>
      <c r="H27" s="94" t="n">
        <v>4.575</v>
      </c>
      <c r="I27" s="94" t="n">
        <v>1.8141</v>
      </c>
      <c r="J27" s="94" t="n">
        <v>0.0069</v>
      </c>
      <c r="K27" s="94" t="n">
        <v>0.25</v>
      </c>
      <c r="L27" s="94" t="n">
        <v>0</v>
      </c>
    </row>
    <row r="28" ht="21.95" customHeight="1">
      <c r="A28" s="68" t="inlineStr">
        <is>
          <t>Today (no screens)</t>
        </is>
      </c>
      <c r="B28" s="68" t="inlineStr">
        <is>
          <t>Central CT</t>
        </is>
      </c>
      <c r="C28" s="68" t="inlineStr">
        <is>
          <t>Serving station</t>
        </is>
      </c>
      <c r="D28" s="68" t="inlineStr">
        <is>
          <t>12:20</t>
        </is>
      </c>
      <c r="E28" s="94" t="n">
        <v>19.005</v>
      </c>
      <c r="F28" s="94" t="n">
        <v>0.613</v>
      </c>
      <c r="G28" s="94" t="n">
        <v>0.1009</v>
      </c>
      <c r="H28" s="94" t="n">
        <v>11.2764</v>
      </c>
      <c r="I28" s="94" t="n">
        <v>1.8877</v>
      </c>
      <c r="J28" s="94" t="n">
        <v>0.09719999999999999</v>
      </c>
      <c r="K28" s="94" t="n">
        <v>3.25</v>
      </c>
      <c r="L28" s="94" t="n">
        <v>0</v>
      </c>
    </row>
    <row r="29" ht="21.95" customHeight="1">
      <c r="A29" s="68" t="inlineStr">
        <is>
          <t>Today (no screens)</t>
        </is>
      </c>
      <c r="B29" s="68" t="inlineStr">
        <is>
          <t>Central CT</t>
        </is>
      </c>
      <c r="C29" s="68" t="inlineStr">
        <is>
          <t>Serving station</t>
        </is>
      </c>
      <c r="D29" s="68" t="inlineStr">
        <is>
          <t>12:30</t>
        </is>
      </c>
      <c r="E29" s="94" t="n">
        <v>22.575</v>
      </c>
      <c r="F29" s="94" t="n">
        <v>1.3246</v>
      </c>
      <c r="G29" s="94" t="n">
        <v>0.1002</v>
      </c>
      <c r="H29" s="94" t="n">
        <v>25.1983</v>
      </c>
      <c r="I29" s="94" t="n">
        <v>1.9736</v>
      </c>
      <c r="J29" s="94" t="n">
        <v>0.8658</v>
      </c>
      <c r="K29" s="94" t="n">
        <v>29.95</v>
      </c>
      <c r="L29" s="94" t="n">
        <v>0</v>
      </c>
    </row>
    <row r="30" ht="21.95" customHeight="1">
      <c r="A30" s="68" t="inlineStr">
        <is>
          <t>Today (no screens)</t>
        </is>
      </c>
      <c r="B30" s="68" t="inlineStr">
        <is>
          <t>Central CT</t>
        </is>
      </c>
      <c r="C30" s="68" t="inlineStr">
        <is>
          <t>Serving station</t>
        </is>
      </c>
      <c r="D30" s="68" t="inlineStr">
        <is>
          <t>12:40</t>
        </is>
      </c>
      <c r="E30" s="94" t="n">
        <v>20.555</v>
      </c>
      <c r="F30" s="94" t="n">
        <v>2.4614</v>
      </c>
      <c r="G30" s="94" t="n">
        <v>0.0983</v>
      </c>
      <c r="H30" s="94" t="n">
        <v>45.0696</v>
      </c>
      <c r="I30" s="94" t="n">
        <v>1.9828</v>
      </c>
      <c r="J30" s="94" t="n">
        <v>1.6811</v>
      </c>
      <c r="K30" s="94" t="n">
        <v>35.65</v>
      </c>
      <c r="L30" s="94" t="n">
        <v>0</v>
      </c>
    </row>
    <row r="31" ht="21.95" customHeight="1">
      <c r="A31" s="68" t="inlineStr">
        <is>
          <t>Today (no screens)</t>
        </is>
      </c>
      <c r="B31" s="68" t="inlineStr">
        <is>
          <t>Central CT</t>
        </is>
      </c>
      <c r="C31" s="68" t="inlineStr">
        <is>
          <t>Serving station</t>
        </is>
      </c>
      <c r="D31" s="68" t="inlineStr">
        <is>
          <t>12:50</t>
        </is>
      </c>
      <c r="E31" s="94" t="n">
        <v>17.265</v>
      </c>
      <c r="F31" s="94" t="n">
        <v>2.6137</v>
      </c>
      <c r="G31" s="94" t="n">
        <v>0.1002</v>
      </c>
      <c r="H31" s="94" t="n">
        <v>47.1154</v>
      </c>
      <c r="I31" s="94" t="n">
        <v>1.7788</v>
      </c>
      <c r="J31" s="94" t="n">
        <v>1.7018</v>
      </c>
      <c r="K31" s="94" t="n">
        <v>32.3084</v>
      </c>
      <c r="L31" s="94" t="n">
        <v>0.8454</v>
      </c>
    </row>
    <row r="32" ht="21.95" customHeight="1">
      <c r="A32" s="68" t="inlineStr">
        <is>
          <t>Today (no screens)</t>
        </is>
      </c>
      <c r="B32" s="68" t="inlineStr">
        <is>
          <t>Central CT</t>
        </is>
      </c>
      <c r="C32" s="68" t="inlineStr">
        <is>
          <t>Serving station</t>
        </is>
      </c>
      <c r="D32" s="68" t="inlineStr">
        <is>
          <t>13:00</t>
        </is>
      </c>
      <c r="E32" s="94" t="n">
        <v>21.335</v>
      </c>
      <c r="F32" s="94" t="n">
        <v>2.0437</v>
      </c>
      <c r="G32" s="94" t="n">
        <v>0.0998</v>
      </c>
      <c r="H32" s="94" t="n">
        <v>38.4499</v>
      </c>
      <c r="I32" s="94" t="n">
        <v>1.9105</v>
      </c>
      <c r="J32" s="94" t="n">
        <v>1.9683</v>
      </c>
      <c r="K32" s="94" t="n">
        <v>45.6584</v>
      </c>
      <c r="L32" s="94" t="n">
        <v>0</v>
      </c>
    </row>
    <row r="33" ht="21.95" customHeight="1">
      <c r="A33" s="68" t="inlineStr">
        <is>
          <t>Today (no screens)</t>
        </is>
      </c>
      <c r="B33" s="68" t="inlineStr">
        <is>
          <t>Central CT</t>
        </is>
      </c>
      <c r="C33" s="68" t="inlineStr">
        <is>
          <t>Serving station</t>
        </is>
      </c>
      <c r="D33" s="68" t="inlineStr">
        <is>
          <t>13:10</t>
        </is>
      </c>
      <c r="E33" s="94" t="n">
        <v>29.14</v>
      </c>
      <c r="F33" s="94" t="n">
        <v>5.2853</v>
      </c>
      <c r="G33" s="94" t="n">
        <v>0.1006</v>
      </c>
      <c r="H33" s="94" t="n">
        <v>104.4255</v>
      </c>
      <c r="I33" s="94" t="n">
        <v>2</v>
      </c>
      <c r="J33" s="94" t="n">
        <v>4.5873</v>
      </c>
      <c r="K33" s="94" t="n">
        <v>137.0584</v>
      </c>
      <c r="L33" s="94" t="n">
        <v>0</v>
      </c>
    </row>
    <row r="34" ht="21.95" customHeight="1">
      <c r="A34" s="68" t="inlineStr">
        <is>
          <t>Today (no screens)</t>
        </is>
      </c>
      <c r="B34" s="68" t="inlineStr">
        <is>
          <t>Central CT</t>
        </is>
      </c>
      <c r="C34" s="68" t="inlineStr">
        <is>
          <t>Serving station</t>
        </is>
      </c>
      <c r="D34" s="68" t="inlineStr">
        <is>
          <t>13:20</t>
        </is>
      </c>
      <c r="E34" s="94" t="n">
        <v>28.73</v>
      </c>
      <c r="F34" s="94" t="n">
        <v>10.5469</v>
      </c>
      <c r="G34" s="94" t="n">
        <v>0.1023</v>
      </c>
      <c r="H34" s="94" t="n">
        <v>197.4126</v>
      </c>
      <c r="I34" s="94" t="n">
        <v>2</v>
      </c>
      <c r="J34" s="94" t="n">
        <v>9.0298</v>
      </c>
      <c r="K34" s="94" t="n">
        <v>224.3584</v>
      </c>
      <c r="L34" s="94" t="n">
        <v>0</v>
      </c>
    </row>
    <row r="35" ht="21.95" customHeight="1">
      <c r="A35" s="68" t="inlineStr">
        <is>
          <t>Today (no screens)</t>
        </is>
      </c>
      <c r="B35" s="68" t="inlineStr">
        <is>
          <t>Central CT</t>
        </is>
      </c>
      <c r="C35" s="68" t="inlineStr">
        <is>
          <t>Serving station</t>
        </is>
      </c>
      <c r="D35" s="68" t="inlineStr">
        <is>
          <t>13:30</t>
        </is>
      </c>
      <c r="E35" s="94" t="n">
        <v>22.625</v>
      </c>
      <c r="F35" s="94" t="n">
        <v>14.4096</v>
      </c>
      <c r="G35" s="94" t="n">
        <v>0.09950000000000001</v>
      </c>
      <c r="H35" s="94" t="n">
        <v>266.448</v>
      </c>
      <c r="I35" s="94" t="n">
        <v>1.8848</v>
      </c>
      <c r="J35" s="94" t="n">
        <v>12.1496</v>
      </c>
      <c r="K35" s="94" t="n">
        <v>262.5835</v>
      </c>
      <c r="L35" s="94" t="n">
        <v>0.5988</v>
      </c>
    </row>
    <row r="36" ht="21.95" customHeight="1">
      <c r="A36" s="68" t="inlineStr">
        <is>
          <t>Today (no screens)</t>
        </is>
      </c>
      <c r="B36" s="68" t="inlineStr">
        <is>
          <t>Central CT</t>
        </is>
      </c>
      <c r="C36" s="68" t="inlineStr">
        <is>
          <t>Serving station</t>
        </is>
      </c>
      <c r="D36" s="68" t="inlineStr">
        <is>
          <t>13:40</t>
        </is>
      </c>
      <c r="E36" s="94" t="n">
        <v>14.975</v>
      </c>
      <c r="F36" s="94" t="n">
        <v>13.9149</v>
      </c>
      <c r="G36" s="94" t="n">
        <v>0.0994</v>
      </c>
      <c r="H36" s="94" t="n">
        <v>274.8418</v>
      </c>
      <c r="I36" s="94" t="n">
        <v>1.8844</v>
      </c>
      <c r="J36" s="94" t="n">
        <v>12.1723</v>
      </c>
      <c r="K36" s="94" t="n">
        <v>223.9143</v>
      </c>
      <c r="L36" s="94" t="n">
        <v>0.579</v>
      </c>
    </row>
    <row r="37" ht="21.95" customHeight="1">
      <c r="A37" s="68" t="inlineStr">
        <is>
          <t>Today (no screens)</t>
        </is>
      </c>
      <c r="B37" s="68" t="inlineStr">
        <is>
          <t>Central CT</t>
        </is>
      </c>
      <c r="C37" s="68" t="inlineStr">
        <is>
          <t>Serving station</t>
        </is>
      </c>
      <c r="D37" s="68" t="inlineStr">
        <is>
          <t>13:50</t>
        </is>
      </c>
      <c r="E37" s="94" t="n">
        <v>7.47</v>
      </c>
      <c r="F37" s="94" t="n">
        <v>9.6599</v>
      </c>
      <c r="G37" s="94" t="n">
        <v>0.09909999999999999</v>
      </c>
      <c r="H37" s="94" t="n">
        <v>188.3463</v>
      </c>
      <c r="I37" s="94" t="n">
        <v>2</v>
      </c>
      <c r="J37" s="94" t="n">
        <v>8.039</v>
      </c>
      <c r="K37" s="94" t="n">
        <v>98.6143</v>
      </c>
      <c r="L37" s="94" t="n">
        <v>0</v>
      </c>
    </row>
    <row r="38" ht="21.95" customHeight="1">
      <c r="A38" s="68" t="inlineStr">
        <is>
          <t>Today (no screens)</t>
        </is>
      </c>
      <c r="B38" s="68" t="inlineStr">
        <is>
          <t>Central CT</t>
        </is>
      </c>
      <c r="C38" s="68" t="inlineStr">
        <is>
          <t>Serving station</t>
        </is>
      </c>
      <c r="D38" s="68" t="inlineStr">
        <is>
          <t>14:00</t>
        </is>
      </c>
      <c r="E38" s="94" t="n">
        <v>0.28</v>
      </c>
      <c r="F38" s="94" t="n">
        <v>5.062</v>
      </c>
      <c r="G38" s="94" t="n">
        <v>0.1103</v>
      </c>
      <c r="H38" s="94" t="n">
        <v>46.0897</v>
      </c>
      <c r="I38" s="94" t="n">
        <v>1.1578</v>
      </c>
      <c r="J38" s="94" t="n">
        <v>2.1267</v>
      </c>
      <c r="K38" s="94" t="n">
        <v>4.2583</v>
      </c>
      <c r="L38" s="94" t="n">
        <v>0</v>
      </c>
    </row>
    <row r="39" ht="21.95" customHeight="1">
      <c r="A39" s="68" t="inlineStr">
        <is>
          <t>Today (no screens)</t>
        </is>
      </c>
      <c r="B39" s="68" t="inlineStr">
        <is>
          <t>Central CT</t>
        </is>
      </c>
      <c r="C39" s="68" t="inlineStr">
        <is>
          <t>Serving station</t>
        </is>
      </c>
      <c r="D39" s="68" t="inlineStr">
        <is>
          <t>14:10</t>
        </is>
      </c>
      <c r="E39" s="94" t="n">
        <v>0</v>
      </c>
      <c r="F39" s="94" t="n">
        <v>0</v>
      </c>
      <c r="G39" s="94" t="n">
        <v>0</v>
      </c>
      <c r="H39" s="94" t="n">
        <v>1.462</v>
      </c>
      <c r="I39" s="94" t="n">
        <v>0.0707</v>
      </c>
      <c r="J39" s="94" t="n">
        <v>0</v>
      </c>
      <c r="K39" s="94" t="n">
        <v>0</v>
      </c>
      <c r="L39" s="94" t="n">
        <v>0</v>
      </c>
    </row>
    <row r="40" ht="21.95" customHeight="1">
      <c r="A40" s="68" t="inlineStr">
        <is>
          <t>Today (no screens)</t>
        </is>
      </c>
      <c r="B40" s="68" t="inlineStr">
        <is>
          <t>Central CT</t>
        </is>
      </c>
      <c r="C40" s="68" t="inlineStr">
        <is>
          <t>Serving station</t>
        </is>
      </c>
      <c r="D40" s="68" t="inlineStr">
        <is>
          <t>14:20</t>
        </is>
      </c>
      <c r="E40" s="94" t="n">
        <v>0</v>
      </c>
      <c r="F40" s="94" t="n">
        <v>0</v>
      </c>
      <c r="G40" s="94" t="n">
        <v>0</v>
      </c>
      <c r="H40" s="94" t="n">
        <v>0</v>
      </c>
      <c r="I40" s="94" t="n">
        <v>0</v>
      </c>
      <c r="J40" s="94" t="n">
        <v>0</v>
      </c>
      <c r="K40" s="94" t="n">
        <v>0</v>
      </c>
      <c r="L40" s="94" t="n">
        <v>0</v>
      </c>
    </row>
    <row r="41" ht="21.95" customHeight="1">
      <c r="A41" s="68" t="inlineStr">
        <is>
          <t>Today (no screens)</t>
        </is>
      </c>
      <c r="B41" s="68" t="inlineStr">
        <is>
          <t>Central CT</t>
        </is>
      </c>
      <c r="C41" s="68" t="inlineStr">
        <is>
          <t>Seat (eating)</t>
        </is>
      </c>
      <c r="D41" s="68" t="inlineStr">
        <is>
          <t>11:30</t>
        </is>
      </c>
      <c r="E41" s="94" t="n">
        <v>0</v>
      </c>
      <c r="F41" s="94" t="n">
        <v>0</v>
      </c>
      <c r="G41" s="94" t="n">
        <v>0</v>
      </c>
      <c r="H41" s="94" t="n">
        <v>0</v>
      </c>
      <c r="I41" s="94" t="n">
        <v>0</v>
      </c>
      <c r="J41" s="94" t="n">
        <v>0</v>
      </c>
      <c r="K41" s="94" t="n">
        <v>0</v>
      </c>
      <c r="L41" s="94" t="n">
        <v>0</v>
      </c>
    </row>
    <row r="42" ht="21.95" customHeight="1">
      <c r="A42" s="68" t="inlineStr">
        <is>
          <t>Today (no screens)</t>
        </is>
      </c>
      <c r="B42" s="68" t="inlineStr">
        <is>
          <t>Central CT</t>
        </is>
      </c>
      <c r="C42" s="68" t="inlineStr">
        <is>
          <t>Seat (eating)</t>
        </is>
      </c>
      <c r="D42" s="68" t="inlineStr">
        <is>
          <t>11:40</t>
        </is>
      </c>
      <c r="E42" s="94" t="n">
        <v>0</v>
      </c>
      <c r="F42" s="94" t="n">
        <v>0</v>
      </c>
      <c r="G42" s="94" t="n">
        <v>0</v>
      </c>
      <c r="H42" s="94" t="n">
        <v>0</v>
      </c>
      <c r="I42" s="94" t="n">
        <v>0</v>
      </c>
      <c r="J42" s="94" t="n">
        <v>0</v>
      </c>
      <c r="K42" s="94" t="n">
        <v>0</v>
      </c>
      <c r="L42" s="94" t="n">
        <v>0</v>
      </c>
    </row>
    <row r="43" ht="21.95" customHeight="1">
      <c r="A43" s="68" t="inlineStr">
        <is>
          <t>Today (no screens)</t>
        </is>
      </c>
      <c r="B43" s="68" t="inlineStr">
        <is>
          <t>Central CT</t>
        </is>
      </c>
      <c r="C43" s="68" t="inlineStr">
        <is>
          <t>Seat (eating)</t>
        </is>
      </c>
      <c r="D43" s="68" t="inlineStr">
        <is>
          <t>11:50</t>
        </is>
      </c>
      <c r="E43" s="94" t="n">
        <v>0</v>
      </c>
      <c r="F43" s="94" t="n">
        <v>0</v>
      </c>
      <c r="G43" s="94" t="n">
        <v>0</v>
      </c>
      <c r="H43" s="94" t="n">
        <v>0</v>
      </c>
      <c r="I43" s="94" t="n">
        <v>0</v>
      </c>
      <c r="J43" s="94" t="n">
        <v>0</v>
      </c>
      <c r="K43" s="94" t="n">
        <v>0</v>
      </c>
      <c r="L43" s="94" t="n">
        <v>0</v>
      </c>
    </row>
    <row r="44" ht="21.95" customHeight="1">
      <c r="A44" s="68" t="inlineStr">
        <is>
          <t>Today (no screens)</t>
        </is>
      </c>
      <c r="B44" s="68" t="inlineStr">
        <is>
          <t>Central CT</t>
        </is>
      </c>
      <c r="C44" s="68" t="inlineStr">
        <is>
          <t>Seat (eating)</t>
        </is>
      </c>
      <c r="D44" s="68" t="inlineStr">
        <is>
          <t>12:00</t>
        </is>
      </c>
      <c r="E44" s="94" t="n">
        <v>10.825</v>
      </c>
      <c r="F44" s="94" t="n">
        <v>0</v>
      </c>
      <c r="G44" s="94" t="n">
        <v>16.0199</v>
      </c>
      <c r="H44" s="94" t="n">
        <v>0</v>
      </c>
      <c r="I44" s="94" t="n">
        <v>39.0209</v>
      </c>
      <c r="J44" s="94" t="n">
        <v>0</v>
      </c>
      <c r="K44" s="94" t="n">
        <v>0</v>
      </c>
      <c r="L44" s="94" t="n">
        <v>0</v>
      </c>
    </row>
    <row r="45" ht="21.95" customHeight="1">
      <c r="A45" s="68" t="inlineStr">
        <is>
          <t>Today (no screens)</t>
        </is>
      </c>
      <c r="B45" s="68" t="inlineStr">
        <is>
          <t>Central CT</t>
        </is>
      </c>
      <c r="C45" s="68" t="inlineStr">
        <is>
          <t>Seat (eating)</t>
        </is>
      </c>
      <c r="D45" s="68" t="inlineStr">
        <is>
          <t>12:10</t>
        </is>
      </c>
      <c r="E45" s="94" t="n">
        <v>17.58</v>
      </c>
      <c r="F45" s="94" t="n">
        <v>0</v>
      </c>
      <c r="G45" s="94" t="n">
        <v>15.9978</v>
      </c>
      <c r="H45" s="94" t="n">
        <v>0</v>
      </c>
      <c r="I45" s="94" t="n">
        <v>190.3209</v>
      </c>
      <c r="J45" s="94" t="n">
        <v>0</v>
      </c>
      <c r="K45" s="94" t="n">
        <v>0</v>
      </c>
      <c r="L45" s="94" t="n">
        <v>0</v>
      </c>
    </row>
    <row r="46" ht="21.95" customHeight="1">
      <c r="A46" s="68" t="inlineStr">
        <is>
          <t>Today (no screens)</t>
        </is>
      </c>
      <c r="B46" s="68" t="inlineStr">
        <is>
          <t>Central CT</t>
        </is>
      </c>
      <c r="C46" s="68" t="inlineStr">
        <is>
          <t>Seat (eating)</t>
        </is>
      </c>
      <c r="D46" s="68" t="inlineStr">
        <is>
          <t>12:20</t>
        </is>
      </c>
      <c r="E46" s="94" t="n">
        <v>18.725</v>
      </c>
      <c r="F46" s="94" t="n">
        <v>0</v>
      </c>
      <c r="G46" s="94" t="n">
        <v>15.9372</v>
      </c>
      <c r="H46" s="94" t="n">
        <v>0</v>
      </c>
      <c r="I46" s="94" t="n">
        <v>283.9617</v>
      </c>
      <c r="J46" s="94" t="n">
        <v>0</v>
      </c>
      <c r="K46" s="94" t="n">
        <v>0</v>
      </c>
      <c r="L46" s="94" t="n">
        <v>0</v>
      </c>
    </row>
    <row r="47" ht="21.95" customHeight="1">
      <c r="A47" s="68" t="inlineStr">
        <is>
          <t>Today (no screens)</t>
        </is>
      </c>
      <c r="B47" s="68" t="inlineStr">
        <is>
          <t>Central CT</t>
        </is>
      </c>
      <c r="C47" s="68" t="inlineStr">
        <is>
          <t>Seat (eating)</t>
        </is>
      </c>
      <c r="D47" s="68" t="inlineStr">
        <is>
          <t>12:30</t>
        </is>
      </c>
      <c r="E47" s="94" t="n">
        <v>19.72</v>
      </c>
      <c r="F47" s="94" t="n">
        <v>0</v>
      </c>
      <c r="G47" s="94" t="n">
        <v>16.0145</v>
      </c>
      <c r="H47" s="94" t="n">
        <v>0</v>
      </c>
      <c r="I47" s="94" t="n">
        <v>301.5679</v>
      </c>
      <c r="J47" s="94" t="n">
        <v>0</v>
      </c>
      <c r="K47" s="94" t="n">
        <v>0</v>
      </c>
      <c r="L47" s="94" t="n">
        <v>0</v>
      </c>
    </row>
    <row r="48" ht="21.95" customHeight="1">
      <c r="A48" s="68" t="inlineStr">
        <is>
          <t>Today (no screens)</t>
        </is>
      </c>
      <c r="B48" s="68" t="inlineStr">
        <is>
          <t>Central CT</t>
        </is>
      </c>
      <c r="C48" s="68" t="inlineStr">
        <is>
          <t>Seat (eating)</t>
        </is>
      </c>
      <c r="D48" s="68" t="inlineStr">
        <is>
          <t>12:40</t>
        </is>
      </c>
      <c r="E48" s="94" t="n">
        <v>19.885</v>
      </c>
      <c r="F48" s="94" t="n">
        <v>0</v>
      </c>
      <c r="G48" s="94" t="n">
        <v>16.005</v>
      </c>
      <c r="H48" s="94" t="n">
        <v>0</v>
      </c>
      <c r="I48" s="94" t="n">
        <v>313.8677</v>
      </c>
      <c r="J48" s="94" t="n">
        <v>0</v>
      </c>
      <c r="K48" s="94" t="n">
        <v>0</v>
      </c>
      <c r="L48" s="94" t="n">
        <v>0</v>
      </c>
    </row>
    <row r="49" ht="21.95" customHeight="1">
      <c r="A49" s="68" t="inlineStr">
        <is>
          <t>Today (no screens)</t>
        </is>
      </c>
      <c r="B49" s="68" t="inlineStr">
        <is>
          <t>Central CT</t>
        </is>
      </c>
      <c r="C49" s="68" t="inlineStr">
        <is>
          <t>Seat (eating)</t>
        </is>
      </c>
      <c r="D49" s="68" t="inlineStr">
        <is>
          <t>12:50</t>
        </is>
      </c>
      <c r="E49" s="94" t="n">
        <v>17.975</v>
      </c>
      <c r="F49" s="94" t="n">
        <v>0</v>
      </c>
      <c r="G49" s="94" t="n">
        <v>16.0141</v>
      </c>
      <c r="H49" s="94" t="n">
        <v>0</v>
      </c>
      <c r="I49" s="94" t="n">
        <v>309.8301</v>
      </c>
      <c r="J49" s="94" t="n">
        <v>0</v>
      </c>
      <c r="K49" s="94" t="n">
        <v>0</v>
      </c>
      <c r="L49" s="94" t="n">
        <v>0</v>
      </c>
    </row>
    <row r="50" ht="21.95" customHeight="1">
      <c r="A50" s="68" t="inlineStr">
        <is>
          <t>Today (no screens)</t>
        </is>
      </c>
      <c r="B50" s="68" t="inlineStr">
        <is>
          <t>Central CT</t>
        </is>
      </c>
      <c r="C50" s="68" t="inlineStr">
        <is>
          <t>Seat (eating)</t>
        </is>
      </c>
      <c r="D50" s="68" t="inlineStr">
        <is>
          <t>13:00</t>
        </is>
      </c>
      <c r="E50" s="94" t="n">
        <v>19.1</v>
      </c>
      <c r="F50" s="94" t="n">
        <v>0</v>
      </c>
      <c r="G50" s="94" t="n">
        <v>15.9857</v>
      </c>
      <c r="H50" s="94" t="n">
        <v>0</v>
      </c>
      <c r="I50" s="94" t="n">
        <v>295.2475</v>
      </c>
      <c r="J50" s="94" t="n">
        <v>0</v>
      </c>
      <c r="K50" s="94" t="n">
        <v>0</v>
      </c>
      <c r="L50" s="94" t="n">
        <v>0</v>
      </c>
    </row>
    <row r="51" ht="21.95" customHeight="1">
      <c r="A51" s="68" t="inlineStr">
        <is>
          <t>Today (no screens)</t>
        </is>
      </c>
      <c r="B51" s="68" t="inlineStr">
        <is>
          <t>Central CT</t>
        </is>
      </c>
      <c r="C51" s="68" t="inlineStr">
        <is>
          <t>Seat (eating)</t>
        </is>
      </c>
      <c r="D51" s="68" t="inlineStr">
        <is>
          <t>13:10</t>
        </is>
      </c>
      <c r="E51" s="94" t="n">
        <v>20.03</v>
      </c>
      <c r="F51" s="94" t="n">
        <v>0</v>
      </c>
      <c r="G51" s="94" t="n">
        <v>16.0244</v>
      </c>
      <c r="H51" s="94" t="n">
        <v>0</v>
      </c>
      <c r="I51" s="94" t="n">
        <v>309.0409</v>
      </c>
      <c r="J51" s="94" t="n">
        <v>0</v>
      </c>
      <c r="K51" s="94" t="n">
        <v>0</v>
      </c>
      <c r="L51" s="94" t="n">
        <v>0</v>
      </c>
    </row>
    <row r="52" ht="21.95" customHeight="1">
      <c r="A52" s="68" t="inlineStr">
        <is>
          <t>Today (no screens)</t>
        </is>
      </c>
      <c r="B52" s="68" t="inlineStr">
        <is>
          <t>Central CT</t>
        </is>
      </c>
      <c r="C52" s="68" t="inlineStr">
        <is>
          <t>Seat (eating)</t>
        </is>
      </c>
      <c r="D52" s="68" t="inlineStr">
        <is>
          <t>13:20</t>
        </is>
      </c>
      <c r="E52" s="94" t="n">
        <v>19.53</v>
      </c>
      <c r="F52" s="94" t="n">
        <v>0</v>
      </c>
      <c r="G52" s="94" t="n">
        <v>16.0102</v>
      </c>
      <c r="H52" s="94" t="n">
        <v>0</v>
      </c>
      <c r="I52" s="94" t="n">
        <v>318.7968</v>
      </c>
      <c r="J52" s="94" t="n">
        <v>0</v>
      </c>
      <c r="K52" s="94" t="n">
        <v>0</v>
      </c>
      <c r="L52" s="94" t="n">
        <v>0</v>
      </c>
    </row>
    <row r="53" ht="21.95" customHeight="1">
      <c r="A53" s="68" t="inlineStr">
        <is>
          <t>Today (no screens)</t>
        </is>
      </c>
      <c r="B53" s="68" t="inlineStr">
        <is>
          <t>Central CT</t>
        </is>
      </c>
      <c r="C53" s="68" t="inlineStr">
        <is>
          <t>Seat (eating)</t>
        </is>
      </c>
      <c r="D53" s="68" t="inlineStr">
        <is>
          <t>13:30</t>
        </is>
      </c>
      <c r="E53" s="94" t="n">
        <v>19.14</v>
      </c>
      <c r="F53" s="94" t="n">
        <v>0</v>
      </c>
      <c r="G53" s="94" t="n">
        <v>16.029</v>
      </c>
      <c r="H53" s="94" t="n">
        <v>0</v>
      </c>
      <c r="I53" s="94" t="n">
        <v>314.1192</v>
      </c>
      <c r="J53" s="94" t="n">
        <v>0</v>
      </c>
      <c r="K53" s="94" t="n">
        <v>0</v>
      </c>
      <c r="L53" s="94" t="n">
        <v>0</v>
      </c>
    </row>
    <row r="54" ht="21.95" customHeight="1">
      <c r="A54" s="68" t="inlineStr">
        <is>
          <t>Today (no screens)</t>
        </is>
      </c>
      <c r="B54" s="68" t="inlineStr">
        <is>
          <t>Central CT</t>
        </is>
      </c>
      <c r="C54" s="68" t="inlineStr">
        <is>
          <t>Seat (eating)</t>
        </is>
      </c>
      <c r="D54" s="68" t="inlineStr">
        <is>
          <t>13:40</t>
        </is>
      </c>
      <c r="E54" s="94" t="n">
        <v>17.805</v>
      </c>
      <c r="F54" s="94" t="n">
        <v>0</v>
      </c>
      <c r="G54" s="94" t="n">
        <v>15.9593</v>
      </c>
      <c r="H54" s="94" t="n">
        <v>0</v>
      </c>
      <c r="I54" s="94" t="n">
        <v>296.1703</v>
      </c>
      <c r="J54" s="94" t="n">
        <v>0</v>
      </c>
      <c r="K54" s="94" t="n">
        <v>0</v>
      </c>
      <c r="L54" s="94" t="n">
        <v>0</v>
      </c>
    </row>
    <row r="55" ht="21.95" customHeight="1">
      <c r="A55" s="68" t="inlineStr">
        <is>
          <t>Today (no screens)</t>
        </is>
      </c>
      <c r="B55" s="68" t="inlineStr">
        <is>
          <t>Central CT</t>
        </is>
      </c>
      <c r="C55" s="68" t="inlineStr">
        <is>
          <t>Seat (eating)</t>
        </is>
      </c>
      <c r="D55" s="68" t="inlineStr">
        <is>
          <t>13:50</t>
        </is>
      </c>
      <c r="E55" s="94" t="n">
        <v>20.305</v>
      </c>
      <c r="F55" s="94" t="n">
        <v>0</v>
      </c>
      <c r="G55" s="94" t="n">
        <v>16.0034</v>
      </c>
      <c r="H55" s="94" t="n">
        <v>0</v>
      </c>
      <c r="I55" s="94" t="n">
        <v>300.2076</v>
      </c>
      <c r="J55" s="94" t="n">
        <v>0</v>
      </c>
      <c r="K55" s="94" t="n">
        <v>0</v>
      </c>
      <c r="L55" s="94" t="n">
        <v>0</v>
      </c>
    </row>
    <row r="56" ht="21.95" customHeight="1">
      <c r="A56" s="68" t="inlineStr">
        <is>
          <t>Today (no screens)</t>
        </is>
      </c>
      <c r="B56" s="68" t="inlineStr">
        <is>
          <t>Central CT</t>
        </is>
      </c>
      <c r="C56" s="68" t="inlineStr">
        <is>
          <t>Seat (eating)</t>
        </is>
      </c>
      <c r="D56" s="68" t="inlineStr">
        <is>
          <t>14:00</t>
        </is>
      </c>
      <c r="E56" s="94" t="n">
        <v>14.125</v>
      </c>
      <c r="F56" s="94" t="n">
        <v>0</v>
      </c>
      <c r="G56" s="94" t="n">
        <v>16.0069</v>
      </c>
      <c r="H56" s="94" t="n">
        <v>0</v>
      </c>
      <c r="I56" s="94" t="n">
        <v>307.91</v>
      </c>
      <c r="J56" s="94" t="n">
        <v>0</v>
      </c>
      <c r="K56" s="94" t="n">
        <v>0</v>
      </c>
      <c r="L56" s="94" t="n">
        <v>0</v>
      </c>
    </row>
    <row r="57" ht="21.95" customHeight="1">
      <c r="A57" s="68" t="inlineStr">
        <is>
          <t>Today (no screens)</t>
        </is>
      </c>
      <c r="B57" s="68" t="inlineStr">
        <is>
          <t>Central CT</t>
        </is>
      </c>
      <c r="C57" s="68" t="inlineStr">
        <is>
          <t>Seat (eating)</t>
        </is>
      </c>
      <c r="D57" s="68" t="inlineStr">
        <is>
          <t>14:10</t>
        </is>
      </c>
      <c r="E57" s="94" t="n">
        <v>1.185</v>
      </c>
      <c r="F57" s="94" t="n">
        <v>0</v>
      </c>
      <c r="G57" s="94" t="n">
        <v>15.9538</v>
      </c>
      <c r="H57" s="94" t="n">
        <v>0</v>
      </c>
      <c r="I57" s="94" t="n">
        <v>170.2096</v>
      </c>
      <c r="J57" s="94" t="n">
        <v>0</v>
      </c>
      <c r="K57" s="94" t="n">
        <v>0</v>
      </c>
      <c r="L57" s="94" t="n">
        <v>0</v>
      </c>
    </row>
    <row r="58" ht="21.95" customHeight="1">
      <c r="A58" s="68" t="inlineStr">
        <is>
          <t>Today (no screens)</t>
        </is>
      </c>
      <c r="B58" s="68" t="inlineStr">
        <is>
          <t>Central CT</t>
        </is>
      </c>
      <c r="C58" s="68" t="inlineStr">
        <is>
          <t>Seat (eating)</t>
        </is>
      </c>
      <c r="D58" s="68" t="inlineStr">
        <is>
          <t>14:20</t>
        </is>
      </c>
      <c r="E58" s="94" t="n">
        <v>0</v>
      </c>
      <c r="F58" s="94" t="n">
        <v>0</v>
      </c>
      <c r="G58" s="94" t="n">
        <v>0</v>
      </c>
      <c r="H58" s="94" t="n">
        <v>0</v>
      </c>
      <c r="I58" s="94" t="n">
        <v>24.2056</v>
      </c>
      <c r="J58" s="94" t="n">
        <v>0</v>
      </c>
      <c r="K58" s="94" t="n">
        <v>0</v>
      </c>
      <c r="L58" s="94" t="n">
        <v>0</v>
      </c>
    </row>
    <row r="59" ht="21.95" customHeight="1">
      <c r="A59" s="68" t="inlineStr">
        <is>
          <t>Today (no screens)</t>
        </is>
      </c>
      <c r="B59" s="68" t="inlineStr">
        <is>
          <t>Central CT</t>
        </is>
      </c>
      <c r="C59" s="68" t="inlineStr">
        <is>
          <t>Disposal</t>
        </is>
      </c>
      <c r="D59" s="68" t="inlineStr">
        <is>
          <t>11:30</t>
        </is>
      </c>
      <c r="E59" s="94" t="n">
        <v>0</v>
      </c>
      <c r="F59" s="94" t="n">
        <v>0</v>
      </c>
      <c r="G59" s="94" t="n">
        <v>0</v>
      </c>
      <c r="H59" s="94" t="n">
        <v>0</v>
      </c>
      <c r="I59" s="94" t="n">
        <v>0</v>
      </c>
      <c r="J59" s="94" t="n">
        <v>0</v>
      </c>
      <c r="K59" s="94" t="n">
        <v>0</v>
      </c>
      <c r="L59" s="94" t="n">
        <v>0</v>
      </c>
    </row>
    <row r="60" ht="21.95" customHeight="1">
      <c r="A60" s="68" t="inlineStr">
        <is>
          <t>Today (no screens)</t>
        </is>
      </c>
      <c r="B60" s="68" t="inlineStr">
        <is>
          <t>Central CT</t>
        </is>
      </c>
      <c r="C60" s="68" t="inlineStr">
        <is>
          <t>Disposal</t>
        </is>
      </c>
      <c r="D60" s="68" t="inlineStr">
        <is>
          <t>11:40</t>
        </is>
      </c>
      <c r="E60" s="94" t="n">
        <v>0</v>
      </c>
      <c r="F60" s="94" t="n">
        <v>0</v>
      </c>
      <c r="G60" s="94" t="n">
        <v>0</v>
      </c>
      <c r="H60" s="94" t="n">
        <v>0</v>
      </c>
      <c r="I60" s="94" t="n">
        <v>0</v>
      </c>
      <c r="J60" s="94" t="n">
        <v>0</v>
      </c>
      <c r="K60" s="94" t="n">
        <v>0</v>
      </c>
      <c r="L60" s="94" t="n">
        <v>0</v>
      </c>
    </row>
    <row r="61" ht="21.95" customHeight="1">
      <c r="A61" s="68" t="inlineStr">
        <is>
          <t>Today (no screens)</t>
        </is>
      </c>
      <c r="B61" s="68" t="inlineStr">
        <is>
          <t>Central CT</t>
        </is>
      </c>
      <c r="C61" s="68" t="inlineStr">
        <is>
          <t>Disposal</t>
        </is>
      </c>
      <c r="D61" s="68" t="inlineStr">
        <is>
          <t>11:50</t>
        </is>
      </c>
      <c r="E61" s="94" t="n">
        <v>0</v>
      </c>
      <c r="F61" s="94" t="n">
        <v>0</v>
      </c>
      <c r="G61" s="94" t="n">
        <v>0</v>
      </c>
      <c r="H61" s="94" t="n">
        <v>0</v>
      </c>
      <c r="I61" s="94" t="n">
        <v>0</v>
      </c>
      <c r="J61" s="94" t="n">
        <v>0</v>
      </c>
      <c r="K61" s="94" t="n">
        <v>0</v>
      </c>
      <c r="L61" s="94" t="n">
        <v>0</v>
      </c>
    </row>
    <row r="62" ht="21.95" customHeight="1">
      <c r="A62" s="68" t="inlineStr">
        <is>
          <t>Today (no screens)</t>
        </is>
      </c>
      <c r="B62" s="68" t="inlineStr">
        <is>
          <t>Central CT</t>
        </is>
      </c>
      <c r="C62" s="68" t="inlineStr">
        <is>
          <t>Disposal</t>
        </is>
      </c>
      <c r="D62" s="68" t="inlineStr">
        <is>
          <t>12:00</t>
        </is>
      </c>
      <c r="E62" s="94" t="n">
        <v>0</v>
      </c>
      <c r="F62" s="94" t="n">
        <v>0</v>
      </c>
      <c r="G62" s="94" t="n">
        <v>0</v>
      </c>
      <c r="H62" s="94" t="n">
        <v>0</v>
      </c>
      <c r="I62" s="94" t="n">
        <v>0</v>
      </c>
      <c r="J62" s="94" t="n">
        <v>0</v>
      </c>
      <c r="K62" s="94" t="n">
        <v>0</v>
      </c>
      <c r="L62" s="94" t="n">
        <v>0</v>
      </c>
    </row>
    <row r="63" ht="21.95" customHeight="1">
      <c r="A63" s="68" t="inlineStr">
        <is>
          <t>Today (no screens)</t>
        </is>
      </c>
      <c r="B63" s="68" t="inlineStr">
        <is>
          <t>Central CT</t>
        </is>
      </c>
      <c r="C63" s="68" t="inlineStr">
        <is>
          <t>Disposal</t>
        </is>
      </c>
      <c r="D63" s="68" t="inlineStr">
        <is>
          <t>12:10</t>
        </is>
      </c>
      <c r="E63" s="94" t="n">
        <v>2.105</v>
      </c>
      <c r="F63" s="94" t="n">
        <v>0</v>
      </c>
      <c r="G63" s="94" t="n">
        <v>1.4924</v>
      </c>
      <c r="H63" s="94" t="n">
        <v>0</v>
      </c>
      <c r="I63" s="94" t="n">
        <v>1.9653</v>
      </c>
      <c r="J63" s="94" t="n">
        <v>0</v>
      </c>
      <c r="K63" s="94" t="n">
        <v>0</v>
      </c>
      <c r="L63" s="94" t="n">
        <v>0</v>
      </c>
    </row>
    <row r="64" ht="21.95" customHeight="1">
      <c r="A64" s="68" t="inlineStr">
        <is>
          <t>Today (no screens)</t>
        </is>
      </c>
      <c r="B64" s="68" t="inlineStr">
        <is>
          <t>Central CT</t>
        </is>
      </c>
      <c r="C64" s="68" t="inlineStr">
        <is>
          <t>Disposal</t>
        </is>
      </c>
      <c r="D64" s="68" t="inlineStr">
        <is>
          <t>12:20</t>
        </is>
      </c>
      <c r="E64" s="94" t="n">
        <v>15.405</v>
      </c>
      <c r="F64" s="94" t="n">
        <v>0</v>
      </c>
      <c r="G64" s="94" t="n">
        <v>1.502</v>
      </c>
      <c r="H64" s="94" t="n">
        <v>0</v>
      </c>
      <c r="I64" s="94" t="n">
        <v>22.2104</v>
      </c>
      <c r="J64" s="94" t="n">
        <v>0</v>
      </c>
      <c r="K64" s="94" t="n">
        <v>0</v>
      </c>
      <c r="L64" s="94" t="n">
        <v>0</v>
      </c>
    </row>
    <row r="65" ht="21.95" customHeight="1">
      <c r="A65" s="68" t="inlineStr">
        <is>
          <t>Today (no screens)</t>
        </is>
      </c>
      <c r="B65" s="68" t="inlineStr">
        <is>
          <t>Central CT</t>
        </is>
      </c>
      <c r="C65" s="68" t="inlineStr">
        <is>
          <t>Disposal</t>
        </is>
      </c>
      <c r="D65" s="68" t="inlineStr">
        <is>
          <t>12:30</t>
        </is>
      </c>
      <c r="E65" s="94" t="n">
        <v>18.435</v>
      </c>
      <c r="F65" s="94" t="n">
        <v>0</v>
      </c>
      <c r="G65" s="94" t="n">
        <v>1.5088</v>
      </c>
      <c r="H65" s="94" t="n">
        <v>0</v>
      </c>
      <c r="I65" s="94" t="n">
        <v>27.8283</v>
      </c>
      <c r="J65" s="94" t="n">
        <v>0</v>
      </c>
      <c r="K65" s="94" t="n">
        <v>0</v>
      </c>
      <c r="L65" s="94" t="n">
        <v>0</v>
      </c>
    </row>
    <row r="66" ht="21.95" customHeight="1">
      <c r="A66" s="68" t="inlineStr">
        <is>
          <t>Today (no screens)</t>
        </is>
      </c>
      <c r="B66" s="68" t="inlineStr">
        <is>
          <t>Central CT</t>
        </is>
      </c>
      <c r="C66" s="68" t="inlineStr">
        <is>
          <t>Disposal</t>
        </is>
      </c>
      <c r="D66" s="68" t="inlineStr">
        <is>
          <t>12:40</t>
        </is>
      </c>
      <c r="E66" s="94" t="n">
        <v>18.64</v>
      </c>
      <c r="F66" s="94" t="n">
        <v>0</v>
      </c>
      <c r="G66" s="94" t="n">
        <v>1.4884</v>
      </c>
      <c r="H66" s="94" t="n">
        <v>0</v>
      </c>
      <c r="I66" s="94" t="n">
        <v>27.6877</v>
      </c>
      <c r="J66" s="94" t="n">
        <v>0</v>
      </c>
      <c r="K66" s="94" t="n">
        <v>0</v>
      </c>
      <c r="L66" s="94" t="n">
        <v>0</v>
      </c>
    </row>
    <row r="67" ht="21.95" customHeight="1">
      <c r="A67" s="68" t="inlineStr">
        <is>
          <t>Today (no screens)</t>
        </is>
      </c>
      <c r="B67" s="68" t="inlineStr">
        <is>
          <t>Central CT</t>
        </is>
      </c>
      <c r="C67" s="68" t="inlineStr">
        <is>
          <t>Disposal</t>
        </is>
      </c>
      <c r="D67" s="68" t="inlineStr">
        <is>
          <t>12:50</t>
        </is>
      </c>
      <c r="E67" s="94" t="n">
        <v>19.99</v>
      </c>
      <c r="F67" s="94" t="n">
        <v>0</v>
      </c>
      <c r="G67" s="94" t="n">
        <v>1.4937</v>
      </c>
      <c r="H67" s="94" t="n">
        <v>0</v>
      </c>
      <c r="I67" s="94" t="n">
        <v>29.9053</v>
      </c>
      <c r="J67" s="94" t="n">
        <v>0</v>
      </c>
      <c r="K67" s="94" t="n">
        <v>0</v>
      </c>
      <c r="L67" s="94" t="n">
        <v>0</v>
      </c>
    </row>
    <row r="68" ht="21.95" customHeight="1">
      <c r="A68" s="68" t="inlineStr">
        <is>
          <t>Today (no screens)</t>
        </is>
      </c>
      <c r="B68" s="68" t="inlineStr">
        <is>
          <t>Central CT</t>
        </is>
      </c>
      <c r="C68" s="68" t="inlineStr">
        <is>
          <t>Disposal</t>
        </is>
      </c>
      <c r="D68" s="68" t="inlineStr">
        <is>
          <t>13:00</t>
        </is>
      </c>
      <c r="E68" s="94" t="n">
        <v>19.42</v>
      </c>
      <c r="F68" s="94" t="n">
        <v>0</v>
      </c>
      <c r="G68" s="94" t="n">
        <v>1.4957</v>
      </c>
      <c r="H68" s="94" t="n">
        <v>0</v>
      </c>
      <c r="I68" s="94" t="n">
        <v>29.1347</v>
      </c>
      <c r="J68" s="94" t="n">
        <v>0</v>
      </c>
      <c r="K68" s="94" t="n">
        <v>0</v>
      </c>
      <c r="L68" s="94" t="n">
        <v>0</v>
      </c>
    </row>
    <row r="69" ht="21.95" customHeight="1">
      <c r="A69" s="68" t="inlineStr">
        <is>
          <t>Today (no screens)</t>
        </is>
      </c>
      <c r="B69" s="68" t="inlineStr">
        <is>
          <t>Central CT</t>
        </is>
      </c>
      <c r="C69" s="68" t="inlineStr">
        <is>
          <t>Disposal</t>
        </is>
      </c>
      <c r="D69" s="68" t="inlineStr">
        <is>
          <t>13:10</t>
        </is>
      </c>
      <c r="E69" s="94" t="n">
        <v>18.165</v>
      </c>
      <c r="F69" s="94" t="n">
        <v>0</v>
      </c>
      <c r="G69" s="94" t="n">
        <v>1.4995</v>
      </c>
      <c r="H69" s="94" t="n">
        <v>0</v>
      </c>
      <c r="I69" s="94" t="n">
        <v>27.1188</v>
      </c>
      <c r="J69" s="94" t="n">
        <v>0</v>
      </c>
      <c r="K69" s="94" t="n">
        <v>0</v>
      </c>
      <c r="L69" s="94" t="n">
        <v>0</v>
      </c>
    </row>
    <row r="70" ht="21.95" customHeight="1">
      <c r="A70" s="68" t="inlineStr">
        <is>
          <t>Today (no screens)</t>
        </is>
      </c>
      <c r="B70" s="68" t="inlineStr">
        <is>
          <t>Central CT</t>
        </is>
      </c>
      <c r="C70" s="68" t="inlineStr">
        <is>
          <t>Disposal</t>
        </is>
      </c>
      <c r="D70" s="68" t="inlineStr">
        <is>
          <t>13:20</t>
        </is>
      </c>
      <c r="E70" s="94" t="n">
        <v>19.51</v>
      </c>
      <c r="F70" s="94" t="n">
        <v>0</v>
      </c>
      <c r="G70" s="94" t="n">
        <v>1.4962</v>
      </c>
      <c r="H70" s="94" t="n">
        <v>0</v>
      </c>
      <c r="I70" s="94" t="n">
        <v>28.9849</v>
      </c>
      <c r="J70" s="94" t="n">
        <v>0</v>
      </c>
      <c r="K70" s="94" t="n">
        <v>0</v>
      </c>
      <c r="L70" s="94" t="n">
        <v>0</v>
      </c>
    </row>
    <row r="71" ht="21.95" customHeight="1">
      <c r="A71" s="68" t="inlineStr">
        <is>
          <t>Today (no screens)</t>
        </is>
      </c>
      <c r="B71" s="68" t="inlineStr">
        <is>
          <t>Central CT</t>
        </is>
      </c>
      <c r="C71" s="68" t="inlineStr">
        <is>
          <t>Disposal</t>
        </is>
      </c>
      <c r="D71" s="68" t="inlineStr">
        <is>
          <t>13:30</t>
        </is>
      </c>
      <c r="E71" s="94" t="n">
        <v>20.005</v>
      </c>
      <c r="F71" s="94" t="n">
        <v>0</v>
      </c>
      <c r="G71" s="94" t="n">
        <v>1.4971</v>
      </c>
      <c r="H71" s="94" t="n">
        <v>0</v>
      </c>
      <c r="I71" s="94" t="n">
        <v>29.9618</v>
      </c>
      <c r="J71" s="94" t="n">
        <v>0</v>
      </c>
      <c r="K71" s="94" t="n">
        <v>0</v>
      </c>
      <c r="L71" s="94" t="n">
        <v>0</v>
      </c>
    </row>
    <row r="72" ht="21.95" customHeight="1">
      <c r="A72" s="68" t="inlineStr">
        <is>
          <t>Today (no screens)</t>
        </is>
      </c>
      <c r="B72" s="68" t="inlineStr">
        <is>
          <t>Central CT</t>
        </is>
      </c>
      <c r="C72" s="68" t="inlineStr">
        <is>
          <t>Disposal</t>
        </is>
      </c>
      <c r="D72" s="68" t="inlineStr">
        <is>
          <t>13:40</t>
        </is>
      </c>
      <c r="E72" s="94" t="n">
        <v>19.495</v>
      </c>
      <c r="F72" s="94" t="n">
        <v>0</v>
      </c>
      <c r="G72" s="94" t="n">
        <v>1.5039</v>
      </c>
      <c r="H72" s="94" t="n">
        <v>0</v>
      </c>
      <c r="I72" s="94" t="n">
        <v>29.3364</v>
      </c>
      <c r="J72" s="94" t="n">
        <v>0</v>
      </c>
      <c r="K72" s="94" t="n">
        <v>0</v>
      </c>
      <c r="L72" s="94" t="n">
        <v>0</v>
      </c>
    </row>
    <row r="73" ht="21.95" customHeight="1">
      <c r="A73" s="68" t="inlineStr">
        <is>
          <t>Today (no screens)</t>
        </is>
      </c>
      <c r="B73" s="68" t="inlineStr">
        <is>
          <t>Central CT</t>
        </is>
      </c>
      <c r="C73" s="68" t="inlineStr">
        <is>
          <t>Disposal</t>
        </is>
      </c>
      <c r="D73" s="68" t="inlineStr">
        <is>
          <t>13:50</t>
        </is>
      </c>
      <c r="E73" s="94" t="n">
        <v>18.125</v>
      </c>
      <c r="F73" s="94" t="n">
        <v>0</v>
      </c>
      <c r="G73" s="94" t="n">
        <v>1.5057</v>
      </c>
      <c r="H73" s="94" t="n">
        <v>0</v>
      </c>
      <c r="I73" s="94" t="n">
        <v>27.5376</v>
      </c>
      <c r="J73" s="94" t="n">
        <v>0</v>
      </c>
      <c r="K73" s="94" t="n">
        <v>0</v>
      </c>
      <c r="L73" s="94" t="n">
        <v>0</v>
      </c>
    </row>
    <row r="74" ht="21.95" customHeight="1">
      <c r="A74" s="68" t="inlineStr">
        <is>
          <t>Today (no screens)</t>
        </is>
      </c>
      <c r="B74" s="68" t="inlineStr">
        <is>
          <t>Central CT</t>
        </is>
      </c>
      <c r="C74" s="68" t="inlineStr">
        <is>
          <t>Disposal</t>
        </is>
      </c>
      <c r="D74" s="68" t="inlineStr">
        <is>
          <t>14:00</t>
        </is>
      </c>
      <c r="E74" s="94" t="n">
        <v>19.245</v>
      </c>
      <c r="F74" s="94" t="n">
        <v>0</v>
      </c>
      <c r="G74" s="94" t="n">
        <v>1.5068</v>
      </c>
      <c r="H74" s="94" t="n">
        <v>0</v>
      </c>
      <c r="I74" s="94" t="n">
        <v>28.6302</v>
      </c>
      <c r="J74" s="94" t="n">
        <v>0</v>
      </c>
      <c r="K74" s="94" t="n">
        <v>0</v>
      </c>
      <c r="L74" s="94" t="n">
        <v>0</v>
      </c>
    </row>
    <row r="75" ht="21.95" customHeight="1">
      <c r="A75" s="68" t="inlineStr">
        <is>
          <t>Today (no screens)</t>
        </is>
      </c>
      <c r="B75" s="68" t="inlineStr">
        <is>
          <t>Central CT</t>
        </is>
      </c>
      <c r="C75" s="68" t="inlineStr">
        <is>
          <t>Disposal</t>
        </is>
      </c>
      <c r="D75" s="68" t="inlineStr">
        <is>
          <t>14:10</t>
        </is>
      </c>
      <c r="E75" s="94" t="n">
        <v>20.125</v>
      </c>
      <c r="F75" s="94" t="n">
        <v>0</v>
      </c>
      <c r="G75" s="94" t="n">
        <v>1.4971</v>
      </c>
      <c r="H75" s="94" t="n">
        <v>0</v>
      </c>
      <c r="I75" s="94" t="n">
        <v>30.3875</v>
      </c>
      <c r="J75" s="94" t="n">
        <v>0</v>
      </c>
      <c r="K75" s="94" t="n">
        <v>0</v>
      </c>
      <c r="L75" s="94" t="n">
        <v>0</v>
      </c>
    </row>
    <row r="76" ht="21.95" customHeight="1">
      <c r="A76" s="68" t="inlineStr">
        <is>
          <t>Today (no screens)</t>
        </is>
      </c>
      <c r="B76" s="68" t="inlineStr">
        <is>
          <t>Central CT</t>
        </is>
      </c>
      <c r="C76" s="68" t="inlineStr">
        <is>
          <t>Disposal</t>
        </is>
      </c>
      <c r="D76" s="68" t="inlineStr">
        <is>
          <t>14:20</t>
        </is>
      </c>
      <c r="E76" s="94" t="n">
        <v>7</v>
      </c>
      <c r="F76" s="94" t="n">
        <v>0</v>
      </c>
      <c r="G76" s="94" t="n">
        <v>1.5131</v>
      </c>
      <c r="H76" s="94" t="n">
        <v>0</v>
      </c>
      <c r="I76" s="94" t="n">
        <v>12.6002</v>
      </c>
      <c r="J76" s="94" t="n">
        <v>0</v>
      </c>
      <c r="K76" s="94" t="n">
        <v>0</v>
      </c>
      <c r="L76" s="94" t="n">
        <v>0</v>
      </c>
    </row>
    <row r="77" ht="21.95" customHeight="1">
      <c r="A77" s="68" t="inlineStr">
        <is>
          <t>Today (no screens)</t>
        </is>
      </c>
      <c r="B77" s="68" t="inlineStr">
        <is>
          <t>Central CT</t>
        </is>
      </c>
      <c r="C77" s="68" t="inlineStr">
        <is>
          <t>Whole visit</t>
        </is>
      </c>
      <c r="D77" s="68" t="inlineStr">
        <is>
          <t>11:30</t>
        </is>
      </c>
      <c r="E77" s="94" t="n">
        <v>0</v>
      </c>
      <c r="F77" s="94" t="n">
        <v>0</v>
      </c>
      <c r="G77" s="94" t="n">
        <v>0</v>
      </c>
      <c r="H77" s="94" t="n">
        <v>0</v>
      </c>
      <c r="I77" s="94" t="n">
        <v>0</v>
      </c>
      <c r="J77" s="94" t="n">
        <v>0</v>
      </c>
      <c r="K77" s="94" t="n">
        <v>0</v>
      </c>
      <c r="L77" s="94" t="n">
        <v>0</v>
      </c>
    </row>
    <row r="78" ht="21.95" customHeight="1">
      <c r="A78" s="68" t="inlineStr">
        <is>
          <t>Today (no screens)</t>
        </is>
      </c>
      <c r="B78" s="68" t="inlineStr">
        <is>
          <t>Central CT</t>
        </is>
      </c>
      <c r="C78" s="68" t="inlineStr">
        <is>
          <t>Whole visit</t>
        </is>
      </c>
      <c r="D78" s="68" t="inlineStr">
        <is>
          <t>11:40</t>
        </is>
      </c>
      <c r="E78" s="94" t="n">
        <v>0</v>
      </c>
      <c r="F78" s="94" t="n">
        <v>0</v>
      </c>
      <c r="G78" s="94" t="n">
        <v>0</v>
      </c>
      <c r="H78" s="94" t="n">
        <v>0</v>
      </c>
      <c r="I78" s="94" t="n">
        <v>0</v>
      </c>
      <c r="J78" s="94" t="n">
        <v>0</v>
      </c>
      <c r="K78" s="94" t="n">
        <v>0</v>
      </c>
      <c r="L78" s="94" t="n">
        <v>0</v>
      </c>
    </row>
    <row r="79" ht="21.95" customHeight="1">
      <c r="A79" s="68" t="inlineStr">
        <is>
          <t>Today (no screens)</t>
        </is>
      </c>
      <c r="B79" s="68" t="inlineStr">
        <is>
          <t>Central CT</t>
        </is>
      </c>
      <c r="C79" s="68" t="inlineStr">
        <is>
          <t>Whole visit</t>
        </is>
      </c>
      <c r="D79" s="68" t="inlineStr">
        <is>
          <t>11:50</t>
        </is>
      </c>
      <c r="E79" s="94" t="n">
        <v>0</v>
      </c>
      <c r="F79" s="94" t="n">
        <v>0</v>
      </c>
      <c r="G79" s="94" t="n">
        <v>0</v>
      </c>
      <c r="H79" s="94" t="n">
        <v>0</v>
      </c>
      <c r="I79" s="94" t="n">
        <v>0</v>
      </c>
      <c r="J79" s="94" t="n">
        <v>0</v>
      </c>
      <c r="K79" s="94" t="n">
        <v>0</v>
      </c>
      <c r="L79" s="94" t="n">
        <v>0</v>
      </c>
    </row>
    <row r="80" ht="21.95" customHeight="1">
      <c r="A80" s="68" t="inlineStr">
        <is>
          <t>Today (no screens)</t>
        </is>
      </c>
      <c r="B80" s="68" t="inlineStr">
        <is>
          <t>Central CT</t>
        </is>
      </c>
      <c r="C80" s="68" t="inlineStr">
        <is>
          <t>Whole visit</t>
        </is>
      </c>
      <c r="D80" s="68" t="inlineStr">
        <is>
          <t>12:00</t>
        </is>
      </c>
      <c r="E80" s="94" t="n">
        <v>14.52</v>
      </c>
      <c r="F80" s="94" t="n">
        <v>0</v>
      </c>
      <c r="G80" s="94" t="n">
        <v>19.7479</v>
      </c>
      <c r="H80" s="94" t="n">
        <v>0</v>
      </c>
      <c r="I80" s="94" t="n">
        <v>66.97280000000001</v>
      </c>
      <c r="J80" s="94" t="n">
        <v>0</v>
      </c>
      <c r="K80" s="94" t="n">
        <v>0</v>
      </c>
      <c r="L80" s="94" t="n">
        <v>0</v>
      </c>
    </row>
    <row r="81" ht="21.95" customHeight="1">
      <c r="A81" s="68" t="inlineStr">
        <is>
          <t>Today (no screens)</t>
        </is>
      </c>
      <c r="B81" s="68" t="inlineStr">
        <is>
          <t>Central CT</t>
        </is>
      </c>
      <c r="C81" s="68" t="inlineStr">
        <is>
          <t>Whole visit</t>
        </is>
      </c>
      <c r="D81" s="68" t="inlineStr">
        <is>
          <t>12:10</t>
        </is>
      </c>
      <c r="E81" s="94" t="n">
        <v>18.77</v>
      </c>
      <c r="F81" s="94" t="n">
        <v>0</v>
      </c>
      <c r="G81" s="94" t="n">
        <v>19.9232</v>
      </c>
      <c r="H81" s="94" t="n">
        <v>0</v>
      </c>
      <c r="I81" s="94" t="n">
        <v>235.861</v>
      </c>
      <c r="J81" s="94" t="n">
        <v>0</v>
      </c>
      <c r="K81" s="94" t="n">
        <v>0</v>
      </c>
      <c r="L81" s="94" t="n">
        <v>0</v>
      </c>
    </row>
    <row r="82" ht="21.95" customHeight="1">
      <c r="A82" s="68" t="inlineStr">
        <is>
          <t>Today (no screens)</t>
        </is>
      </c>
      <c r="B82" s="68" t="inlineStr">
        <is>
          <t>Central CT</t>
        </is>
      </c>
      <c r="C82" s="68" t="inlineStr">
        <is>
          <t>Whole visit</t>
        </is>
      </c>
      <c r="D82" s="68" t="inlineStr">
        <is>
          <t>12:20</t>
        </is>
      </c>
      <c r="E82" s="94" t="n">
        <v>18.825</v>
      </c>
      <c r="F82" s="94" t="n">
        <v>0</v>
      </c>
      <c r="G82" s="94" t="n">
        <v>20.2277</v>
      </c>
      <c r="H82" s="94" t="n">
        <v>0</v>
      </c>
      <c r="I82" s="94" t="n">
        <v>357.9495</v>
      </c>
      <c r="J82" s="94" t="n">
        <v>0</v>
      </c>
      <c r="K82" s="94" t="n">
        <v>0</v>
      </c>
      <c r="L82" s="94" t="n">
        <v>0</v>
      </c>
    </row>
    <row r="83" ht="21.95" customHeight="1">
      <c r="A83" s="68" t="inlineStr">
        <is>
          <t>Today (no screens)</t>
        </is>
      </c>
      <c r="B83" s="68" t="inlineStr">
        <is>
          <t>Central CT</t>
        </is>
      </c>
      <c r="C83" s="68" t="inlineStr">
        <is>
          <t>Whole visit</t>
        </is>
      </c>
      <c r="D83" s="68" t="inlineStr">
        <is>
          <t>12:30</t>
        </is>
      </c>
      <c r="E83" s="94" t="n">
        <v>22.915</v>
      </c>
      <c r="F83" s="94" t="n">
        <v>0</v>
      </c>
      <c r="G83" s="94" t="n">
        <v>21.124</v>
      </c>
      <c r="H83" s="94" t="n">
        <v>0</v>
      </c>
      <c r="I83" s="94" t="n">
        <v>400.1098</v>
      </c>
      <c r="J83" s="94" t="n">
        <v>0</v>
      </c>
      <c r="K83" s="94" t="n">
        <v>0</v>
      </c>
      <c r="L83" s="94" t="n">
        <v>0</v>
      </c>
    </row>
    <row r="84" ht="21.95" customHeight="1">
      <c r="A84" s="68" t="inlineStr">
        <is>
          <t>Today (no screens)</t>
        </is>
      </c>
      <c r="B84" s="68" t="inlineStr">
        <is>
          <t>Central CT</t>
        </is>
      </c>
      <c r="C84" s="68" t="inlineStr">
        <is>
          <t>Whole visit</t>
        </is>
      </c>
      <c r="D84" s="68" t="inlineStr">
        <is>
          <t>12:40</t>
        </is>
      </c>
      <c r="E84" s="94" t="n">
        <v>20.35</v>
      </c>
      <c r="F84" s="94" t="n">
        <v>0</v>
      </c>
      <c r="G84" s="94" t="n">
        <v>22.186</v>
      </c>
      <c r="H84" s="94" t="n">
        <v>0</v>
      </c>
      <c r="I84" s="94" t="n">
        <v>429.9949</v>
      </c>
      <c r="J84" s="94" t="n">
        <v>0</v>
      </c>
      <c r="K84" s="94" t="n">
        <v>0</v>
      </c>
      <c r="L84" s="94" t="n">
        <v>0</v>
      </c>
    </row>
    <row r="85" ht="21.95" customHeight="1">
      <c r="A85" s="68" t="inlineStr">
        <is>
          <t>Today (no screens)</t>
        </is>
      </c>
      <c r="B85" s="68" t="inlineStr">
        <is>
          <t>Central CT</t>
        </is>
      </c>
      <c r="C85" s="68" t="inlineStr">
        <is>
          <t>Whole visit</t>
        </is>
      </c>
      <c r="D85" s="68" t="inlineStr">
        <is>
          <t>12:50</t>
        </is>
      </c>
      <c r="E85" s="94" t="n">
        <v>16.86</v>
      </c>
      <c r="F85" s="94" t="n">
        <v>0</v>
      </c>
      <c r="G85" s="94" t="n">
        <v>22.1956</v>
      </c>
      <c r="H85" s="94" t="n">
        <v>0</v>
      </c>
      <c r="I85" s="94" t="n">
        <v>424.9515</v>
      </c>
      <c r="J85" s="94" t="n">
        <v>0</v>
      </c>
      <c r="K85" s="94" t="n">
        <v>0</v>
      </c>
      <c r="L85" s="94" t="n">
        <v>0</v>
      </c>
    </row>
    <row r="86" ht="21.95" customHeight="1">
      <c r="A86" s="68" t="inlineStr">
        <is>
          <t>Today (no screens)</t>
        </is>
      </c>
      <c r="B86" s="68" t="inlineStr">
        <is>
          <t>Central CT</t>
        </is>
      </c>
      <c r="C86" s="68" t="inlineStr">
        <is>
          <t>Whole visit</t>
        </is>
      </c>
      <c r="D86" s="68" t="inlineStr">
        <is>
          <t>13:00</t>
        </is>
      </c>
      <c r="E86" s="94" t="n">
        <v>22.705</v>
      </c>
      <c r="F86" s="94" t="n">
        <v>0</v>
      </c>
      <c r="G86" s="94" t="n">
        <v>21.8902</v>
      </c>
      <c r="H86" s="94" t="n">
        <v>0</v>
      </c>
      <c r="I86" s="94" t="n">
        <v>407.2461</v>
      </c>
      <c r="J86" s="94" t="n">
        <v>0</v>
      </c>
      <c r="K86" s="94" t="n">
        <v>0</v>
      </c>
      <c r="L86" s="94" t="n">
        <v>0</v>
      </c>
    </row>
    <row r="87" ht="21.95" customHeight="1">
      <c r="A87" s="68" t="inlineStr">
        <is>
          <t>Today (no screens)</t>
        </is>
      </c>
      <c r="B87" s="68" t="inlineStr">
        <is>
          <t>Central CT</t>
        </is>
      </c>
      <c r="C87" s="68" t="inlineStr">
        <is>
          <t>Whole visit</t>
        </is>
      </c>
      <c r="D87" s="68" t="inlineStr">
        <is>
          <t>13:10</t>
        </is>
      </c>
      <c r="E87" s="94" t="n">
        <v>29.56</v>
      </c>
      <c r="F87" s="94" t="n">
        <v>0</v>
      </c>
      <c r="G87" s="94" t="n">
        <v>25.6333</v>
      </c>
      <c r="H87" s="94" t="n">
        <v>0</v>
      </c>
      <c r="I87" s="94" t="n">
        <v>497.5448</v>
      </c>
      <c r="J87" s="94" t="n">
        <v>0</v>
      </c>
      <c r="K87" s="94" t="n">
        <v>0</v>
      </c>
      <c r="L87" s="94" t="n">
        <v>0</v>
      </c>
    </row>
    <row r="88" ht="21.95" customHeight="1">
      <c r="A88" s="68" t="inlineStr">
        <is>
          <t>Today (no screens)</t>
        </is>
      </c>
      <c r="B88" s="68" t="inlineStr">
        <is>
          <t>Central CT</t>
        </is>
      </c>
      <c r="C88" s="68" t="inlineStr">
        <is>
          <t>Whole visit</t>
        </is>
      </c>
      <c r="D88" s="68" t="inlineStr">
        <is>
          <t>13:20</t>
        </is>
      </c>
      <c r="E88" s="94" t="n">
        <v>28.33</v>
      </c>
      <c r="F88" s="94" t="n">
        <v>0</v>
      </c>
      <c r="G88" s="94" t="n">
        <v>30.9333</v>
      </c>
      <c r="H88" s="94" t="n">
        <v>0</v>
      </c>
      <c r="I88" s="94" t="n">
        <v>601.0945</v>
      </c>
      <c r="J88" s="94" t="n">
        <v>0</v>
      </c>
      <c r="K88" s="94" t="n">
        <v>0</v>
      </c>
      <c r="L88" s="94" t="n">
        <v>0</v>
      </c>
    </row>
    <row r="89" ht="21.95" customHeight="1">
      <c r="A89" s="68" t="inlineStr">
        <is>
          <t>Today (no screens)</t>
        </is>
      </c>
      <c r="B89" s="68" t="inlineStr">
        <is>
          <t>Central CT</t>
        </is>
      </c>
      <c r="C89" s="68" t="inlineStr">
        <is>
          <t>Whole visit</t>
        </is>
      </c>
      <c r="D89" s="68" t="inlineStr">
        <is>
          <t>13:30</t>
        </is>
      </c>
      <c r="E89" s="94" t="n">
        <v>21.35</v>
      </c>
      <c r="F89" s="94" t="n">
        <v>0</v>
      </c>
      <c r="G89" s="94" t="n">
        <v>34.2076</v>
      </c>
      <c r="H89" s="94" t="n">
        <v>0</v>
      </c>
      <c r="I89" s="94" t="n">
        <v>654.1609999999999</v>
      </c>
      <c r="J89" s="94" t="n">
        <v>0</v>
      </c>
      <c r="K89" s="94" t="n">
        <v>0</v>
      </c>
      <c r="L89" s="94" t="n">
        <v>0</v>
      </c>
    </row>
    <row r="90" ht="21.95" customHeight="1">
      <c r="A90" s="68" t="inlineStr">
        <is>
          <t>Today (no screens)</t>
        </is>
      </c>
      <c r="B90" s="68" t="inlineStr">
        <is>
          <t>Central CT</t>
        </is>
      </c>
      <c r="C90" s="68" t="inlineStr">
        <is>
          <t>Whole visit</t>
        </is>
      </c>
      <c r="D90" s="68" t="inlineStr">
        <is>
          <t>13:40</t>
        </is>
      </c>
      <c r="E90" s="94" t="n">
        <v>14.575</v>
      </c>
      <c r="F90" s="94" t="n">
        <v>0</v>
      </c>
      <c r="G90" s="94" t="n">
        <v>33.435</v>
      </c>
      <c r="H90" s="94" t="n">
        <v>0</v>
      </c>
      <c r="I90" s="94" t="n">
        <v>637.1672</v>
      </c>
      <c r="J90" s="94" t="n">
        <v>0</v>
      </c>
      <c r="K90" s="94" t="n">
        <v>0</v>
      </c>
      <c r="L90" s="94" t="n">
        <v>0</v>
      </c>
    </row>
    <row r="91" ht="21.95" customHeight="1">
      <c r="A91" s="68" t="inlineStr">
        <is>
          <t>Today (no screens)</t>
        </is>
      </c>
      <c r="B91" s="68" t="inlineStr">
        <is>
          <t>Central CT</t>
        </is>
      </c>
      <c r="C91" s="68" t="inlineStr">
        <is>
          <t>Whole visit</t>
        </is>
      </c>
      <c r="D91" s="68" t="inlineStr">
        <is>
          <t>13:50</t>
        </is>
      </c>
      <c r="E91" s="94" t="n">
        <v>7.17</v>
      </c>
      <c r="F91" s="94" t="n">
        <v>0</v>
      </c>
      <c r="G91" s="94" t="n">
        <v>28.9311</v>
      </c>
      <c r="H91" s="94" t="n">
        <v>0</v>
      </c>
      <c r="I91" s="94" t="n">
        <v>551.2699</v>
      </c>
      <c r="J91" s="94" t="n">
        <v>0</v>
      </c>
      <c r="K91" s="94" t="n">
        <v>0</v>
      </c>
      <c r="L91" s="94" t="n">
        <v>0</v>
      </c>
    </row>
    <row r="92" ht="21.95" customHeight="1">
      <c r="A92" s="68" t="inlineStr">
        <is>
          <t>Today (no screens)</t>
        </is>
      </c>
      <c r="B92" s="68" t="inlineStr">
        <is>
          <t>Central CT</t>
        </is>
      </c>
      <c r="C92" s="68" t="inlineStr">
        <is>
          <t>Whole visit</t>
        </is>
      </c>
      <c r="D92" s="68" t="inlineStr">
        <is>
          <t>14:00</t>
        </is>
      </c>
      <c r="E92" s="94" t="n">
        <v>0</v>
      </c>
      <c r="F92" s="94" t="n">
        <v>0</v>
      </c>
      <c r="G92" s="94" t="n">
        <v>0</v>
      </c>
      <c r="H92" s="94" t="n">
        <v>0</v>
      </c>
      <c r="I92" s="94" t="n">
        <v>401.8533</v>
      </c>
      <c r="J92" s="94" t="n">
        <v>0</v>
      </c>
      <c r="K92" s="94" t="n">
        <v>0</v>
      </c>
      <c r="L92" s="94" t="n">
        <v>0</v>
      </c>
    </row>
    <row r="93" ht="21.95" customHeight="1">
      <c r="A93" s="68" t="inlineStr">
        <is>
          <t>Today (no screens)</t>
        </is>
      </c>
      <c r="B93" s="68" t="inlineStr">
        <is>
          <t>Central CT</t>
        </is>
      </c>
      <c r="C93" s="68" t="inlineStr">
        <is>
          <t>Whole visit</t>
        </is>
      </c>
      <c r="D93" s="68" t="inlineStr">
        <is>
          <t>14:10</t>
        </is>
      </c>
      <c r="E93" s="94" t="n">
        <v>0</v>
      </c>
      <c r="F93" s="94" t="n">
        <v>0</v>
      </c>
      <c r="G93" s="94" t="n">
        <v>0</v>
      </c>
      <c r="H93" s="94" t="n">
        <v>0</v>
      </c>
      <c r="I93" s="94" t="n">
        <v>203.4723</v>
      </c>
      <c r="J93" s="94" t="n">
        <v>0</v>
      </c>
      <c r="K93" s="94" t="n">
        <v>0</v>
      </c>
      <c r="L93" s="94" t="n">
        <v>0</v>
      </c>
    </row>
    <row r="94" ht="21.95" customHeight="1">
      <c r="A94" s="68" t="inlineStr">
        <is>
          <t>Today (no screens)</t>
        </is>
      </c>
      <c r="B94" s="68" t="inlineStr">
        <is>
          <t>Central CT</t>
        </is>
      </c>
      <c r="C94" s="68" t="inlineStr">
        <is>
          <t>Whole visit</t>
        </is>
      </c>
      <c r="D94" s="68" t="inlineStr">
        <is>
          <t>14:20</t>
        </is>
      </c>
      <c r="E94" s="94" t="n">
        <v>0</v>
      </c>
      <c r="F94" s="94" t="n">
        <v>0</v>
      </c>
      <c r="G94" s="94" t="n">
        <v>0</v>
      </c>
      <c r="H94" s="94" t="n">
        <v>0</v>
      </c>
      <c r="I94" s="94" t="n">
        <v>36.8058</v>
      </c>
      <c r="J94" s="94" t="n">
        <v>0</v>
      </c>
      <c r="K94" s="94" t="n">
        <v>0</v>
      </c>
      <c r="L94" s="94" t="n">
        <v>0</v>
      </c>
    </row>
    <row r="95" ht="21.95" customHeight="1">
      <c r="A95" s="68" t="inlineStr">
        <is>
          <t>Today (no screens)</t>
        </is>
      </c>
      <c r="B95" s="68" t="inlineStr">
        <is>
          <t>Munch Mess</t>
        </is>
      </c>
      <c r="C95" s="68" t="inlineStr">
        <is>
          <t>Biometric scan</t>
        </is>
      </c>
      <c r="D95" s="68" t="inlineStr">
        <is>
          <t>11:30</t>
        </is>
      </c>
      <c r="E95" s="94" t="n">
        <v>0</v>
      </c>
      <c r="F95" s="94" t="n">
        <v>0</v>
      </c>
      <c r="G95" s="94" t="n">
        <v>0</v>
      </c>
      <c r="H95" s="94" t="n">
        <v>0</v>
      </c>
      <c r="I95" s="94" t="n">
        <v>0</v>
      </c>
      <c r="J95" s="94" t="n">
        <v>0</v>
      </c>
      <c r="K95" s="94" t="n">
        <v>0</v>
      </c>
      <c r="L95" s="94" t="n">
        <v>0</v>
      </c>
    </row>
    <row r="96" ht="21.95" customHeight="1">
      <c r="A96" s="68" t="inlineStr">
        <is>
          <t>Today (no screens)</t>
        </is>
      </c>
      <c r="B96" s="68" t="inlineStr">
        <is>
          <t>Munch Mess</t>
        </is>
      </c>
      <c r="C96" s="68" t="inlineStr">
        <is>
          <t>Biometric scan</t>
        </is>
      </c>
      <c r="D96" s="68" t="inlineStr">
        <is>
          <t>11:40</t>
        </is>
      </c>
      <c r="E96" s="94" t="n">
        <v>0</v>
      </c>
      <c r="F96" s="94" t="n">
        <v>0</v>
      </c>
      <c r="G96" s="94" t="n">
        <v>0</v>
      </c>
      <c r="H96" s="94" t="n">
        <v>0</v>
      </c>
      <c r="I96" s="94" t="n">
        <v>0</v>
      </c>
      <c r="J96" s="94" t="n">
        <v>0</v>
      </c>
      <c r="K96" s="94" t="n">
        <v>0</v>
      </c>
      <c r="L96" s="94" t="n">
        <v>0</v>
      </c>
    </row>
    <row r="97" ht="21.95" customHeight="1">
      <c r="A97" s="68" t="inlineStr">
        <is>
          <t>Today (no screens)</t>
        </is>
      </c>
      <c r="B97" s="68" t="inlineStr">
        <is>
          <t>Munch Mess</t>
        </is>
      </c>
      <c r="C97" s="68" t="inlineStr">
        <is>
          <t>Biometric scan</t>
        </is>
      </c>
      <c r="D97" s="68" t="inlineStr">
        <is>
          <t>11:50</t>
        </is>
      </c>
      <c r="E97" s="94" t="n">
        <v>0</v>
      </c>
      <c r="F97" s="94" t="n">
        <v>0</v>
      </c>
      <c r="G97" s="94" t="n">
        <v>0</v>
      </c>
      <c r="H97" s="94" t="n">
        <v>0</v>
      </c>
      <c r="I97" s="94" t="n">
        <v>0</v>
      </c>
      <c r="J97" s="94" t="n">
        <v>0</v>
      </c>
      <c r="K97" s="94" t="n">
        <v>0</v>
      </c>
      <c r="L97" s="94" t="n">
        <v>0</v>
      </c>
    </row>
    <row r="98" ht="21.95" customHeight="1">
      <c r="A98" s="68" t="inlineStr">
        <is>
          <t>Today (no screens)</t>
        </is>
      </c>
      <c r="B98" s="68" t="inlineStr">
        <is>
          <t>Munch Mess</t>
        </is>
      </c>
      <c r="C98" s="68" t="inlineStr">
        <is>
          <t>Biometric scan</t>
        </is>
      </c>
      <c r="D98" s="68" t="inlineStr">
        <is>
          <t>12:00</t>
        </is>
      </c>
      <c r="E98" s="94" t="n">
        <v>3.88</v>
      </c>
      <c r="F98" s="94" t="n">
        <v>0.003</v>
      </c>
      <c r="G98" s="94" t="n">
        <v>0.0333</v>
      </c>
      <c r="H98" s="94" t="n">
        <v>0.0117</v>
      </c>
      <c r="I98" s="94" t="n">
        <v>0.1293</v>
      </c>
      <c r="J98" s="94" t="n">
        <v>0</v>
      </c>
      <c r="K98" s="94" t="n">
        <v>0</v>
      </c>
      <c r="L98" s="94" t="n">
        <v>0</v>
      </c>
    </row>
    <row r="99" ht="21.95" customHeight="1">
      <c r="A99" s="68" t="inlineStr">
        <is>
          <t>Today (no screens)</t>
        </is>
      </c>
      <c r="B99" s="68" t="inlineStr">
        <is>
          <t>Munch Mess</t>
        </is>
      </c>
      <c r="C99" s="68" t="inlineStr">
        <is>
          <t>Biometric scan</t>
        </is>
      </c>
      <c r="D99" s="68" t="inlineStr">
        <is>
          <t>12:10</t>
        </is>
      </c>
      <c r="E99" s="94" t="n">
        <v>4.64</v>
      </c>
      <c r="F99" s="94" t="n">
        <v>0.003</v>
      </c>
      <c r="G99" s="94" t="n">
        <v>0.0334</v>
      </c>
      <c r="H99" s="94" t="n">
        <v>0.0138</v>
      </c>
      <c r="I99" s="94" t="n">
        <v>0.1551</v>
      </c>
      <c r="J99" s="94" t="n">
        <v>0</v>
      </c>
      <c r="K99" s="94" t="n">
        <v>0</v>
      </c>
      <c r="L99" s="94" t="n">
        <v>0</v>
      </c>
    </row>
    <row r="100" ht="21.95" customHeight="1">
      <c r="A100" s="68" t="inlineStr">
        <is>
          <t>Today (no screens)</t>
        </is>
      </c>
      <c r="B100" s="68" t="inlineStr">
        <is>
          <t>Munch Mess</t>
        </is>
      </c>
      <c r="C100" s="68" t="inlineStr">
        <is>
          <t>Biometric scan</t>
        </is>
      </c>
      <c r="D100" s="68" t="inlineStr">
        <is>
          <t>12:20</t>
        </is>
      </c>
      <c r="E100" s="94" t="n">
        <v>4.78</v>
      </c>
      <c r="F100" s="94" t="n">
        <v>0.0039</v>
      </c>
      <c r="G100" s="94" t="n">
        <v>0.0338</v>
      </c>
      <c r="H100" s="94" t="n">
        <v>0.0188</v>
      </c>
      <c r="I100" s="94" t="n">
        <v>0.1613</v>
      </c>
      <c r="J100" s="94" t="n">
        <v>0</v>
      </c>
      <c r="K100" s="94" t="n">
        <v>0</v>
      </c>
      <c r="L100" s="94" t="n">
        <v>0</v>
      </c>
    </row>
    <row r="101" ht="21.95" customHeight="1">
      <c r="A101" s="68" t="inlineStr">
        <is>
          <t>Today (no screens)</t>
        </is>
      </c>
      <c r="B101" s="68" t="inlineStr">
        <is>
          <t>Munch Mess</t>
        </is>
      </c>
      <c r="C101" s="68" t="inlineStr">
        <is>
          <t>Biometric scan</t>
        </is>
      </c>
      <c r="D101" s="68" t="inlineStr">
        <is>
          <t>12:30</t>
        </is>
      </c>
      <c r="E101" s="94" t="n">
        <v>5.73</v>
      </c>
      <c r="F101" s="94" t="n">
        <v>0.0044</v>
      </c>
      <c r="G101" s="94" t="n">
        <v>0.0338</v>
      </c>
      <c r="H101" s="94" t="n">
        <v>0.0254</v>
      </c>
      <c r="I101" s="94" t="n">
        <v>0.1929</v>
      </c>
      <c r="J101" s="94" t="n">
        <v>0</v>
      </c>
      <c r="K101" s="94" t="n">
        <v>0</v>
      </c>
      <c r="L101" s="94" t="n">
        <v>0</v>
      </c>
    </row>
    <row r="102" ht="21.95" customHeight="1">
      <c r="A102" s="68" t="inlineStr">
        <is>
          <t>Today (no screens)</t>
        </is>
      </c>
      <c r="B102" s="68" t="inlineStr">
        <is>
          <t>Munch Mess</t>
        </is>
      </c>
      <c r="C102" s="68" t="inlineStr">
        <is>
          <t>Biometric scan</t>
        </is>
      </c>
      <c r="D102" s="68" t="inlineStr">
        <is>
          <t>12:40</t>
        </is>
      </c>
      <c r="E102" s="94" t="n">
        <v>5.36</v>
      </c>
      <c r="F102" s="94" t="n">
        <v>0.0039</v>
      </c>
      <c r="G102" s="94" t="n">
        <v>0.0336</v>
      </c>
      <c r="H102" s="94" t="n">
        <v>0.0209</v>
      </c>
      <c r="I102" s="94" t="n">
        <v>0.1812</v>
      </c>
      <c r="J102" s="94" t="n">
        <v>0</v>
      </c>
      <c r="K102" s="94" t="n">
        <v>0</v>
      </c>
      <c r="L102" s="94" t="n">
        <v>0</v>
      </c>
    </row>
    <row r="103" ht="21.95" customHeight="1">
      <c r="A103" s="68" t="inlineStr">
        <is>
          <t>Today (no screens)</t>
        </is>
      </c>
      <c r="B103" s="68" t="inlineStr">
        <is>
          <t>Munch Mess</t>
        </is>
      </c>
      <c r="C103" s="68" t="inlineStr">
        <is>
          <t>Biometric scan</t>
        </is>
      </c>
      <c r="D103" s="68" t="inlineStr">
        <is>
          <t>12:50</t>
        </is>
      </c>
      <c r="E103" s="94" t="n">
        <v>4.375</v>
      </c>
      <c r="F103" s="94" t="n">
        <v>0.0032</v>
      </c>
      <c r="G103" s="94" t="n">
        <v>0.0336</v>
      </c>
      <c r="H103" s="94" t="n">
        <v>0.0141</v>
      </c>
      <c r="I103" s="94" t="n">
        <v>0.1463</v>
      </c>
      <c r="J103" s="94" t="n">
        <v>0</v>
      </c>
      <c r="K103" s="94" t="n">
        <v>0</v>
      </c>
      <c r="L103" s="94" t="n">
        <v>0</v>
      </c>
    </row>
    <row r="104" ht="21.95" customHeight="1">
      <c r="A104" s="68" t="inlineStr">
        <is>
          <t>Today (no screens)</t>
        </is>
      </c>
      <c r="B104" s="68" t="inlineStr">
        <is>
          <t>Munch Mess</t>
        </is>
      </c>
      <c r="C104" s="68" t="inlineStr">
        <is>
          <t>Biometric scan</t>
        </is>
      </c>
      <c r="D104" s="68" t="inlineStr">
        <is>
          <t>13:00</t>
        </is>
      </c>
      <c r="E104" s="94" t="n">
        <v>5.67</v>
      </c>
      <c r="F104" s="94" t="n">
        <v>0.004</v>
      </c>
      <c r="G104" s="94" t="n">
        <v>0.0331</v>
      </c>
      <c r="H104" s="94" t="n">
        <v>0.0228</v>
      </c>
      <c r="I104" s="94" t="n">
        <v>0.1879</v>
      </c>
      <c r="J104" s="94" t="n">
        <v>0</v>
      </c>
      <c r="K104" s="94" t="n">
        <v>0</v>
      </c>
      <c r="L104" s="94" t="n">
        <v>0</v>
      </c>
    </row>
    <row r="105" ht="21.95" customHeight="1">
      <c r="A105" s="68" t="inlineStr">
        <is>
          <t>Today (no screens)</t>
        </is>
      </c>
      <c r="B105" s="68" t="inlineStr">
        <is>
          <t>Munch Mess</t>
        </is>
      </c>
      <c r="C105" s="68" t="inlineStr">
        <is>
          <t>Biometric scan</t>
        </is>
      </c>
      <c r="D105" s="68" t="inlineStr">
        <is>
          <t>13:10</t>
        </is>
      </c>
      <c r="E105" s="94" t="n">
        <v>7.435</v>
      </c>
      <c r="F105" s="94" t="n">
        <v>0.0063</v>
      </c>
      <c r="G105" s="94" t="n">
        <v>0.0335</v>
      </c>
      <c r="H105" s="94" t="n">
        <v>0.0469</v>
      </c>
      <c r="I105" s="94" t="n">
        <v>0.2489</v>
      </c>
      <c r="J105" s="94" t="n">
        <v>0</v>
      </c>
      <c r="K105" s="94" t="n">
        <v>0</v>
      </c>
      <c r="L105" s="94" t="n">
        <v>0</v>
      </c>
    </row>
    <row r="106" ht="21.95" customHeight="1">
      <c r="A106" s="68" t="inlineStr">
        <is>
          <t>Today (no screens)</t>
        </is>
      </c>
      <c r="B106" s="68" t="inlineStr">
        <is>
          <t>Munch Mess</t>
        </is>
      </c>
      <c r="C106" s="68" t="inlineStr">
        <is>
          <t>Biometric scan</t>
        </is>
      </c>
      <c r="D106" s="68" t="inlineStr">
        <is>
          <t>13:20</t>
        </is>
      </c>
      <c r="E106" s="94" t="n">
        <v>7.35</v>
      </c>
      <c r="F106" s="94" t="n">
        <v>0.0067</v>
      </c>
      <c r="G106" s="94" t="n">
        <v>0.0334</v>
      </c>
      <c r="H106" s="94" t="n">
        <v>0.0492</v>
      </c>
      <c r="I106" s="94" t="n">
        <v>0.2453</v>
      </c>
      <c r="J106" s="94" t="n">
        <v>0</v>
      </c>
      <c r="K106" s="94" t="n">
        <v>0</v>
      </c>
      <c r="L106" s="94" t="n">
        <v>0</v>
      </c>
    </row>
    <row r="107" ht="21.95" customHeight="1">
      <c r="A107" s="68" t="inlineStr">
        <is>
          <t>Today (no screens)</t>
        </is>
      </c>
      <c r="B107" s="68" t="inlineStr">
        <is>
          <t>Munch Mess</t>
        </is>
      </c>
      <c r="C107" s="68" t="inlineStr">
        <is>
          <t>Biometric scan</t>
        </is>
      </c>
      <c r="D107" s="68" t="inlineStr">
        <is>
          <t>13:30</t>
        </is>
      </c>
      <c r="E107" s="94" t="n">
        <v>5.32</v>
      </c>
      <c r="F107" s="94" t="n">
        <v>0.0034</v>
      </c>
      <c r="G107" s="94" t="n">
        <v>0.0325</v>
      </c>
      <c r="H107" s="94" t="n">
        <v>0.0182</v>
      </c>
      <c r="I107" s="94" t="n">
        <v>0.1731</v>
      </c>
      <c r="J107" s="94" t="n">
        <v>0</v>
      </c>
      <c r="K107" s="94" t="n">
        <v>0</v>
      </c>
      <c r="L107" s="94" t="n">
        <v>0</v>
      </c>
    </row>
    <row r="108" ht="21.95" customHeight="1">
      <c r="A108" s="68" t="inlineStr">
        <is>
          <t>Today (no screens)</t>
        </is>
      </c>
      <c r="B108" s="68" t="inlineStr">
        <is>
          <t>Munch Mess</t>
        </is>
      </c>
      <c r="C108" s="68" t="inlineStr">
        <is>
          <t>Biometric scan</t>
        </is>
      </c>
      <c r="D108" s="68" t="inlineStr">
        <is>
          <t>13:40</t>
        </is>
      </c>
      <c r="E108" s="94" t="n">
        <v>3.5</v>
      </c>
      <c r="F108" s="94" t="n">
        <v>0.002</v>
      </c>
      <c r="G108" s="94" t="n">
        <v>0.0335</v>
      </c>
      <c r="H108" s="94" t="n">
        <v>0.0069</v>
      </c>
      <c r="I108" s="94" t="n">
        <v>0.1172</v>
      </c>
      <c r="J108" s="94" t="n">
        <v>0</v>
      </c>
      <c r="K108" s="94" t="n">
        <v>0</v>
      </c>
      <c r="L108" s="94" t="n">
        <v>0</v>
      </c>
    </row>
    <row r="109" ht="21.95" customHeight="1">
      <c r="A109" s="68" t="inlineStr">
        <is>
          <t>Today (no screens)</t>
        </is>
      </c>
      <c r="B109" s="68" t="inlineStr">
        <is>
          <t>Munch Mess</t>
        </is>
      </c>
      <c r="C109" s="68" t="inlineStr">
        <is>
          <t>Biometric scan</t>
        </is>
      </c>
      <c r="D109" s="68" t="inlineStr">
        <is>
          <t>13:50</t>
        </is>
      </c>
      <c r="E109" s="94" t="n">
        <v>1.825</v>
      </c>
      <c r="F109" s="94" t="n">
        <v>0.001</v>
      </c>
      <c r="G109" s="94" t="n">
        <v>0.0327</v>
      </c>
      <c r="H109" s="94" t="n">
        <v>0.0019</v>
      </c>
      <c r="I109" s="94" t="n">
        <v>0.0597</v>
      </c>
      <c r="J109" s="94" t="n">
        <v>0</v>
      </c>
      <c r="K109" s="94" t="n">
        <v>0</v>
      </c>
      <c r="L109" s="94" t="n">
        <v>0</v>
      </c>
    </row>
    <row r="110" ht="21.95" customHeight="1">
      <c r="A110" s="68" t="inlineStr">
        <is>
          <t>Today (no screens)</t>
        </is>
      </c>
      <c r="B110" s="68" t="inlineStr">
        <is>
          <t>Munch Mess</t>
        </is>
      </c>
      <c r="C110" s="68" t="inlineStr">
        <is>
          <t>Biometric scan</t>
        </is>
      </c>
      <c r="D110" s="68" t="inlineStr">
        <is>
          <t>14:00</t>
        </is>
      </c>
      <c r="E110" s="94" t="n">
        <v>0</v>
      </c>
      <c r="F110" s="94" t="n">
        <v>0</v>
      </c>
      <c r="G110" s="94" t="n">
        <v>0</v>
      </c>
      <c r="H110" s="94" t="n">
        <v>0</v>
      </c>
      <c r="I110" s="94" t="n">
        <v>0.0001</v>
      </c>
      <c r="J110" s="94" t="n">
        <v>0</v>
      </c>
      <c r="K110" s="94" t="n">
        <v>0</v>
      </c>
      <c r="L110" s="94" t="n">
        <v>0</v>
      </c>
    </row>
    <row r="111" ht="21.95" customHeight="1">
      <c r="A111" s="68" t="inlineStr">
        <is>
          <t>Today (no screens)</t>
        </is>
      </c>
      <c r="B111" s="68" t="inlineStr">
        <is>
          <t>Munch Mess</t>
        </is>
      </c>
      <c r="C111" s="68" t="inlineStr">
        <is>
          <t>Biometric scan</t>
        </is>
      </c>
      <c r="D111" s="68" t="inlineStr">
        <is>
          <t>14:10</t>
        </is>
      </c>
      <c r="E111" s="94" t="n">
        <v>0</v>
      </c>
      <c r="F111" s="94" t="n">
        <v>0</v>
      </c>
      <c r="G111" s="94" t="n">
        <v>0</v>
      </c>
      <c r="H111" s="94" t="n">
        <v>0</v>
      </c>
      <c r="I111" s="94" t="n">
        <v>0</v>
      </c>
      <c r="J111" s="94" t="n">
        <v>0</v>
      </c>
      <c r="K111" s="94" t="n">
        <v>0</v>
      </c>
      <c r="L111" s="94" t="n">
        <v>0</v>
      </c>
    </row>
    <row r="112" ht="21.95" customHeight="1">
      <c r="A112" s="68" t="inlineStr">
        <is>
          <t>Today (no screens)</t>
        </is>
      </c>
      <c r="B112" s="68" t="inlineStr">
        <is>
          <t>Munch Mess</t>
        </is>
      </c>
      <c r="C112" s="68" t="inlineStr">
        <is>
          <t>Biometric scan</t>
        </is>
      </c>
      <c r="D112" s="68" t="inlineStr">
        <is>
          <t>14:20</t>
        </is>
      </c>
      <c r="E112" s="94" t="n">
        <v>0</v>
      </c>
      <c r="F112" s="94" t="n">
        <v>0</v>
      </c>
      <c r="G112" s="94" t="n">
        <v>0</v>
      </c>
      <c r="H112" s="94" t="n">
        <v>0</v>
      </c>
      <c r="I112" s="94" t="n">
        <v>0</v>
      </c>
      <c r="J112" s="94" t="n">
        <v>0</v>
      </c>
      <c r="K112" s="94" t="n">
        <v>0</v>
      </c>
      <c r="L112" s="94" t="n">
        <v>0</v>
      </c>
    </row>
    <row r="113" ht="21.95" customHeight="1">
      <c r="A113" s="68" t="inlineStr">
        <is>
          <t>Today (no screens)</t>
        </is>
      </c>
      <c r="B113" s="68" t="inlineStr">
        <is>
          <t>Munch Mess</t>
        </is>
      </c>
      <c r="C113" s="68" t="inlineStr">
        <is>
          <t>Serving station</t>
        </is>
      </c>
      <c r="D113" s="68" t="inlineStr">
        <is>
          <t>11:30</t>
        </is>
      </c>
      <c r="E113" s="94" t="n">
        <v>0</v>
      </c>
      <c r="F113" s="94" t="n">
        <v>0</v>
      </c>
      <c r="G113" s="94" t="n">
        <v>0</v>
      </c>
      <c r="H113" s="94" t="n">
        <v>0</v>
      </c>
      <c r="I113" s="94" t="n">
        <v>0</v>
      </c>
      <c r="J113" s="94" t="n">
        <v>0</v>
      </c>
      <c r="K113" s="94" t="n">
        <v>0</v>
      </c>
      <c r="L113" s="94" t="n">
        <v>0</v>
      </c>
    </row>
    <row r="114" ht="21.95" customHeight="1">
      <c r="A114" s="68" t="inlineStr">
        <is>
          <t>Today (no screens)</t>
        </is>
      </c>
      <c r="B114" s="68" t="inlineStr">
        <is>
          <t>Munch Mess</t>
        </is>
      </c>
      <c r="C114" s="68" t="inlineStr">
        <is>
          <t>Serving station</t>
        </is>
      </c>
      <c r="D114" s="68" t="inlineStr">
        <is>
          <t>11:40</t>
        </is>
      </c>
      <c r="E114" s="94" t="n">
        <v>0</v>
      </c>
      <c r="F114" s="94" t="n">
        <v>0</v>
      </c>
      <c r="G114" s="94" t="n">
        <v>0</v>
      </c>
      <c r="H114" s="94" t="n">
        <v>0</v>
      </c>
      <c r="I114" s="94" t="n">
        <v>0</v>
      </c>
      <c r="J114" s="94" t="n">
        <v>0</v>
      </c>
      <c r="K114" s="94" t="n">
        <v>0</v>
      </c>
      <c r="L114" s="94" t="n">
        <v>0</v>
      </c>
    </row>
    <row r="115" ht="21.95" customHeight="1">
      <c r="A115" s="68" t="inlineStr">
        <is>
          <t>Today (no screens)</t>
        </is>
      </c>
      <c r="B115" s="68" t="inlineStr">
        <is>
          <t>Munch Mess</t>
        </is>
      </c>
      <c r="C115" s="68" t="inlineStr">
        <is>
          <t>Serving station</t>
        </is>
      </c>
      <c r="D115" s="68" t="inlineStr">
        <is>
          <t>11:50</t>
        </is>
      </c>
      <c r="E115" s="94" t="n">
        <v>0</v>
      </c>
      <c r="F115" s="94" t="n">
        <v>0</v>
      </c>
      <c r="G115" s="94" t="n">
        <v>0</v>
      </c>
      <c r="H115" s="94" t="n">
        <v>0</v>
      </c>
      <c r="I115" s="94" t="n">
        <v>0</v>
      </c>
      <c r="J115" s="94" t="n">
        <v>0</v>
      </c>
      <c r="K115" s="94" t="n">
        <v>0</v>
      </c>
      <c r="L115" s="94" t="n">
        <v>0</v>
      </c>
    </row>
    <row r="116" ht="21.95" customHeight="1">
      <c r="A116" s="68" t="inlineStr">
        <is>
          <t>Today (no screens)</t>
        </is>
      </c>
      <c r="B116" s="68" t="inlineStr">
        <is>
          <t>Munch Mess</t>
        </is>
      </c>
      <c r="C116" s="68" t="inlineStr">
        <is>
          <t>Serving station</t>
        </is>
      </c>
      <c r="D116" s="68" t="inlineStr">
        <is>
          <t>12:00</t>
        </is>
      </c>
      <c r="E116" s="94" t="n">
        <v>3.655</v>
      </c>
      <c r="F116" s="94" t="n">
        <v>0.0021</v>
      </c>
      <c r="G116" s="94" t="n">
        <v>0.0953</v>
      </c>
      <c r="H116" s="94" t="n">
        <v>0.0077</v>
      </c>
      <c r="I116" s="94" t="n">
        <v>0.3471</v>
      </c>
      <c r="J116" s="94" t="n">
        <v>0</v>
      </c>
      <c r="K116" s="94" t="n">
        <v>0</v>
      </c>
      <c r="L116" s="94" t="n">
        <v>0</v>
      </c>
    </row>
    <row r="117" ht="21.95" customHeight="1">
      <c r="A117" s="68" t="inlineStr">
        <is>
          <t>Today (no screens)</t>
        </is>
      </c>
      <c r="B117" s="68" t="inlineStr">
        <is>
          <t>Munch Mess</t>
        </is>
      </c>
      <c r="C117" s="68" t="inlineStr">
        <is>
          <t>Serving station</t>
        </is>
      </c>
      <c r="D117" s="68" t="inlineStr">
        <is>
          <t>12:10</t>
        </is>
      </c>
      <c r="E117" s="94" t="n">
        <v>4.545</v>
      </c>
      <c r="F117" s="94" t="n">
        <v>0.0034</v>
      </c>
      <c r="G117" s="94" t="n">
        <v>0.0984</v>
      </c>
      <c r="H117" s="94" t="n">
        <v>0.0154</v>
      </c>
      <c r="I117" s="94" t="n">
        <v>0.447</v>
      </c>
      <c r="J117" s="94" t="n">
        <v>0</v>
      </c>
      <c r="K117" s="94" t="n">
        <v>0</v>
      </c>
      <c r="L117" s="94" t="n">
        <v>0</v>
      </c>
    </row>
    <row r="118" ht="21.95" customHeight="1">
      <c r="A118" s="68" t="inlineStr">
        <is>
          <t>Today (no screens)</t>
        </is>
      </c>
      <c r="B118" s="68" t="inlineStr">
        <is>
          <t>Munch Mess</t>
        </is>
      </c>
      <c r="C118" s="68" t="inlineStr">
        <is>
          <t>Serving station</t>
        </is>
      </c>
      <c r="D118" s="68" t="inlineStr">
        <is>
          <t>12:20</t>
        </is>
      </c>
      <c r="E118" s="94" t="n">
        <v>4.805</v>
      </c>
      <c r="F118" s="94" t="n">
        <v>0.0057</v>
      </c>
      <c r="G118" s="94" t="n">
        <v>0.1</v>
      </c>
      <c r="H118" s="94" t="n">
        <v>0.0275</v>
      </c>
      <c r="I118" s="94" t="n">
        <v>0.4785</v>
      </c>
      <c r="J118" s="94" t="n">
        <v>0</v>
      </c>
      <c r="K118" s="94" t="n">
        <v>0</v>
      </c>
      <c r="L118" s="94" t="n">
        <v>0</v>
      </c>
    </row>
    <row r="119" ht="21.95" customHeight="1">
      <c r="A119" s="68" t="inlineStr">
        <is>
          <t>Today (no screens)</t>
        </is>
      </c>
      <c r="B119" s="68" t="inlineStr">
        <is>
          <t>Munch Mess</t>
        </is>
      </c>
      <c r="C119" s="68" t="inlineStr">
        <is>
          <t>Serving station</t>
        </is>
      </c>
      <c r="D119" s="68" t="inlineStr">
        <is>
          <t>12:30</t>
        </is>
      </c>
      <c r="E119" s="94" t="n">
        <v>5.65</v>
      </c>
      <c r="F119" s="94" t="n">
        <v>0.0094</v>
      </c>
      <c r="G119" s="94" t="n">
        <v>0.099</v>
      </c>
      <c r="H119" s="94" t="n">
        <v>0.0529</v>
      </c>
      <c r="I119" s="94" t="n">
        <v>0.5589</v>
      </c>
      <c r="J119" s="94" t="n">
        <v>0</v>
      </c>
      <c r="K119" s="94" t="n">
        <v>0</v>
      </c>
      <c r="L119" s="94" t="n">
        <v>0</v>
      </c>
    </row>
    <row r="120" ht="21.95" customHeight="1">
      <c r="A120" s="68" t="inlineStr">
        <is>
          <t>Today (no screens)</t>
        </is>
      </c>
      <c r="B120" s="68" t="inlineStr">
        <is>
          <t>Munch Mess</t>
        </is>
      </c>
      <c r="C120" s="68" t="inlineStr">
        <is>
          <t>Serving station</t>
        </is>
      </c>
      <c r="D120" s="68" t="inlineStr">
        <is>
          <t>12:40</t>
        </is>
      </c>
      <c r="E120" s="94" t="n">
        <v>5.43</v>
      </c>
      <c r="F120" s="94" t="n">
        <v>0.0059</v>
      </c>
      <c r="G120" s="94" t="n">
        <v>0.1005</v>
      </c>
      <c r="H120" s="94" t="n">
        <v>0.0318</v>
      </c>
      <c r="I120" s="94" t="n">
        <v>0.5473</v>
      </c>
      <c r="J120" s="94" t="n">
        <v>0</v>
      </c>
      <c r="K120" s="94" t="n">
        <v>0</v>
      </c>
      <c r="L120" s="94" t="n">
        <v>0</v>
      </c>
    </row>
    <row r="121" ht="21.95" customHeight="1">
      <c r="A121" s="68" t="inlineStr">
        <is>
          <t>Today (no screens)</t>
        </is>
      </c>
      <c r="B121" s="68" t="inlineStr">
        <is>
          <t>Munch Mess</t>
        </is>
      </c>
      <c r="C121" s="68" t="inlineStr">
        <is>
          <t>Serving station</t>
        </is>
      </c>
      <c r="D121" s="68" t="inlineStr">
        <is>
          <t>12:50</t>
        </is>
      </c>
      <c r="E121" s="94" t="n">
        <v>4.37</v>
      </c>
      <c r="F121" s="94" t="n">
        <v>0.0033</v>
      </c>
      <c r="G121" s="94" t="n">
        <v>0.09959999999999999</v>
      </c>
      <c r="H121" s="94" t="n">
        <v>0.0142</v>
      </c>
      <c r="I121" s="94" t="n">
        <v>0.4359</v>
      </c>
      <c r="J121" s="94" t="n">
        <v>0</v>
      </c>
      <c r="K121" s="94" t="n">
        <v>0</v>
      </c>
      <c r="L121" s="94" t="n">
        <v>0</v>
      </c>
    </row>
    <row r="122" ht="21.95" customHeight="1">
      <c r="A122" s="68" t="inlineStr">
        <is>
          <t>Today (no screens)</t>
        </is>
      </c>
      <c r="B122" s="68" t="inlineStr">
        <is>
          <t>Munch Mess</t>
        </is>
      </c>
      <c r="C122" s="68" t="inlineStr">
        <is>
          <t>Serving station</t>
        </is>
      </c>
      <c r="D122" s="68" t="inlineStr">
        <is>
          <t>13:00</t>
        </is>
      </c>
      <c r="E122" s="94" t="n">
        <v>5.5</v>
      </c>
      <c r="F122" s="94" t="n">
        <v>0.0061</v>
      </c>
      <c r="G122" s="94" t="n">
        <v>0.102</v>
      </c>
      <c r="H122" s="94" t="n">
        <v>0.0333</v>
      </c>
      <c r="I122" s="94" t="n">
        <v>0.5555</v>
      </c>
      <c r="J122" s="94" t="n">
        <v>0</v>
      </c>
      <c r="K122" s="94" t="n">
        <v>0</v>
      </c>
      <c r="L122" s="94" t="n">
        <v>0</v>
      </c>
    </row>
    <row r="123" ht="21.95" customHeight="1">
      <c r="A123" s="68" t="inlineStr">
        <is>
          <t>Today (no screens)</t>
        </is>
      </c>
      <c r="B123" s="68" t="inlineStr">
        <is>
          <t>Munch Mess</t>
        </is>
      </c>
      <c r="C123" s="68" t="inlineStr">
        <is>
          <t>Serving station</t>
        </is>
      </c>
      <c r="D123" s="68" t="inlineStr">
        <is>
          <t>13:10</t>
        </is>
      </c>
      <c r="E123" s="94" t="n">
        <v>7.5</v>
      </c>
      <c r="F123" s="94" t="n">
        <v>0.0121</v>
      </c>
      <c r="G123" s="94" t="n">
        <v>0.1016</v>
      </c>
      <c r="H123" s="94" t="n">
        <v>0.0907</v>
      </c>
      <c r="I123" s="94" t="n">
        <v>0.7637</v>
      </c>
      <c r="J123" s="94" t="n">
        <v>0</v>
      </c>
      <c r="K123" s="94" t="n">
        <v>0</v>
      </c>
      <c r="L123" s="94" t="n">
        <v>0</v>
      </c>
    </row>
    <row r="124" ht="21.95" customHeight="1">
      <c r="A124" s="68" t="inlineStr">
        <is>
          <t>Today (no screens)</t>
        </is>
      </c>
      <c r="B124" s="68" t="inlineStr">
        <is>
          <t>Munch Mess</t>
        </is>
      </c>
      <c r="C124" s="68" t="inlineStr">
        <is>
          <t>Serving station</t>
        </is>
      </c>
      <c r="D124" s="68" t="inlineStr">
        <is>
          <t>13:20</t>
        </is>
      </c>
      <c r="E124" s="94" t="n">
        <v>7.44</v>
      </c>
      <c r="F124" s="94" t="n">
        <v>0.009299999999999999</v>
      </c>
      <c r="G124" s="94" t="n">
        <v>0.0979</v>
      </c>
      <c r="H124" s="94" t="n">
        <v>0.0689</v>
      </c>
      <c r="I124" s="94" t="n">
        <v>0.729</v>
      </c>
      <c r="J124" s="94" t="n">
        <v>0</v>
      </c>
      <c r="K124" s="94" t="n">
        <v>0</v>
      </c>
      <c r="L124" s="94" t="n">
        <v>0</v>
      </c>
    </row>
    <row r="125" ht="21.95" customHeight="1">
      <c r="A125" s="68" t="inlineStr">
        <is>
          <t>Today (no screens)</t>
        </is>
      </c>
      <c r="B125" s="68" t="inlineStr">
        <is>
          <t>Munch Mess</t>
        </is>
      </c>
      <c r="C125" s="68" t="inlineStr">
        <is>
          <t>Serving station</t>
        </is>
      </c>
      <c r="D125" s="68" t="inlineStr">
        <is>
          <t>13:30</t>
        </is>
      </c>
      <c r="E125" s="94" t="n">
        <v>5.375</v>
      </c>
      <c r="F125" s="94" t="n">
        <v>0.005</v>
      </c>
      <c r="G125" s="94" t="n">
        <v>0.0979</v>
      </c>
      <c r="H125" s="94" t="n">
        <v>0.0273</v>
      </c>
      <c r="I125" s="94" t="n">
        <v>0.5276</v>
      </c>
      <c r="J125" s="94" t="n">
        <v>0</v>
      </c>
      <c r="K125" s="94" t="n">
        <v>0</v>
      </c>
      <c r="L125" s="94" t="n">
        <v>0</v>
      </c>
    </row>
    <row r="126" ht="21.95" customHeight="1">
      <c r="A126" s="68" t="inlineStr">
        <is>
          <t>Today (no screens)</t>
        </is>
      </c>
      <c r="B126" s="68" t="inlineStr">
        <is>
          <t>Munch Mess</t>
        </is>
      </c>
      <c r="C126" s="68" t="inlineStr">
        <is>
          <t>Serving station</t>
        </is>
      </c>
      <c r="D126" s="68" t="inlineStr">
        <is>
          <t>13:40</t>
        </is>
      </c>
      <c r="E126" s="94" t="n">
        <v>3.64</v>
      </c>
      <c r="F126" s="94" t="n">
        <v>0.0018</v>
      </c>
      <c r="G126" s="94" t="n">
        <v>0.1004</v>
      </c>
      <c r="H126" s="94" t="n">
        <v>0.0067</v>
      </c>
      <c r="I126" s="94" t="n">
        <v>0.369</v>
      </c>
      <c r="J126" s="94" t="n">
        <v>0</v>
      </c>
      <c r="K126" s="94" t="n">
        <v>0</v>
      </c>
      <c r="L126" s="94" t="n">
        <v>0</v>
      </c>
    </row>
    <row r="127" ht="21.95" customHeight="1">
      <c r="A127" s="68" t="inlineStr">
        <is>
          <t>Today (no screens)</t>
        </is>
      </c>
      <c r="B127" s="68" t="inlineStr">
        <is>
          <t>Munch Mess</t>
        </is>
      </c>
      <c r="C127" s="68" t="inlineStr">
        <is>
          <t>Serving station</t>
        </is>
      </c>
      <c r="D127" s="68" t="inlineStr">
        <is>
          <t>13:50</t>
        </is>
      </c>
      <c r="E127" s="94" t="n">
        <v>1.88</v>
      </c>
      <c r="F127" s="94" t="n">
        <v>0.0007</v>
      </c>
      <c r="G127" s="94" t="n">
        <v>0.099</v>
      </c>
      <c r="H127" s="94" t="n">
        <v>0.0012</v>
      </c>
      <c r="I127" s="94" t="n">
        <v>0.1864</v>
      </c>
      <c r="J127" s="94" t="n">
        <v>0</v>
      </c>
      <c r="K127" s="94" t="n">
        <v>0</v>
      </c>
      <c r="L127" s="94" t="n">
        <v>0</v>
      </c>
    </row>
    <row r="128" ht="21.95" customHeight="1">
      <c r="A128" s="68" t="inlineStr">
        <is>
          <t>Today (no screens)</t>
        </is>
      </c>
      <c r="B128" s="68" t="inlineStr">
        <is>
          <t>Munch Mess</t>
        </is>
      </c>
      <c r="C128" s="68" t="inlineStr">
        <is>
          <t>Serving station</t>
        </is>
      </c>
      <c r="D128" s="68" t="inlineStr">
        <is>
          <t>14:00</t>
        </is>
      </c>
      <c r="E128" s="94" t="n">
        <v>0.075</v>
      </c>
      <c r="F128" s="94" t="n">
        <v>0</v>
      </c>
      <c r="G128" s="94" t="n">
        <v>0.0891</v>
      </c>
      <c r="H128" s="94" t="n">
        <v>0</v>
      </c>
      <c r="I128" s="94" t="n">
        <v>0.0068</v>
      </c>
      <c r="J128" s="94" t="n">
        <v>0</v>
      </c>
      <c r="K128" s="94" t="n">
        <v>0</v>
      </c>
      <c r="L128" s="94" t="n">
        <v>0</v>
      </c>
    </row>
    <row r="129" ht="21.95" customHeight="1">
      <c r="A129" s="68" t="inlineStr">
        <is>
          <t>Today (no screens)</t>
        </is>
      </c>
      <c r="B129" s="68" t="inlineStr">
        <is>
          <t>Munch Mess</t>
        </is>
      </c>
      <c r="C129" s="68" t="inlineStr">
        <is>
          <t>Serving station</t>
        </is>
      </c>
      <c r="D129" s="68" t="inlineStr">
        <is>
          <t>14:10</t>
        </is>
      </c>
      <c r="E129" s="94" t="n">
        <v>0</v>
      </c>
      <c r="F129" s="94" t="n">
        <v>0</v>
      </c>
      <c r="G129" s="94" t="n">
        <v>0</v>
      </c>
      <c r="H129" s="94" t="n">
        <v>0</v>
      </c>
      <c r="I129" s="94" t="n">
        <v>0</v>
      </c>
      <c r="J129" s="94" t="n">
        <v>0</v>
      </c>
      <c r="K129" s="94" t="n">
        <v>0</v>
      </c>
      <c r="L129" s="94" t="n">
        <v>0</v>
      </c>
    </row>
    <row r="130" ht="21.95" customHeight="1">
      <c r="A130" s="68" t="inlineStr">
        <is>
          <t>Today (no screens)</t>
        </is>
      </c>
      <c r="B130" s="68" t="inlineStr">
        <is>
          <t>Munch Mess</t>
        </is>
      </c>
      <c r="C130" s="68" t="inlineStr">
        <is>
          <t>Serving station</t>
        </is>
      </c>
      <c r="D130" s="68" t="inlineStr">
        <is>
          <t>14:20</t>
        </is>
      </c>
      <c r="E130" s="94" t="n">
        <v>0</v>
      </c>
      <c r="F130" s="94" t="n">
        <v>0</v>
      </c>
      <c r="G130" s="94" t="n">
        <v>0</v>
      </c>
      <c r="H130" s="94" t="n">
        <v>0</v>
      </c>
      <c r="I130" s="94" t="n">
        <v>0</v>
      </c>
      <c r="J130" s="94" t="n">
        <v>0</v>
      </c>
      <c r="K130" s="94" t="n">
        <v>0</v>
      </c>
      <c r="L130" s="94" t="n">
        <v>0</v>
      </c>
    </row>
    <row r="131" ht="21.95" customHeight="1">
      <c r="A131" s="68" t="inlineStr">
        <is>
          <t>Today (no screens)</t>
        </is>
      </c>
      <c r="B131" s="68" t="inlineStr">
        <is>
          <t>Munch Mess</t>
        </is>
      </c>
      <c r="C131" s="68" t="inlineStr">
        <is>
          <t>Seat (eating)</t>
        </is>
      </c>
      <c r="D131" s="68" t="inlineStr">
        <is>
          <t>11:30</t>
        </is>
      </c>
      <c r="E131" s="94" t="n">
        <v>0</v>
      </c>
      <c r="F131" s="94" t="n">
        <v>0</v>
      </c>
      <c r="G131" s="94" t="n">
        <v>0</v>
      </c>
      <c r="H131" s="94" t="n">
        <v>0</v>
      </c>
      <c r="I131" s="94" t="n">
        <v>0</v>
      </c>
      <c r="J131" s="94" t="n">
        <v>0</v>
      </c>
      <c r="K131" s="94" t="n">
        <v>0</v>
      </c>
      <c r="L131" s="94" t="n">
        <v>0</v>
      </c>
    </row>
    <row r="132" ht="21.95" customHeight="1">
      <c r="A132" s="68" t="inlineStr">
        <is>
          <t>Today (no screens)</t>
        </is>
      </c>
      <c r="B132" s="68" t="inlineStr">
        <is>
          <t>Munch Mess</t>
        </is>
      </c>
      <c r="C132" s="68" t="inlineStr">
        <is>
          <t>Seat (eating)</t>
        </is>
      </c>
      <c r="D132" s="68" t="inlineStr">
        <is>
          <t>11:40</t>
        </is>
      </c>
      <c r="E132" s="94" t="n">
        <v>0</v>
      </c>
      <c r="F132" s="94" t="n">
        <v>0</v>
      </c>
      <c r="G132" s="94" t="n">
        <v>0</v>
      </c>
      <c r="H132" s="94" t="n">
        <v>0</v>
      </c>
      <c r="I132" s="94" t="n">
        <v>0</v>
      </c>
      <c r="J132" s="94" t="n">
        <v>0</v>
      </c>
      <c r="K132" s="94" t="n">
        <v>0</v>
      </c>
      <c r="L132" s="94" t="n">
        <v>0</v>
      </c>
    </row>
    <row r="133" ht="21.95" customHeight="1">
      <c r="A133" s="68" t="inlineStr">
        <is>
          <t>Today (no screens)</t>
        </is>
      </c>
      <c r="B133" s="68" t="inlineStr">
        <is>
          <t>Munch Mess</t>
        </is>
      </c>
      <c r="C133" s="68" t="inlineStr">
        <is>
          <t>Seat (eating)</t>
        </is>
      </c>
      <c r="D133" s="68" t="inlineStr">
        <is>
          <t>11:50</t>
        </is>
      </c>
      <c r="E133" s="94" t="n">
        <v>0</v>
      </c>
      <c r="F133" s="94" t="n">
        <v>0</v>
      </c>
      <c r="G133" s="94" t="n">
        <v>0</v>
      </c>
      <c r="H133" s="94" t="n">
        <v>0</v>
      </c>
      <c r="I133" s="94" t="n">
        <v>0</v>
      </c>
      <c r="J133" s="94" t="n">
        <v>0</v>
      </c>
      <c r="K133" s="94" t="n">
        <v>0</v>
      </c>
      <c r="L133" s="94" t="n">
        <v>0</v>
      </c>
    </row>
    <row r="134" ht="21.95" customHeight="1">
      <c r="A134" s="68" t="inlineStr">
        <is>
          <t>Today (no screens)</t>
        </is>
      </c>
      <c r="B134" s="68" t="inlineStr">
        <is>
          <t>Munch Mess</t>
        </is>
      </c>
      <c r="C134" s="68" t="inlineStr">
        <is>
          <t>Seat (eating)</t>
        </is>
      </c>
      <c r="D134" s="68" t="inlineStr">
        <is>
          <t>12:00</t>
        </is>
      </c>
      <c r="E134" s="94" t="n">
        <v>3.07</v>
      </c>
      <c r="F134" s="94" t="n">
        <v>0</v>
      </c>
      <c r="G134" s="94" t="n">
        <v>16.0073</v>
      </c>
      <c r="H134" s="94" t="n">
        <v>0</v>
      </c>
      <c r="I134" s="94" t="n">
        <v>11.6759</v>
      </c>
      <c r="J134" s="94" t="n">
        <v>0</v>
      </c>
      <c r="K134" s="94" t="n">
        <v>0</v>
      </c>
      <c r="L134" s="94" t="n">
        <v>0</v>
      </c>
    </row>
    <row r="135" ht="21.95" customHeight="1">
      <c r="A135" s="68" t="inlineStr">
        <is>
          <t>Today (no screens)</t>
        </is>
      </c>
      <c r="B135" s="68" t="inlineStr">
        <is>
          <t>Munch Mess</t>
        </is>
      </c>
      <c r="C135" s="68" t="inlineStr">
        <is>
          <t>Seat (eating)</t>
        </is>
      </c>
      <c r="D135" s="68" t="inlineStr">
        <is>
          <t>12:10</t>
        </is>
      </c>
      <c r="E135" s="94" t="n">
        <v>4.47</v>
      </c>
      <c r="F135" s="94" t="n">
        <v>0</v>
      </c>
      <c r="G135" s="94" t="n">
        <v>16.1394</v>
      </c>
      <c r="H135" s="94" t="n">
        <v>0</v>
      </c>
      <c r="I135" s="94" t="n">
        <v>51.514</v>
      </c>
      <c r="J135" s="94" t="n">
        <v>0</v>
      </c>
      <c r="K135" s="94" t="n">
        <v>0</v>
      </c>
      <c r="L135" s="94" t="n">
        <v>0</v>
      </c>
    </row>
    <row r="136" ht="21.95" customHeight="1">
      <c r="A136" s="68" t="inlineStr">
        <is>
          <t>Today (no screens)</t>
        </is>
      </c>
      <c r="B136" s="68" t="inlineStr">
        <is>
          <t>Munch Mess</t>
        </is>
      </c>
      <c r="C136" s="68" t="inlineStr">
        <is>
          <t>Seat (eating)</t>
        </is>
      </c>
      <c r="D136" s="68" t="inlineStr">
        <is>
          <t>12:20</t>
        </is>
      </c>
      <c r="E136" s="94" t="n">
        <v>4.725</v>
      </c>
      <c r="F136" s="94" t="n">
        <v>0</v>
      </c>
      <c r="G136" s="94" t="n">
        <v>16.025</v>
      </c>
      <c r="H136" s="94" t="n">
        <v>0</v>
      </c>
      <c r="I136" s="94" t="n">
        <v>73.1067</v>
      </c>
      <c r="J136" s="94" t="n">
        <v>0</v>
      </c>
      <c r="K136" s="94" t="n">
        <v>0</v>
      </c>
      <c r="L136" s="94" t="n">
        <v>0</v>
      </c>
    </row>
    <row r="137" ht="21.95" customHeight="1">
      <c r="A137" s="68" t="inlineStr">
        <is>
          <t>Today (no screens)</t>
        </is>
      </c>
      <c r="B137" s="68" t="inlineStr">
        <is>
          <t>Munch Mess</t>
        </is>
      </c>
      <c r="C137" s="68" t="inlineStr">
        <is>
          <t>Seat (eating)</t>
        </is>
      </c>
      <c r="D137" s="68" t="inlineStr">
        <is>
          <t>12:30</t>
        </is>
      </c>
      <c r="E137" s="94" t="n">
        <v>5.635</v>
      </c>
      <c r="F137" s="94" t="n">
        <v>0</v>
      </c>
      <c r="G137" s="94" t="n">
        <v>16.0169</v>
      </c>
      <c r="H137" s="94" t="n">
        <v>0</v>
      </c>
      <c r="I137" s="94" t="n">
        <v>79.4773</v>
      </c>
      <c r="J137" s="94" t="n">
        <v>0</v>
      </c>
      <c r="K137" s="94" t="n">
        <v>0</v>
      </c>
      <c r="L137" s="94" t="n">
        <v>0</v>
      </c>
    </row>
    <row r="138" ht="21.95" customHeight="1">
      <c r="A138" s="68" t="inlineStr">
        <is>
          <t>Today (no screens)</t>
        </is>
      </c>
      <c r="B138" s="68" t="inlineStr">
        <is>
          <t>Munch Mess</t>
        </is>
      </c>
      <c r="C138" s="68" t="inlineStr">
        <is>
          <t>Seat (eating)</t>
        </is>
      </c>
      <c r="D138" s="68" t="inlineStr">
        <is>
          <t>12:40</t>
        </is>
      </c>
      <c r="E138" s="94" t="n">
        <v>5.44</v>
      </c>
      <c r="F138" s="94" t="n">
        <v>0</v>
      </c>
      <c r="G138" s="94" t="n">
        <v>16.093</v>
      </c>
      <c r="H138" s="94" t="n">
        <v>0</v>
      </c>
      <c r="I138" s="94" t="n">
        <v>86.9208</v>
      </c>
      <c r="J138" s="94" t="n">
        <v>0</v>
      </c>
      <c r="K138" s="94" t="n">
        <v>0</v>
      </c>
      <c r="L138" s="94" t="n">
        <v>0</v>
      </c>
    </row>
    <row r="139" ht="21.95" customHeight="1">
      <c r="A139" s="68" t="inlineStr">
        <is>
          <t>Today (no screens)</t>
        </is>
      </c>
      <c r="B139" s="68" t="inlineStr">
        <is>
          <t>Munch Mess</t>
        </is>
      </c>
      <c r="C139" s="68" t="inlineStr">
        <is>
          <t>Seat (eating)</t>
        </is>
      </c>
      <c r="D139" s="68" t="inlineStr">
        <is>
          <t>12:50</t>
        </is>
      </c>
      <c r="E139" s="94" t="n">
        <v>4.5</v>
      </c>
      <c r="F139" s="94" t="n">
        <v>0</v>
      </c>
      <c r="G139" s="94" t="n">
        <v>16.0555</v>
      </c>
      <c r="H139" s="94" t="n">
        <v>0</v>
      </c>
      <c r="I139" s="94" t="n">
        <v>84.173</v>
      </c>
      <c r="J139" s="94" t="n">
        <v>0</v>
      </c>
      <c r="K139" s="94" t="n">
        <v>0</v>
      </c>
      <c r="L139" s="94" t="n">
        <v>0</v>
      </c>
    </row>
    <row r="140" ht="21.95" customHeight="1">
      <c r="A140" s="68" t="inlineStr">
        <is>
          <t>Today (no screens)</t>
        </is>
      </c>
      <c r="B140" s="68" t="inlineStr">
        <is>
          <t>Munch Mess</t>
        </is>
      </c>
      <c r="C140" s="68" t="inlineStr">
        <is>
          <t>Seat (eating)</t>
        </is>
      </c>
      <c r="D140" s="68" t="inlineStr">
        <is>
          <t>13:00</t>
        </is>
      </c>
      <c r="E140" s="94" t="n">
        <v>4.99</v>
      </c>
      <c r="F140" s="94" t="n">
        <v>0</v>
      </c>
      <c r="G140" s="94" t="n">
        <v>16.0477</v>
      </c>
      <c r="H140" s="94" t="n">
        <v>0</v>
      </c>
      <c r="I140" s="94" t="n">
        <v>74.57389999999999</v>
      </c>
      <c r="J140" s="94" t="n">
        <v>0</v>
      </c>
      <c r="K140" s="94" t="n">
        <v>0</v>
      </c>
      <c r="L140" s="94" t="n">
        <v>0</v>
      </c>
    </row>
    <row r="141" ht="21.95" customHeight="1">
      <c r="A141" s="68" t="inlineStr">
        <is>
          <t>Today (no screens)</t>
        </is>
      </c>
      <c r="B141" s="68" t="inlineStr">
        <is>
          <t>Munch Mess</t>
        </is>
      </c>
      <c r="C141" s="68" t="inlineStr">
        <is>
          <t>Seat (eating)</t>
        </is>
      </c>
      <c r="D141" s="68" t="inlineStr">
        <is>
          <t>13:10</t>
        </is>
      </c>
      <c r="E141" s="94" t="n">
        <v>7.395</v>
      </c>
      <c r="F141" s="94" t="n">
        <v>0</v>
      </c>
      <c r="G141" s="94" t="n">
        <v>15.9736</v>
      </c>
      <c r="H141" s="94" t="n">
        <v>0</v>
      </c>
      <c r="I141" s="94" t="n">
        <v>91.10720000000001</v>
      </c>
      <c r="J141" s="94" t="n">
        <v>0</v>
      </c>
      <c r="K141" s="94" t="n">
        <v>0</v>
      </c>
      <c r="L141" s="94" t="n">
        <v>0</v>
      </c>
    </row>
    <row r="142" ht="21.95" customHeight="1">
      <c r="A142" s="68" t="inlineStr">
        <is>
          <t>Today (no screens)</t>
        </is>
      </c>
      <c r="B142" s="68" t="inlineStr">
        <is>
          <t>Munch Mess</t>
        </is>
      </c>
      <c r="C142" s="68" t="inlineStr">
        <is>
          <t>Seat (eating)</t>
        </is>
      </c>
      <c r="D142" s="68" t="inlineStr">
        <is>
          <t>13:20</t>
        </is>
      </c>
      <c r="E142" s="94" t="n">
        <v>7.605</v>
      </c>
      <c r="F142" s="94" t="n">
        <v>0</v>
      </c>
      <c r="G142" s="94" t="n">
        <v>16.0511</v>
      </c>
      <c r="H142" s="94" t="n">
        <v>0</v>
      </c>
      <c r="I142" s="94" t="n">
        <v>117.1498</v>
      </c>
      <c r="J142" s="94" t="n">
        <v>0</v>
      </c>
      <c r="K142" s="94" t="n">
        <v>0</v>
      </c>
      <c r="L142" s="94" t="n">
        <v>0</v>
      </c>
    </row>
    <row r="143" ht="21.95" customHeight="1">
      <c r="A143" s="68" t="inlineStr">
        <is>
          <t>Today (no screens)</t>
        </is>
      </c>
      <c r="B143" s="68" t="inlineStr">
        <is>
          <t>Munch Mess</t>
        </is>
      </c>
      <c r="C143" s="68" t="inlineStr">
        <is>
          <t>Seat (eating)</t>
        </is>
      </c>
      <c r="D143" s="68" t="inlineStr">
        <is>
          <t>13:30</t>
        </is>
      </c>
      <c r="E143" s="94" t="n">
        <v>5.755</v>
      </c>
      <c r="F143" s="94" t="n">
        <v>0</v>
      </c>
      <c r="G143" s="94" t="n">
        <v>15.9911</v>
      </c>
      <c r="H143" s="94" t="n">
        <v>0</v>
      </c>
      <c r="I143" s="94" t="n">
        <v>113.2962</v>
      </c>
      <c r="J143" s="94" t="n">
        <v>0</v>
      </c>
      <c r="K143" s="94" t="n">
        <v>0</v>
      </c>
      <c r="L143" s="94" t="n">
        <v>0</v>
      </c>
    </row>
    <row r="144" ht="21.95" customHeight="1">
      <c r="A144" s="68" t="inlineStr">
        <is>
          <t>Today (no screens)</t>
        </is>
      </c>
      <c r="B144" s="68" t="inlineStr">
        <is>
          <t>Munch Mess</t>
        </is>
      </c>
      <c r="C144" s="68" t="inlineStr">
        <is>
          <t>Seat (eating)</t>
        </is>
      </c>
      <c r="D144" s="68" t="inlineStr">
        <is>
          <t>13:40</t>
        </is>
      </c>
      <c r="E144" s="94" t="n">
        <v>3.93</v>
      </c>
      <c r="F144" s="94" t="n">
        <v>0</v>
      </c>
      <c r="G144" s="94" t="n">
        <v>15.987</v>
      </c>
      <c r="H144" s="94" t="n">
        <v>0</v>
      </c>
      <c r="I144" s="94" t="n">
        <v>87.4645</v>
      </c>
      <c r="J144" s="94" t="n">
        <v>0</v>
      </c>
      <c r="K144" s="94" t="n">
        <v>0</v>
      </c>
      <c r="L144" s="94" t="n">
        <v>0</v>
      </c>
    </row>
    <row r="145" ht="21.95" customHeight="1">
      <c r="A145" s="68" t="inlineStr">
        <is>
          <t>Today (no screens)</t>
        </is>
      </c>
      <c r="B145" s="68" t="inlineStr">
        <is>
          <t>Munch Mess</t>
        </is>
      </c>
      <c r="C145" s="68" t="inlineStr">
        <is>
          <t>Seat (eating)</t>
        </is>
      </c>
      <c r="D145" s="68" t="inlineStr">
        <is>
          <t>13:50</t>
        </is>
      </c>
      <c r="E145" s="94" t="n">
        <v>2.06</v>
      </c>
      <c r="F145" s="94" t="n">
        <v>0</v>
      </c>
      <c r="G145" s="94" t="n">
        <v>15.9408</v>
      </c>
      <c r="H145" s="94" t="n">
        <v>0</v>
      </c>
      <c r="I145" s="94" t="n">
        <v>56.2858</v>
      </c>
      <c r="J145" s="94" t="n">
        <v>0</v>
      </c>
      <c r="K145" s="94" t="n">
        <v>0</v>
      </c>
      <c r="L145" s="94" t="n">
        <v>0</v>
      </c>
    </row>
    <row r="146" ht="21.95" customHeight="1">
      <c r="A146" s="68" t="inlineStr">
        <is>
          <t>Today (no screens)</t>
        </is>
      </c>
      <c r="B146" s="68" t="inlineStr">
        <is>
          <t>Munch Mess</t>
        </is>
      </c>
      <c r="C146" s="68" t="inlineStr">
        <is>
          <t>Seat (eating)</t>
        </is>
      </c>
      <c r="D146" s="68" t="inlineStr">
        <is>
          <t>14:00</t>
        </is>
      </c>
      <c r="E146" s="94" t="n">
        <v>0.29</v>
      </c>
      <c r="F146" s="94" t="n">
        <v>0</v>
      </c>
      <c r="G146" s="94" t="n">
        <v>15.9064</v>
      </c>
      <c r="H146" s="94" t="n">
        <v>0</v>
      </c>
      <c r="I146" s="94" t="n">
        <v>27.4256</v>
      </c>
      <c r="J146" s="94" t="n">
        <v>0</v>
      </c>
      <c r="K146" s="94" t="n">
        <v>0</v>
      </c>
      <c r="L146" s="94" t="n">
        <v>0</v>
      </c>
    </row>
    <row r="147" ht="21.95" customHeight="1">
      <c r="A147" s="68" t="inlineStr">
        <is>
          <t>Today (no screens)</t>
        </is>
      </c>
      <c r="B147" s="68" t="inlineStr">
        <is>
          <t>Munch Mess</t>
        </is>
      </c>
      <c r="C147" s="68" t="inlineStr">
        <is>
          <t>Seat (eating)</t>
        </is>
      </c>
      <c r="D147" s="68" t="inlineStr">
        <is>
          <t>14:10</t>
        </is>
      </c>
      <c r="E147" s="94" t="n">
        <v>0</v>
      </c>
      <c r="F147" s="94" t="n">
        <v>0</v>
      </c>
      <c r="G147" s="94" t="n">
        <v>0</v>
      </c>
      <c r="H147" s="94" t="n">
        <v>0</v>
      </c>
      <c r="I147" s="94" t="n">
        <v>5.4633</v>
      </c>
      <c r="J147" s="94" t="n">
        <v>0</v>
      </c>
      <c r="K147" s="94" t="n">
        <v>0</v>
      </c>
      <c r="L147" s="94" t="n">
        <v>0</v>
      </c>
    </row>
    <row r="148" ht="21.95" customHeight="1">
      <c r="A148" s="68" t="inlineStr">
        <is>
          <t>Today (no screens)</t>
        </is>
      </c>
      <c r="B148" s="68" t="inlineStr">
        <is>
          <t>Munch Mess</t>
        </is>
      </c>
      <c r="C148" s="68" t="inlineStr">
        <is>
          <t>Seat (eating)</t>
        </is>
      </c>
      <c r="D148" s="68" t="inlineStr">
        <is>
          <t>14:20</t>
        </is>
      </c>
      <c r="E148" s="94" t="n">
        <v>0</v>
      </c>
      <c r="F148" s="94" t="n">
        <v>0</v>
      </c>
      <c r="G148" s="94" t="n">
        <v>0</v>
      </c>
      <c r="H148" s="94" t="n">
        <v>0</v>
      </c>
      <c r="I148" s="94" t="n">
        <v>0</v>
      </c>
      <c r="J148" s="94" t="n">
        <v>0</v>
      </c>
      <c r="K148" s="94" t="n">
        <v>0</v>
      </c>
      <c r="L148" s="94" t="n">
        <v>0</v>
      </c>
    </row>
    <row r="149" ht="21.95" customHeight="1">
      <c r="A149" s="68" t="inlineStr">
        <is>
          <t>Today (no screens)</t>
        </is>
      </c>
      <c r="B149" s="68" t="inlineStr">
        <is>
          <t>Munch Mess</t>
        </is>
      </c>
      <c r="C149" s="68" t="inlineStr">
        <is>
          <t>Disposal</t>
        </is>
      </c>
      <c r="D149" s="68" t="inlineStr">
        <is>
          <t>11:30</t>
        </is>
      </c>
      <c r="E149" s="94" t="n">
        <v>0</v>
      </c>
      <c r="F149" s="94" t="n">
        <v>0</v>
      </c>
      <c r="G149" s="94" t="n">
        <v>0</v>
      </c>
      <c r="H149" s="94" t="n">
        <v>0</v>
      </c>
      <c r="I149" s="94" t="n">
        <v>0</v>
      </c>
      <c r="J149" s="94" t="n">
        <v>0</v>
      </c>
      <c r="K149" s="94" t="n">
        <v>0</v>
      </c>
      <c r="L149" s="94" t="n">
        <v>0</v>
      </c>
    </row>
    <row r="150" ht="21.95" customHeight="1">
      <c r="A150" s="68" t="inlineStr">
        <is>
          <t>Today (no screens)</t>
        </is>
      </c>
      <c r="B150" s="68" t="inlineStr">
        <is>
          <t>Munch Mess</t>
        </is>
      </c>
      <c r="C150" s="68" t="inlineStr">
        <is>
          <t>Disposal</t>
        </is>
      </c>
      <c r="D150" s="68" t="inlineStr">
        <is>
          <t>11:40</t>
        </is>
      </c>
      <c r="E150" s="94" t="n">
        <v>0</v>
      </c>
      <c r="F150" s="94" t="n">
        <v>0</v>
      </c>
      <c r="G150" s="94" t="n">
        <v>0</v>
      </c>
      <c r="H150" s="94" t="n">
        <v>0</v>
      </c>
      <c r="I150" s="94" t="n">
        <v>0</v>
      </c>
      <c r="J150" s="94" t="n">
        <v>0</v>
      </c>
      <c r="K150" s="94" t="n">
        <v>0</v>
      </c>
      <c r="L150" s="94" t="n">
        <v>0</v>
      </c>
    </row>
    <row r="151" ht="21.95" customHeight="1">
      <c r="A151" s="68" t="inlineStr">
        <is>
          <t>Today (no screens)</t>
        </is>
      </c>
      <c r="B151" s="68" t="inlineStr">
        <is>
          <t>Munch Mess</t>
        </is>
      </c>
      <c r="C151" s="68" t="inlineStr">
        <is>
          <t>Disposal</t>
        </is>
      </c>
      <c r="D151" s="68" t="inlineStr">
        <is>
          <t>11:50</t>
        </is>
      </c>
      <c r="E151" s="94" t="n">
        <v>0</v>
      </c>
      <c r="F151" s="94" t="n">
        <v>0</v>
      </c>
      <c r="G151" s="94" t="n">
        <v>0</v>
      </c>
      <c r="H151" s="94" t="n">
        <v>0</v>
      </c>
      <c r="I151" s="94" t="n">
        <v>0</v>
      </c>
      <c r="J151" s="94" t="n">
        <v>0</v>
      </c>
      <c r="K151" s="94" t="n">
        <v>0</v>
      </c>
      <c r="L151" s="94" t="n">
        <v>0</v>
      </c>
    </row>
    <row r="152" ht="21.95" customHeight="1">
      <c r="A152" s="68" t="inlineStr">
        <is>
          <t>Today (no screens)</t>
        </is>
      </c>
      <c r="B152" s="68" t="inlineStr">
        <is>
          <t>Munch Mess</t>
        </is>
      </c>
      <c r="C152" s="68" t="inlineStr">
        <is>
          <t>Disposal</t>
        </is>
      </c>
      <c r="D152" s="68" t="inlineStr">
        <is>
          <t>12:00</t>
        </is>
      </c>
      <c r="E152" s="94" t="n">
        <v>0</v>
      </c>
      <c r="F152" s="94" t="n">
        <v>0</v>
      </c>
      <c r="G152" s="94" t="n">
        <v>0</v>
      </c>
      <c r="H152" s="94" t="n">
        <v>0</v>
      </c>
      <c r="I152" s="94" t="n">
        <v>0</v>
      </c>
      <c r="J152" s="94" t="n">
        <v>0</v>
      </c>
      <c r="K152" s="94" t="n">
        <v>0</v>
      </c>
      <c r="L152" s="94" t="n">
        <v>0</v>
      </c>
    </row>
    <row r="153" ht="21.95" customHeight="1">
      <c r="A153" s="68" t="inlineStr">
        <is>
          <t>Today (no screens)</t>
        </is>
      </c>
      <c r="B153" s="68" t="inlineStr">
        <is>
          <t>Munch Mess</t>
        </is>
      </c>
      <c r="C153" s="68" t="inlineStr">
        <is>
          <t>Disposal</t>
        </is>
      </c>
      <c r="D153" s="68" t="inlineStr">
        <is>
          <t>12:10</t>
        </is>
      </c>
      <c r="E153" s="94" t="n">
        <v>0.7</v>
      </c>
      <c r="F153" s="94" t="n">
        <v>0</v>
      </c>
      <c r="G153" s="94" t="n">
        <v>1.4817</v>
      </c>
      <c r="H153" s="94" t="n">
        <v>0</v>
      </c>
      <c r="I153" s="94" t="n">
        <v>0.6959</v>
      </c>
      <c r="J153" s="94" t="n">
        <v>0</v>
      </c>
      <c r="K153" s="94" t="n">
        <v>0</v>
      </c>
      <c r="L153" s="94" t="n">
        <v>0</v>
      </c>
    </row>
    <row r="154" ht="21.95" customHeight="1">
      <c r="A154" s="68" t="inlineStr">
        <is>
          <t>Today (no screens)</t>
        </is>
      </c>
      <c r="B154" s="68" t="inlineStr">
        <is>
          <t>Munch Mess</t>
        </is>
      </c>
      <c r="C154" s="68" t="inlineStr">
        <is>
          <t>Disposal</t>
        </is>
      </c>
      <c r="D154" s="68" t="inlineStr">
        <is>
          <t>12:20</t>
        </is>
      </c>
      <c r="E154" s="94" t="n">
        <v>4.005</v>
      </c>
      <c r="F154" s="94" t="n">
        <v>0</v>
      </c>
      <c r="G154" s="94" t="n">
        <v>1.5087</v>
      </c>
      <c r="H154" s="94" t="n">
        <v>0</v>
      </c>
      <c r="I154" s="94" t="n">
        <v>5.8883</v>
      </c>
      <c r="J154" s="94" t="n">
        <v>0</v>
      </c>
      <c r="K154" s="94" t="n">
        <v>0</v>
      </c>
      <c r="L154" s="94" t="n">
        <v>0</v>
      </c>
    </row>
    <row r="155" ht="21.95" customHeight="1">
      <c r="A155" s="68" t="inlineStr">
        <is>
          <t>Today (no screens)</t>
        </is>
      </c>
      <c r="B155" s="68" t="inlineStr">
        <is>
          <t>Munch Mess</t>
        </is>
      </c>
      <c r="C155" s="68" t="inlineStr">
        <is>
          <t>Disposal</t>
        </is>
      </c>
      <c r="D155" s="68" t="inlineStr">
        <is>
          <t>12:30</t>
        </is>
      </c>
      <c r="E155" s="94" t="n">
        <v>4.78</v>
      </c>
      <c r="F155" s="94" t="n">
        <v>0</v>
      </c>
      <c r="G155" s="94" t="n">
        <v>1.5064</v>
      </c>
      <c r="H155" s="94" t="n">
        <v>0</v>
      </c>
      <c r="I155" s="94" t="n">
        <v>7.1131</v>
      </c>
      <c r="J155" s="94" t="n">
        <v>0</v>
      </c>
      <c r="K155" s="94" t="n">
        <v>0</v>
      </c>
      <c r="L155" s="94" t="n">
        <v>0</v>
      </c>
    </row>
    <row r="156" ht="21.95" customHeight="1">
      <c r="A156" s="68" t="inlineStr">
        <is>
          <t>Today (no screens)</t>
        </is>
      </c>
      <c r="B156" s="68" t="inlineStr">
        <is>
          <t>Munch Mess</t>
        </is>
      </c>
      <c r="C156" s="68" t="inlineStr">
        <is>
          <t>Disposal</t>
        </is>
      </c>
      <c r="D156" s="68" t="inlineStr">
        <is>
          <t>12:40</t>
        </is>
      </c>
      <c r="E156" s="94" t="n">
        <v>4.89</v>
      </c>
      <c r="F156" s="94" t="n">
        <v>0</v>
      </c>
      <c r="G156" s="94" t="n">
        <v>1.5069</v>
      </c>
      <c r="H156" s="94" t="n">
        <v>0</v>
      </c>
      <c r="I156" s="94" t="n">
        <v>7.3023</v>
      </c>
      <c r="J156" s="94" t="n">
        <v>0</v>
      </c>
      <c r="K156" s="94" t="n">
        <v>0</v>
      </c>
      <c r="L156" s="94" t="n">
        <v>0</v>
      </c>
    </row>
    <row r="157" ht="21.95" customHeight="1">
      <c r="A157" s="68" t="inlineStr">
        <is>
          <t>Today (no screens)</t>
        </is>
      </c>
      <c r="B157" s="68" t="inlineStr">
        <is>
          <t>Munch Mess</t>
        </is>
      </c>
      <c r="C157" s="68" t="inlineStr">
        <is>
          <t>Disposal</t>
        </is>
      </c>
      <c r="D157" s="68" t="inlineStr">
        <is>
          <t>12:50</t>
        </is>
      </c>
      <c r="E157" s="94" t="n">
        <v>5.55</v>
      </c>
      <c r="F157" s="94" t="n">
        <v>0</v>
      </c>
      <c r="G157" s="94" t="n">
        <v>1.499</v>
      </c>
      <c r="H157" s="94" t="n">
        <v>0</v>
      </c>
      <c r="I157" s="94" t="n">
        <v>8.372199999999999</v>
      </c>
      <c r="J157" s="94" t="n">
        <v>0</v>
      </c>
      <c r="K157" s="94" t="n">
        <v>0</v>
      </c>
      <c r="L157" s="94" t="n">
        <v>0</v>
      </c>
    </row>
    <row r="158" ht="21.95" customHeight="1">
      <c r="A158" s="68" t="inlineStr">
        <is>
          <t>Today (no screens)</t>
        </is>
      </c>
      <c r="B158" s="68" t="inlineStr">
        <is>
          <t>Munch Mess</t>
        </is>
      </c>
      <c r="C158" s="68" t="inlineStr">
        <is>
          <t>Disposal</t>
        </is>
      </c>
      <c r="D158" s="68" t="inlineStr">
        <is>
          <t>13:00</t>
        </is>
      </c>
      <c r="E158" s="94" t="n">
        <v>5.215</v>
      </c>
      <c r="F158" s="94" t="n">
        <v>0</v>
      </c>
      <c r="G158" s="94" t="n">
        <v>1.4976</v>
      </c>
      <c r="H158" s="94" t="n">
        <v>0</v>
      </c>
      <c r="I158" s="94" t="n">
        <v>7.9467</v>
      </c>
      <c r="J158" s="94" t="n">
        <v>0</v>
      </c>
      <c r="K158" s="94" t="n">
        <v>0</v>
      </c>
      <c r="L158" s="94" t="n">
        <v>0</v>
      </c>
    </row>
    <row r="159" ht="21.95" customHeight="1">
      <c r="A159" s="68" t="inlineStr">
        <is>
          <t>Today (no screens)</t>
        </is>
      </c>
      <c r="B159" s="68" t="inlineStr">
        <is>
          <t>Munch Mess</t>
        </is>
      </c>
      <c r="C159" s="68" t="inlineStr">
        <is>
          <t>Disposal</t>
        </is>
      </c>
      <c r="D159" s="68" t="inlineStr">
        <is>
          <t>13:10</t>
        </is>
      </c>
      <c r="E159" s="94" t="n">
        <v>4.415</v>
      </c>
      <c r="F159" s="94" t="n">
        <v>0</v>
      </c>
      <c r="G159" s="94" t="n">
        <v>1.4924</v>
      </c>
      <c r="H159" s="94" t="n">
        <v>0</v>
      </c>
      <c r="I159" s="94" t="n">
        <v>6.5004</v>
      </c>
      <c r="J159" s="94" t="n">
        <v>0</v>
      </c>
      <c r="K159" s="94" t="n">
        <v>0</v>
      </c>
      <c r="L159" s="94" t="n">
        <v>0</v>
      </c>
    </row>
    <row r="160" ht="21.95" customHeight="1">
      <c r="A160" s="68" t="inlineStr">
        <is>
          <t>Today (no screens)</t>
        </is>
      </c>
      <c r="B160" s="68" t="inlineStr">
        <is>
          <t>Munch Mess</t>
        </is>
      </c>
      <c r="C160" s="68" t="inlineStr">
        <is>
          <t>Disposal</t>
        </is>
      </c>
      <c r="D160" s="68" t="inlineStr">
        <is>
          <t>13:20</t>
        </is>
      </c>
      <c r="E160" s="94" t="n">
        <v>6.125</v>
      </c>
      <c r="F160" s="94" t="n">
        <v>0</v>
      </c>
      <c r="G160" s="94" t="n">
        <v>1.4966</v>
      </c>
      <c r="H160" s="94" t="n">
        <v>0</v>
      </c>
      <c r="I160" s="94" t="n">
        <v>8.952199999999999</v>
      </c>
      <c r="J160" s="94" t="n">
        <v>0</v>
      </c>
      <c r="K160" s="94" t="n">
        <v>0</v>
      </c>
      <c r="L160" s="94" t="n">
        <v>0</v>
      </c>
    </row>
    <row r="161" ht="21.95" customHeight="1">
      <c r="A161" s="68" t="inlineStr">
        <is>
          <t>Today (no screens)</t>
        </is>
      </c>
      <c r="B161" s="68" t="inlineStr">
        <is>
          <t>Munch Mess</t>
        </is>
      </c>
      <c r="C161" s="68" t="inlineStr">
        <is>
          <t>Disposal</t>
        </is>
      </c>
      <c r="D161" s="68" t="inlineStr">
        <is>
          <t>13:30</t>
        </is>
      </c>
      <c r="E161" s="94" t="n">
        <v>7.55</v>
      </c>
      <c r="F161" s="94" t="n">
        <v>0</v>
      </c>
      <c r="G161" s="94" t="n">
        <v>1.4918</v>
      </c>
      <c r="H161" s="94" t="n">
        <v>0</v>
      </c>
      <c r="I161" s="94" t="n">
        <v>11.199</v>
      </c>
      <c r="J161" s="94" t="n">
        <v>0</v>
      </c>
      <c r="K161" s="94" t="n">
        <v>0</v>
      </c>
      <c r="L161" s="94" t="n">
        <v>0</v>
      </c>
    </row>
    <row r="162" ht="21.95" customHeight="1">
      <c r="A162" s="68" t="inlineStr">
        <is>
          <t>Today (no screens)</t>
        </is>
      </c>
      <c r="B162" s="68" t="inlineStr">
        <is>
          <t>Munch Mess</t>
        </is>
      </c>
      <c r="C162" s="68" t="inlineStr">
        <is>
          <t>Disposal</t>
        </is>
      </c>
      <c r="D162" s="68" t="inlineStr">
        <is>
          <t>13:40</t>
        </is>
      </c>
      <c r="E162" s="94" t="n">
        <v>7.04</v>
      </c>
      <c r="F162" s="94" t="n">
        <v>0</v>
      </c>
      <c r="G162" s="94" t="n">
        <v>1.4865</v>
      </c>
      <c r="H162" s="94" t="n">
        <v>0</v>
      </c>
      <c r="I162" s="94" t="n">
        <v>10.5821</v>
      </c>
      <c r="J162" s="94" t="n">
        <v>0</v>
      </c>
      <c r="K162" s="94" t="n">
        <v>0</v>
      </c>
      <c r="L162" s="94" t="n">
        <v>0</v>
      </c>
    </row>
    <row r="163" ht="21.95" customHeight="1">
      <c r="A163" s="68" t="inlineStr">
        <is>
          <t>Today (no screens)</t>
        </is>
      </c>
      <c r="B163" s="68" t="inlineStr">
        <is>
          <t>Munch Mess</t>
        </is>
      </c>
      <c r="C163" s="68" t="inlineStr">
        <is>
          <t>Disposal</t>
        </is>
      </c>
      <c r="D163" s="68" t="inlineStr">
        <is>
          <t>13:50</t>
        </is>
      </c>
      <c r="E163" s="94" t="n">
        <v>5.075</v>
      </c>
      <c r="F163" s="94" t="n">
        <v>0</v>
      </c>
      <c r="G163" s="94" t="n">
        <v>1.5003</v>
      </c>
      <c r="H163" s="94" t="n">
        <v>0</v>
      </c>
      <c r="I163" s="94" t="n">
        <v>7.8359</v>
      </c>
      <c r="J163" s="94" t="n">
        <v>0</v>
      </c>
      <c r="K163" s="94" t="n">
        <v>0</v>
      </c>
      <c r="L163" s="94" t="n">
        <v>0</v>
      </c>
    </row>
    <row r="164" ht="21.95" customHeight="1">
      <c r="A164" s="68" t="inlineStr">
        <is>
          <t>Today (no screens)</t>
        </is>
      </c>
      <c r="B164" s="68" t="inlineStr">
        <is>
          <t>Munch Mess</t>
        </is>
      </c>
      <c r="C164" s="68" t="inlineStr">
        <is>
          <t>Disposal</t>
        </is>
      </c>
      <c r="D164" s="68" t="inlineStr">
        <is>
          <t>14:00</t>
        </is>
      </c>
      <c r="E164" s="94" t="n">
        <v>3.105</v>
      </c>
      <c r="F164" s="94" t="n">
        <v>0</v>
      </c>
      <c r="G164" s="94" t="n">
        <v>1.4852</v>
      </c>
      <c r="H164" s="94" t="n">
        <v>0</v>
      </c>
      <c r="I164" s="94" t="n">
        <v>4.8354</v>
      </c>
      <c r="J164" s="94" t="n">
        <v>0</v>
      </c>
      <c r="K164" s="94" t="n">
        <v>0</v>
      </c>
      <c r="L164" s="94" t="n">
        <v>0</v>
      </c>
    </row>
    <row r="165" ht="21.95" customHeight="1">
      <c r="A165" s="68" t="inlineStr">
        <is>
          <t>Today (no screens)</t>
        </is>
      </c>
      <c r="B165" s="68" t="inlineStr">
        <is>
          <t>Munch Mess</t>
        </is>
      </c>
      <c r="C165" s="68" t="inlineStr">
        <is>
          <t>Disposal</t>
        </is>
      </c>
      <c r="D165" s="68" t="inlineStr">
        <is>
          <t>14:10</t>
        </is>
      </c>
      <c r="E165" s="94" t="n">
        <v>1.415</v>
      </c>
      <c r="F165" s="94" t="n">
        <v>0</v>
      </c>
      <c r="G165" s="94" t="n">
        <v>1.5052</v>
      </c>
      <c r="H165" s="94" t="n">
        <v>0</v>
      </c>
      <c r="I165" s="94" t="n">
        <v>2.3616</v>
      </c>
      <c r="J165" s="94" t="n">
        <v>0</v>
      </c>
      <c r="K165" s="94" t="n">
        <v>0</v>
      </c>
      <c r="L165" s="94" t="n">
        <v>0</v>
      </c>
    </row>
    <row r="166" ht="21.95" customHeight="1">
      <c r="A166" s="68" t="inlineStr">
        <is>
          <t>Today (no screens)</t>
        </is>
      </c>
      <c r="B166" s="68" t="inlineStr">
        <is>
          <t>Munch Mess</t>
        </is>
      </c>
      <c r="C166" s="68" t="inlineStr">
        <is>
          <t>Disposal</t>
        </is>
      </c>
      <c r="D166" s="68" t="inlineStr">
        <is>
          <t>14:20</t>
        </is>
      </c>
      <c r="E166" s="94" t="n">
        <v>0</v>
      </c>
      <c r="F166" s="94" t="n">
        <v>0</v>
      </c>
      <c r="G166" s="94" t="n">
        <v>0</v>
      </c>
      <c r="H166" s="94" t="n">
        <v>0</v>
      </c>
      <c r="I166" s="94" t="n">
        <v>0.0312</v>
      </c>
      <c r="J166" s="94" t="n">
        <v>0</v>
      </c>
      <c r="K166" s="94" t="n">
        <v>0</v>
      </c>
      <c r="L166" s="94" t="n">
        <v>0</v>
      </c>
    </row>
    <row r="167" ht="21.95" customHeight="1">
      <c r="A167" s="68" t="inlineStr">
        <is>
          <t>Today (no screens)</t>
        </is>
      </c>
      <c r="B167" s="68" t="inlineStr">
        <is>
          <t>Munch Mess</t>
        </is>
      </c>
      <c r="C167" s="68" t="inlineStr">
        <is>
          <t>Whole visit</t>
        </is>
      </c>
      <c r="D167" s="68" t="inlineStr">
        <is>
          <t>11:30</t>
        </is>
      </c>
      <c r="E167" s="94" t="n">
        <v>0</v>
      </c>
      <c r="F167" s="94" t="n">
        <v>0</v>
      </c>
      <c r="G167" s="94" t="n">
        <v>0</v>
      </c>
      <c r="H167" s="94" t="n">
        <v>0</v>
      </c>
      <c r="I167" s="94" t="n">
        <v>0</v>
      </c>
      <c r="J167" s="94" t="n">
        <v>0</v>
      </c>
      <c r="K167" s="94" t="n">
        <v>0</v>
      </c>
      <c r="L167" s="94" t="n">
        <v>0</v>
      </c>
    </row>
    <row r="168" ht="21.95" customHeight="1">
      <c r="A168" s="68" t="inlineStr">
        <is>
          <t>Today (no screens)</t>
        </is>
      </c>
      <c r="B168" s="68" t="inlineStr">
        <is>
          <t>Munch Mess</t>
        </is>
      </c>
      <c r="C168" s="68" t="inlineStr">
        <is>
          <t>Whole visit</t>
        </is>
      </c>
      <c r="D168" s="68" t="inlineStr">
        <is>
          <t>11:40</t>
        </is>
      </c>
      <c r="E168" s="94" t="n">
        <v>0</v>
      </c>
      <c r="F168" s="94" t="n">
        <v>0</v>
      </c>
      <c r="G168" s="94" t="n">
        <v>0</v>
      </c>
      <c r="H168" s="94" t="n">
        <v>0</v>
      </c>
      <c r="I168" s="94" t="n">
        <v>0</v>
      </c>
      <c r="J168" s="94" t="n">
        <v>0</v>
      </c>
      <c r="K168" s="94" t="n">
        <v>0</v>
      </c>
      <c r="L168" s="94" t="n">
        <v>0</v>
      </c>
    </row>
    <row r="169" ht="21.95" customHeight="1">
      <c r="A169" s="68" t="inlineStr">
        <is>
          <t>Today (no screens)</t>
        </is>
      </c>
      <c r="B169" s="68" t="inlineStr">
        <is>
          <t>Munch Mess</t>
        </is>
      </c>
      <c r="C169" s="68" t="inlineStr">
        <is>
          <t>Whole visit</t>
        </is>
      </c>
      <c r="D169" s="68" t="inlineStr">
        <is>
          <t>11:50</t>
        </is>
      </c>
      <c r="E169" s="94" t="n">
        <v>0</v>
      </c>
      <c r="F169" s="94" t="n">
        <v>0</v>
      </c>
      <c r="G169" s="94" t="n">
        <v>0</v>
      </c>
      <c r="H169" s="94" t="n">
        <v>0</v>
      </c>
      <c r="I169" s="94" t="n">
        <v>0</v>
      </c>
      <c r="J169" s="94" t="n">
        <v>0</v>
      </c>
      <c r="K169" s="94" t="n">
        <v>0</v>
      </c>
      <c r="L169" s="94" t="n">
        <v>0</v>
      </c>
    </row>
    <row r="170" ht="21.95" customHeight="1">
      <c r="A170" s="68" t="inlineStr">
        <is>
          <t>Today (no screens)</t>
        </is>
      </c>
      <c r="B170" s="68" t="inlineStr">
        <is>
          <t>Munch Mess</t>
        </is>
      </c>
      <c r="C170" s="68" t="inlineStr">
        <is>
          <t>Whole visit</t>
        </is>
      </c>
      <c r="D170" s="68" t="inlineStr">
        <is>
          <t>12:00</t>
        </is>
      </c>
      <c r="E170" s="94" t="n">
        <v>3.88</v>
      </c>
      <c r="F170" s="94" t="n">
        <v>0</v>
      </c>
      <c r="G170" s="94" t="n">
        <v>19.6409</v>
      </c>
      <c r="H170" s="94" t="n">
        <v>0</v>
      </c>
      <c r="I170" s="94" t="n">
        <v>18.9765</v>
      </c>
      <c r="J170" s="94" t="n">
        <v>0</v>
      </c>
      <c r="K170" s="94" t="n">
        <v>0</v>
      </c>
      <c r="L170" s="94" t="n">
        <v>0</v>
      </c>
    </row>
    <row r="171" ht="21.95" customHeight="1">
      <c r="A171" s="68" t="inlineStr">
        <is>
          <t>Today (no screens)</t>
        </is>
      </c>
      <c r="B171" s="68" t="inlineStr">
        <is>
          <t>Munch Mess</t>
        </is>
      </c>
      <c r="C171" s="68" t="inlineStr">
        <is>
          <t>Whole visit</t>
        </is>
      </c>
      <c r="D171" s="68" t="inlineStr">
        <is>
          <t>12:10</t>
        </is>
      </c>
      <c r="E171" s="94" t="n">
        <v>4.64</v>
      </c>
      <c r="F171" s="94" t="n">
        <v>0</v>
      </c>
      <c r="G171" s="94" t="n">
        <v>19.7513</v>
      </c>
      <c r="H171" s="94" t="n">
        <v>0</v>
      </c>
      <c r="I171" s="94" t="n">
        <v>61.8597</v>
      </c>
      <c r="J171" s="94" t="n">
        <v>0</v>
      </c>
      <c r="K171" s="94" t="n">
        <v>0</v>
      </c>
      <c r="L171" s="94" t="n">
        <v>0</v>
      </c>
    </row>
    <row r="172" ht="21.95" customHeight="1">
      <c r="A172" s="68" t="inlineStr">
        <is>
          <t>Today (no screens)</t>
        </is>
      </c>
      <c r="B172" s="68" t="inlineStr">
        <is>
          <t>Munch Mess</t>
        </is>
      </c>
      <c r="C172" s="68" t="inlineStr">
        <is>
          <t>Whole visit</t>
        </is>
      </c>
      <c r="D172" s="68" t="inlineStr">
        <is>
          <t>12:20</t>
        </is>
      </c>
      <c r="E172" s="94" t="n">
        <v>4.78</v>
      </c>
      <c r="F172" s="94" t="n">
        <v>0</v>
      </c>
      <c r="G172" s="94" t="n">
        <v>19.6685</v>
      </c>
      <c r="H172" s="94" t="n">
        <v>0</v>
      </c>
      <c r="I172" s="94" t="n">
        <v>89.1915</v>
      </c>
      <c r="J172" s="94" t="n">
        <v>0</v>
      </c>
      <c r="K172" s="94" t="n">
        <v>0</v>
      </c>
      <c r="L172" s="94" t="n">
        <v>0</v>
      </c>
    </row>
    <row r="173" ht="21.95" customHeight="1">
      <c r="A173" s="68" t="inlineStr">
        <is>
          <t>Today (no screens)</t>
        </is>
      </c>
      <c r="B173" s="68" t="inlineStr">
        <is>
          <t>Munch Mess</t>
        </is>
      </c>
      <c r="C173" s="68" t="inlineStr">
        <is>
          <t>Whole visit</t>
        </is>
      </c>
      <c r="D173" s="68" t="inlineStr">
        <is>
          <t>12:30</t>
        </is>
      </c>
      <c r="E173" s="94" t="n">
        <v>5.73</v>
      </c>
      <c r="F173" s="94" t="n">
        <v>0</v>
      </c>
      <c r="G173" s="94" t="n">
        <v>19.6541</v>
      </c>
      <c r="H173" s="94" t="n">
        <v>0</v>
      </c>
      <c r="I173" s="94" t="n">
        <v>98.64019999999999</v>
      </c>
      <c r="J173" s="94" t="n">
        <v>0</v>
      </c>
      <c r="K173" s="94" t="n">
        <v>0</v>
      </c>
      <c r="L173" s="94" t="n">
        <v>0</v>
      </c>
    </row>
    <row r="174" ht="21.95" customHeight="1">
      <c r="A174" s="68" t="inlineStr">
        <is>
          <t>Today (no screens)</t>
        </is>
      </c>
      <c r="B174" s="68" t="inlineStr">
        <is>
          <t>Munch Mess</t>
        </is>
      </c>
      <c r="C174" s="68" t="inlineStr">
        <is>
          <t>Whole visit</t>
        </is>
      </c>
      <c r="D174" s="68" t="inlineStr">
        <is>
          <t>12:40</t>
        </is>
      </c>
      <c r="E174" s="94" t="n">
        <v>5.36</v>
      </c>
      <c r="F174" s="94" t="n">
        <v>0</v>
      </c>
      <c r="G174" s="94" t="n">
        <v>19.744</v>
      </c>
      <c r="H174" s="94" t="n">
        <v>0</v>
      </c>
      <c r="I174" s="94" t="n">
        <v>105.8951</v>
      </c>
      <c r="J174" s="94" t="n">
        <v>0</v>
      </c>
      <c r="K174" s="94" t="n">
        <v>0</v>
      </c>
      <c r="L174" s="94" t="n">
        <v>0</v>
      </c>
    </row>
    <row r="175" ht="21.95" customHeight="1">
      <c r="A175" s="68" t="inlineStr">
        <is>
          <t>Today (no screens)</t>
        </is>
      </c>
      <c r="B175" s="68" t="inlineStr">
        <is>
          <t>Munch Mess</t>
        </is>
      </c>
      <c r="C175" s="68" t="inlineStr">
        <is>
          <t>Whole visit</t>
        </is>
      </c>
      <c r="D175" s="68" t="inlineStr">
        <is>
          <t>12:50</t>
        </is>
      </c>
      <c r="E175" s="94" t="n">
        <v>4.375</v>
      </c>
      <c r="F175" s="94" t="n">
        <v>0</v>
      </c>
      <c r="G175" s="94" t="n">
        <v>19.6792</v>
      </c>
      <c r="H175" s="94" t="n">
        <v>0</v>
      </c>
      <c r="I175" s="94" t="n">
        <v>101.8995</v>
      </c>
      <c r="J175" s="94" t="n">
        <v>0</v>
      </c>
      <c r="K175" s="94" t="n">
        <v>0</v>
      </c>
      <c r="L175" s="94" t="n">
        <v>0</v>
      </c>
    </row>
    <row r="176" ht="21.95" customHeight="1">
      <c r="A176" s="68" t="inlineStr">
        <is>
          <t>Today (no screens)</t>
        </is>
      </c>
      <c r="B176" s="68" t="inlineStr">
        <is>
          <t>Munch Mess</t>
        </is>
      </c>
      <c r="C176" s="68" t="inlineStr">
        <is>
          <t>Whole visit</t>
        </is>
      </c>
      <c r="D176" s="68" t="inlineStr">
        <is>
          <t>13:00</t>
        </is>
      </c>
      <c r="E176" s="94" t="n">
        <v>5.67</v>
      </c>
      <c r="F176" s="94" t="n">
        <v>0</v>
      </c>
      <c r="G176" s="94" t="n">
        <v>19.6539</v>
      </c>
      <c r="H176" s="94" t="n">
        <v>0</v>
      </c>
      <c r="I176" s="94" t="n">
        <v>93.8852</v>
      </c>
      <c r="J176" s="94" t="n">
        <v>0</v>
      </c>
      <c r="K176" s="94" t="n">
        <v>0</v>
      </c>
      <c r="L176" s="94" t="n">
        <v>0</v>
      </c>
    </row>
    <row r="177" ht="21.95" customHeight="1">
      <c r="A177" s="68" t="inlineStr">
        <is>
          <t>Today (no screens)</t>
        </is>
      </c>
      <c r="B177" s="68" t="inlineStr">
        <is>
          <t>Munch Mess</t>
        </is>
      </c>
      <c r="C177" s="68" t="inlineStr">
        <is>
          <t>Whole visit</t>
        </is>
      </c>
      <c r="D177" s="68" t="inlineStr">
        <is>
          <t>13:10</t>
        </is>
      </c>
      <c r="E177" s="94" t="n">
        <v>7.435</v>
      </c>
      <c r="F177" s="94" t="n">
        <v>0</v>
      </c>
      <c r="G177" s="94" t="n">
        <v>19.6625</v>
      </c>
      <c r="H177" s="94" t="n">
        <v>0</v>
      </c>
      <c r="I177" s="94" t="n">
        <v>113.8455</v>
      </c>
      <c r="J177" s="94" t="n">
        <v>0</v>
      </c>
      <c r="K177" s="94" t="n">
        <v>0</v>
      </c>
      <c r="L177" s="94" t="n">
        <v>0</v>
      </c>
    </row>
    <row r="178" ht="21.95" customHeight="1">
      <c r="A178" s="68" t="inlineStr">
        <is>
          <t>Today (no screens)</t>
        </is>
      </c>
      <c r="B178" s="68" t="inlineStr">
        <is>
          <t>Munch Mess</t>
        </is>
      </c>
      <c r="C178" s="68" t="inlineStr">
        <is>
          <t>Whole visit</t>
        </is>
      </c>
      <c r="D178" s="68" t="inlineStr">
        <is>
          <t>13:20</t>
        </is>
      </c>
      <c r="E178" s="94" t="n">
        <v>7.35</v>
      </c>
      <c r="F178" s="94" t="n">
        <v>0</v>
      </c>
      <c r="G178" s="94" t="n">
        <v>19.6373</v>
      </c>
      <c r="H178" s="94" t="n">
        <v>0</v>
      </c>
      <c r="I178" s="94" t="n">
        <v>141.9044</v>
      </c>
      <c r="J178" s="94" t="n">
        <v>0</v>
      </c>
      <c r="K178" s="94" t="n">
        <v>0</v>
      </c>
      <c r="L178" s="94" t="n">
        <v>0</v>
      </c>
    </row>
    <row r="179" ht="21.95" customHeight="1">
      <c r="A179" s="68" t="inlineStr">
        <is>
          <t>Today (no screens)</t>
        </is>
      </c>
      <c r="B179" s="68" t="inlineStr">
        <is>
          <t>Munch Mess</t>
        </is>
      </c>
      <c r="C179" s="68" t="inlineStr">
        <is>
          <t>Whole visit</t>
        </is>
      </c>
      <c r="D179" s="68" t="inlineStr">
        <is>
          <t>13:30</t>
        </is>
      </c>
      <c r="E179" s="94" t="n">
        <v>5.32</v>
      </c>
      <c r="F179" s="94" t="n">
        <v>0</v>
      </c>
      <c r="G179" s="94" t="n">
        <v>19.5774</v>
      </c>
      <c r="H179" s="94" t="n">
        <v>0</v>
      </c>
      <c r="I179" s="94" t="n">
        <v>136.2155</v>
      </c>
      <c r="J179" s="94" t="n">
        <v>0</v>
      </c>
      <c r="K179" s="94" t="n">
        <v>0</v>
      </c>
      <c r="L179" s="94" t="n">
        <v>0</v>
      </c>
    </row>
    <row r="180" ht="21.95" customHeight="1">
      <c r="A180" s="68" t="inlineStr">
        <is>
          <t>Today (no screens)</t>
        </is>
      </c>
      <c r="B180" s="68" t="inlineStr">
        <is>
          <t>Munch Mess</t>
        </is>
      </c>
      <c r="C180" s="68" t="inlineStr">
        <is>
          <t>Whole visit</t>
        </is>
      </c>
      <c r="D180" s="68" t="inlineStr">
        <is>
          <t>13:40</t>
        </is>
      </c>
      <c r="E180" s="94" t="n">
        <v>3.5</v>
      </c>
      <c r="F180" s="94" t="n">
        <v>0</v>
      </c>
      <c r="G180" s="94" t="n">
        <v>19.628</v>
      </c>
      <c r="H180" s="94" t="n">
        <v>0</v>
      </c>
      <c r="I180" s="94" t="n">
        <v>105.9439</v>
      </c>
      <c r="J180" s="94" t="n">
        <v>0</v>
      </c>
      <c r="K180" s="94" t="n">
        <v>0</v>
      </c>
      <c r="L180" s="94" t="n">
        <v>0</v>
      </c>
    </row>
    <row r="181" ht="21.95" customHeight="1">
      <c r="A181" s="68" t="inlineStr">
        <is>
          <t>Today (no screens)</t>
        </is>
      </c>
      <c r="B181" s="68" t="inlineStr">
        <is>
          <t>Munch Mess</t>
        </is>
      </c>
      <c r="C181" s="68" t="inlineStr">
        <is>
          <t>Whole visit</t>
        </is>
      </c>
      <c r="D181" s="68" t="inlineStr">
        <is>
          <t>13:50</t>
        </is>
      </c>
      <c r="E181" s="94" t="n">
        <v>1.825</v>
      </c>
      <c r="F181" s="94" t="n">
        <v>0</v>
      </c>
      <c r="G181" s="94" t="n">
        <v>19.5229</v>
      </c>
      <c r="H181" s="94" t="n">
        <v>0</v>
      </c>
      <c r="I181" s="94" t="n">
        <v>68.1935</v>
      </c>
      <c r="J181" s="94" t="n">
        <v>0</v>
      </c>
      <c r="K181" s="94" t="n">
        <v>0</v>
      </c>
      <c r="L181" s="94" t="n">
        <v>0</v>
      </c>
    </row>
    <row r="182" ht="21.95" customHeight="1">
      <c r="A182" s="68" t="inlineStr">
        <is>
          <t>Today (no screens)</t>
        </is>
      </c>
      <c r="B182" s="68" t="inlineStr">
        <is>
          <t>Munch Mess</t>
        </is>
      </c>
      <c r="C182" s="68" t="inlineStr">
        <is>
          <t>Whole visit</t>
        </is>
      </c>
      <c r="D182" s="68" t="inlineStr">
        <is>
          <t>14:00</t>
        </is>
      </c>
      <c r="E182" s="94" t="n">
        <v>0</v>
      </c>
      <c r="F182" s="94" t="n">
        <v>0</v>
      </c>
      <c r="G182" s="94" t="n">
        <v>0</v>
      </c>
      <c r="H182" s="94" t="n">
        <v>0</v>
      </c>
      <c r="I182" s="94" t="n">
        <v>32.5459</v>
      </c>
      <c r="J182" s="94" t="n">
        <v>0</v>
      </c>
      <c r="K182" s="94" t="n">
        <v>0</v>
      </c>
      <c r="L182" s="94" t="n">
        <v>0</v>
      </c>
    </row>
    <row r="183" ht="21.95" customHeight="1">
      <c r="A183" s="68" t="inlineStr">
        <is>
          <t>Today (no screens)</t>
        </is>
      </c>
      <c r="B183" s="68" t="inlineStr">
        <is>
          <t>Munch Mess</t>
        </is>
      </c>
      <c r="C183" s="68" t="inlineStr">
        <is>
          <t>Whole visit</t>
        </is>
      </c>
      <c r="D183" s="68" t="inlineStr">
        <is>
          <t>14:10</t>
        </is>
      </c>
      <c r="E183" s="94" t="n">
        <v>0</v>
      </c>
      <c r="F183" s="94" t="n">
        <v>0</v>
      </c>
      <c r="G183" s="94" t="n">
        <v>0</v>
      </c>
      <c r="H183" s="94" t="n">
        <v>0</v>
      </c>
      <c r="I183" s="94" t="n">
        <v>7.8249</v>
      </c>
      <c r="J183" s="94" t="n">
        <v>0</v>
      </c>
      <c r="K183" s="94" t="n">
        <v>0</v>
      </c>
      <c r="L183" s="94" t="n">
        <v>0</v>
      </c>
    </row>
    <row r="184" ht="21.95" customHeight="1">
      <c r="A184" s="68" t="inlineStr">
        <is>
          <t>Today (no screens)</t>
        </is>
      </c>
      <c r="B184" s="68" t="inlineStr">
        <is>
          <t>Munch Mess</t>
        </is>
      </c>
      <c r="C184" s="68" t="inlineStr">
        <is>
          <t>Whole visit</t>
        </is>
      </c>
      <c r="D184" s="68" t="inlineStr">
        <is>
          <t>14:20</t>
        </is>
      </c>
      <c r="E184" s="94" t="n">
        <v>0</v>
      </c>
      <c r="F184" s="94" t="n">
        <v>0</v>
      </c>
      <c r="G184" s="94" t="n">
        <v>0</v>
      </c>
      <c r="H184" s="94" t="n">
        <v>0</v>
      </c>
      <c r="I184" s="94" t="n">
        <v>0.0312</v>
      </c>
      <c r="J184" s="94" t="n">
        <v>0</v>
      </c>
      <c r="K184" s="94" t="n">
        <v>0</v>
      </c>
      <c r="L184" s="94" t="n">
        <v>0</v>
      </c>
    </row>
    <row r="185" ht="21.95" customHeight="1">
      <c r="A185" s="68" t="inlineStr">
        <is>
          <t>With Smart Scan screens</t>
        </is>
      </c>
      <c r="B185" s="68" t="inlineStr">
        <is>
          <t>Central CT</t>
        </is>
      </c>
      <c r="C185" s="68" t="inlineStr">
        <is>
          <t>Biometric scan</t>
        </is>
      </c>
      <c r="D185" s="68" t="inlineStr">
        <is>
          <t>11:30</t>
        </is>
      </c>
      <c r="E185" s="94" t="n">
        <v>0</v>
      </c>
      <c r="F185" s="94" t="n">
        <v>0</v>
      </c>
      <c r="G185" s="94" t="n">
        <v>0</v>
      </c>
      <c r="H185" s="94" t="n">
        <v>0</v>
      </c>
      <c r="I185" s="94" t="n">
        <v>0</v>
      </c>
      <c r="J185" s="94" t="n">
        <v>0</v>
      </c>
      <c r="K185" s="94" t="n">
        <v>0</v>
      </c>
      <c r="L185" s="94" t="n">
        <v>0</v>
      </c>
    </row>
    <row r="186" ht="21.95" customHeight="1">
      <c r="A186" s="68" t="inlineStr">
        <is>
          <t>With Smart Scan screens</t>
        </is>
      </c>
      <c r="B186" s="68" t="inlineStr">
        <is>
          <t>Central CT</t>
        </is>
      </c>
      <c r="C186" s="68" t="inlineStr">
        <is>
          <t>Biometric scan</t>
        </is>
      </c>
      <c r="D186" s="68" t="inlineStr">
        <is>
          <t>11:40</t>
        </is>
      </c>
      <c r="E186" s="94" t="n">
        <v>0</v>
      </c>
      <c r="F186" s="94" t="n">
        <v>0</v>
      </c>
      <c r="G186" s="94" t="n">
        <v>0</v>
      </c>
      <c r="H186" s="94" t="n">
        <v>0</v>
      </c>
      <c r="I186" s="94" t="n">
        <v>0</v>
      </c>
      <c r="J186" s="94" t="n">
        <v>0</v>
      </c>
      <c r="K186" s="94" t="n">
        <v>0</v>
      </c>
      <c r="L186" s="94" t="n">
        <v>0</v>
      </c>
    </row>
    <row r="187" ht="21.95" customHeight="1">
      <c r="A187" s="68" t="inlineStr">
        <is>
          <t>With Smart Scan screens</t>
        </is>
      </c>
      <c r="B187" s="68" t="inlineStr">
        <is>
          <t>Central CT</t>
        </is>
      </c>
      <c r="C187" s="68" t="inlineStr">
        <is>
          <t>Biometric scan</t>
        </is>
      </c>
      <c r="D187" s="68" t="inlineStr">
        <is>
          <t>11:50</t>
        </is>
      </c>
      <c r="E187" s="94" t="n">
        <v>0</v>
      </c>
      <c r="F187" s="94" t="n">
        <v>0</v>
      </c>
      <c r="G187" s="94" t="n">
        <v>0</v>
      </c>
      <c r="H187" s="94" t="n">
        <v>0</v>
      </c>
      <c r="I187" s="94" t="n">
        <v>0</v>
      </c>
      <c r="J187" s="94" t="n">
        <v>0</v>
      </c>
      <c r="K187" s="94" t="n">
        <v>0</v>
      </c>
      <c r="L187" s="94" t="n">
        <v>0</v>
      </c>
    </row>
    <row r="188" ht="21.95" customHeight="1">
      <c r="A188" s="68" t="inlineStr">
        <is>
          <t>With Smart Scan screens</t>
        </is>
      </c>
      <c r="B188" s="68" t="inlineStr">
        <is>
          <t>Central CT</t>
        </is>
      </c>
      <c r="C188" s="68" t="inlineStr">
        <is>
          <t>Biometric scan</t>
        </is>
      </c>
      <c r="D188" s="68" t="inlineStr">
        <is>
          <t>12:00</t>
        </is>
      </c>
      <c r="E188" s="94" t="n">
        <v>14.52</v>
      </c>
      <c r="F188" s="94" t="n">
        <v>0.0195</v>
      </c>
      <c r="G188" s="94" t="n">
        <v>0.0335</v>
      </c>
      <c r="H188" s="94" t="n">
        <v>0.2811</v>
      </c>
      <c r="I188" s="94" t="n">
        <v>0.4835</v>
      </c>
      <c r="J188" s="94" t="n">
        <v>0</v>
      </c>
      <c r="K188" s="94" t="n">
        <v>0</v>
      </c>
      <c r="L188" s="94" t="n">
        <v>0</v>
      </c>
    </row>
    <row r="189" ht="21.95" customHeight="1">
      <c r="A189" s="68" t="inlineStr">
        <is>
          <t>With Smart Scan screens</t>
        </is>
      </c>
      <c r="B189" s="68" t="inlineStr">
        <is>
          <t>Central CT</t>
        </is>
      </c>
      <c r="C189" s="68" t="inlineStr">
        <is>
          <t>Biometric scan</t>
        </is>
      </c>
      <c r="D189" s="68" t="inlineStr">
        <is>
          <t>12:10</t>
        </is>
      </c>
      <c r="E189" s="94" t="n">
        <v>18.77</v>
      </c>
      <c r="F189" s="94" t="n">
        <v>0.0272</v>
      </c>
      <c r="G189" s="94" t="n">
        <v>0.0333</v>
      </c>
      <c r="H189" s="94" t="n">
        <v>0.5063</v>
      </c>
      <c r="I189" s="94" t="n">
        <v>0.6245000000000001</v>
      </c>
      <c r="J189" s="94" t="n">
        <v>0</v>
      </c>
      <c r="K189" s="94" t="n">
        <v>0</v>
      </c>
      <c r="L189" s="94" t="n">
        <v>0</v>
      </c>
    </row>
    <row r="190" ht="21.95" customHeight="1">
      <c r="A190" s="68" t="inlineStr">
        <is>
          <t>With Smart Scan screens</t>
        </is>
      </c>
      <c r="B190" s="68" t="inlineStr">
        <is>
          <t>Central CT</t>
        </is>
      </c>
      <c r="C190" s="68" t="inlineStr">
        <is>
          <t>Biometric scan</t>
        </is>
      </c>
      <c r="D190" s="68" t="inlineStr">
        <is>
          <t>12:20</t>
        </is>
      </c>
      <c r="E190" s="94" t="n">
        <v>18.595</v>
      </c>
      <c r="F190" s="94" t="n">
        <v>0.0368</v>
      </c>
      <c r="G190" s="94" t="n">
        <v>0.0334</v>
      </c>
      <c r="H190" s="94" t="n">
        <v>0.6889999999999999</v>
      </c>
      <c r="I190" s="94" t="n">
        <v>0.6234</v>
      </c>
      <c r="J190" s="94" t="n">
        <v>0</v>
      </c>
      <c r="K190" s="94" t="n">
        <v>0</v>
      </c>
      <c r="L190" s="94" t="n">
        <v>0</v>
      </c>
    </row>
    <row r="191" ht="21.95" customHeight="1">
      <c r="A191" s="68" t="inlineStr">
        <is>
          <t>With Smart Scan screens</t>
        </is>
      </c>
      <c r="B191" s="68" t="inlineStr">
        <is>
          <t>Central CT</t>
        </is>
      </c>
      <c r="C191" s="68" t="inlineStr">
        <is>
          <t>Biometric scan</t>
        </is>
      </c>
      <c r="D191" s="68" t="inlineStr">
        <is>
          <t>12:30</t>
        </is>
      </c>
      <c r="E191" s="94" t="n">
        <v>21.645</v>
      </c>
      <c r="F191" s="94" t="n">
        <v>0.0558</v>
      </c>
      <c r="G191" s="94" t="n">
        <v>0.0335</v>
      </c>
      <c r="H191" s="94" t="n">
        <v>1.2025</v>
      </c>
      <c r="I191" s="94" t="n">
        <v>0.721</v>
      </c>
      <c r="J191" s="94" t="n">
        <v>0</v>
      </c>
      <c r="K191" s="94" t="n">
        <v>0</v>
      </c>
      <c r="L191" s="94" t="n">
        <v>0</v>
      </c>
    </row>
    <row r="192" ht="21.95" customHeight="1">
      <c r="A192" s="68" t="inlineStr">
        <is>
          <t>With Smart Scan screens</t>
        </is>
      </c>
      <c r="B192" s="68" t="inlineStr">
        <is>
          <t>Central CT</t>
        </is>
      </c>
      <c r="C192" s="68" t="inlineStr">
        <is>
          <t>Biometric scan</t>
        </is>
      </c>
      <c r="D192" s="68" t="inlineStr">
        <is>
          <t>12:40</t>
        </is>
      </c>
      <c r="E192" s="94" t="n">
        <v>18.74</v>
      </c>
      <c r="F192" s="94" t="n">
        <v>0.0348</v>
      </c>
      <c r="G192" s="94" t="n">
        <v>0.0333</v>
      </c>
      <c r="H192" s="94" t="n">
        <v>0.6563</v>
      </c>
      <c r="I192" s="94" t="n">
        <v>0.6269</v>
      </c>
      <c r="J192" s="94" t="n">
        <v>0</v>
      </c>
      <c r="K192" s="94" t="n">
        <v>0</v>
      </c>
      <c r="L192" s="94" t="n">
        <v>0</v>
      </c>
    </row>
    <row r="193" ht="21.95" customHeight="1">
      <c r="A193" s="68" t="inlineStr">
        <is>
          <t>With Smart Scan screens</t>
        </is>
      </c>
      <c r="B193" s="68" t="inlineStr">
        <is>
          <t>Central CT</t>
        </is>
      </c>
      <c r="C193" s="68" t="inlineStr">
        <is>
          <t>Biometric scan</t>
        </is>
      </c>
      <c r="D193" s="68" t="inlineStr">
        <is>
          <t>12:50</t>
        </is>
      </c>
      <c r="E193" s="94" t="n">
        <v>15.905</v>
      </c>
      <c r="F193" s="94" t="n">
        <v>0.0212</v>
      </c>
      <c r="G193" s="94" t="n">
        <v>0.0333</v>
      </c>
      <c r="H193" s="94" t="n">
        <v>0.3399</v>
      </c>
      <c r="I193" s="94" t="n">
        <v>0.5325</v>
      </c>
      <c r="J193" s="94" t="n">
        <v>0</v>
      </c>
      <c r="K193" s="94" t="n">
        <v>0</v>
      </c>
      <c r="L193" s="94" t="n">
        <v>0</v>
      </c>
    </row>
    <row r="194" ht="21.95" customHeight="1">
      <c r="A194" s="68" t="inlineStr">
        <is>
          <t>With Smart Scan screens</t>
        </is>
      </c>
      <c r="B194" s="68" t="inlineStr">
        <is>
          <t>Central CT</t>
        </is>
      </c>
      <c r="C194" s="68" t="inlineStr">
        <is>
          <t>Biometric scan</t>
        </is>
      </c>
      <c r="D194" s="68" t="inlineStr">
        <is>
          <t>13:00</t>
        </is>
      </c>
      <c r="E194" s="94" t="n">
        <v>21.265</v>
      </c>
      <c r="F194" s="94" t="n">
        <v>0.0638</v>
      </c>
      <c r="G194" s="94" t="n">
        <v>0.0332</v>
      </c>
      <c r="H194" s="94" t="n">
        <v>1.3422</v>
      </c>
      <c r="I194" s="94" t="n">
        <v>0.6993</v>
      </c>
      <c r="J194" s="94" t="n">
        <v>0</v>
      </c>
      <c r="K194" s="94" t="n">
        <v>0</v>
      </c>
      <c r="L194" s="94" t="n">
        <v>0</v>
      </c>
    </row>
    <row r="195" ht="21.95" customHeight="1">
      <c r="A195" s="68" t="inlineStr">
        <is>
          <t>With Smart Scan screens</t>
        </is>
      </c>
      <c r="B195" s="68" t="inlineStr">
        <is>
          <t>Central CT</t>
        </is>
      </c>
      <c r="C195" s="68" t="inlineStr">
        <is>
          <t>Biometric scan</t>
        </is>
      </c>
      <c r="D195" s="68" t="inlineStr">
        <is>
          <t>13:10</t>
        </is>
      </c>
      <c r="E195" s="94" t="n">
        <v>21.375</v>
      </c>
      <c r="F195" s="94" t="n">
        <v>0.0696</v>
      </c>
      <c r="G195" s="94" t="n">
        <v>0.0334</v>
      </c>
      <c r="H195" s="94" t="n">
        <v>1.4947</v>
      </c>
      <c r="I195" s="94" t="n">
        <v>0.7149</v>
      </c>
      <c r="J195" s="94" t="n">
        <v>0</v>
      </c>
      <c r="K195" s="94" t="n">
        <v>0</v>
      </c>
      <c r="L195" s="94" t="n">
        <v>0</v>
      </c>
    </row>
    <row r="196" ht="21.95" customHeight="1">
      <c r="A196" s="68" t="inlineStr">
        <is>
          <t>With Smart Scan screens</t>
        </is>
      </c>
      <c r="B196" s="68" t="inlineStr">
        <is>
          <t>Central CT</t>
        </is>
      </c>
      <c r="C196" s="68" t="inlineStr">
        <is>
          <t>Biometric scan</t>
        </is>
      </c>
      <c r="D196" s="68" t="inlineStr">
        <is>
          <t>13:20</t>
        </is>
      </c>
      <c r="E196" s="94" t="n">
        <v>19.635</v>
      </c>
      <c r="F196" s="94" t="n">
        <v>0.0562</v>
      </c>
      <c r="G196" s="94" t="n">
        <v>0.0333</v>
      </c>
      <c r="H196" s="94" t="n">
        <v>1.1085</v>
      </c>
      <c r="I196" s="94" t="n">
        <v>0.6568000000000001</v>
      </c>
      <c r="J196" s="94" t="n">
        <v>0</v>
      </c>
      <c r="K196" s="94" t="n">
        <v>0</v>
      </c>
      <c r="L196" s="94" t="n">
        <v>0</v>
      </c>
    </row>
    <row r="197" ht="21.95" customHeight="1">
      <c r="A197" s="68" t="inlineStr">
        <is>
          <t>With Smart Scan screens</t>
        </is>
      </c>
      <c r="B197" s="68" t="inlineStr">
        <is>
          <t>Central CT</t>
        </is>
      </c>
      <c r="C197" s="68" t="inlineStr">
        <is>
          <t>Biometric scan</t>
        </is>
      </c>
      <c r="D197" s="68" t="inlineStr">
        <is>
          <t>13:30</t>
        </is>
      </c>
      <c r="E197" s="94" t="n">
        <v>17.935</v>
      </c>
      <c r="F197" s="94" t="n">
        <v>0.0342</v>
      </c>
      <c r="G197" s="94" t="n">
        <v>0.0335</v>
      </c>
      <c r="H197" s="94" t="n">
        <v>0.6151</v>
      </c>
      <c r="I197" s="94" t="n">
        <v>0.601</v>
      </c>
      <c r="J197" s="94" t="n">
        <v>0</v>
      </c>
      <c r="K197" s="94" t="n">
        <v>0</v>
      </c>
      <c r="L197" s="94" t="n">
        <v>0</v>
      </c>
    </row>
    <row r="198" ht="21.95" customHeight="1">
      <c r="A198" s="68" t="inlineStr">
        <is>
          <t>With Smart Scan screens</t>
        </is>
      </c>
      <c r="B198" s="68" t="inlineStr">
        <is>
          <t>Central CT</t>
        </is>
      </c>
      <c r="C198" s="68" t="inlineStr">
        <is>
          <t>Biometric scan</t>
        </is>
      </c>
      <c r="D198" s="68" t="inlineStr">
        <is>
          <t>13:40</t>
        </is>
      </c>
      <c r="E198" s="94" t="n">
        <v>14.28</v>
      </c>
      <c r="F198" s="94" t="n">
        <v>0.0179</v>
      </c>
      <c r="G198" s="94" t="n">
        <v>0.0335</v>
      </c>
      <c r="H198" s="94" t="n">
        <v>0.2556</v>
      </c>
      <c r="I198" s="94" t="n">
        <v>0.4792</v>
      </c>
      <c r="J198" s="94" t="n">
        <v>0</v>
      </c>
      <c r="K198" s="94" t="n">
        <v>0</v>
      </c>
      <c r="L198" s="94" t="n">
        <v>0</v>
      </c>
    </row>
    <row r="199" ht="21.95" customHeight="1">
      <c r="A199" s="68" t="inlineStr">
        <is>
          <t>With Smart Scan screens</t>
        </is>
      </c>
      <c r="B199" s="68" t="inlineStr">
        <is>
          <t>Central CT</t>
        </is>
      </c>
      <c r="C199" s="68" t="inlineStr">
        <is>
          <t>Biometric scan</t>
        </is>
      </c>
      <c r="D199" s="68" t="inlineStr">
        <is>
          <t>13:50</t>
        </is>
      </c>
      <c r="E199" s="94" t="n">
        <v>7.17</v>
      </c>
      <c r="F199" s="94" t="n">
        <v>0.0059</v>
      </c>
      <c r="G199" s="94" t="n">
        <v>0.0336</v>
      </c>
      <c r="H199" s="94" t="n">
        <v>0.0423</v>
      </c>
      <c r="I199" s="94" t="n">
        <v>0.2414</v>
      </c>
      <c r="J199" s="94" t="n">
        <v>0</v>
      </c>
      <c r="K199" s="94" t="n">
        <v>0</v>
      </c>
      <c r="L199" s="94" t="n">
        <v>0</v>
      </c>
    </row>
    <row r="200" ht="21.95" customHeight="1">
      <c r="A200" s="68" t="inlineStr">
        <is>
          <t>With Smart Scan screens</t>
        </is>
      </c>
      <c r="B200" s="68" t="inlineStr">
        <is>
          <t>Central CT</t>
        </is>
      </c>
      <c r="C200" s="68" t="inlineStr">
        <is>
          <t>Biometric scan</t>
        </is>
      </c>
      <c r="D200" s="68" t="inlineStr">
        <is>
          <t>14:00</t>
        </is>
      </c>
      <c r="E200" s="94" t="n">
        <v>0</v>
      </c>
      <c r="F200" s="94" t="n">
        <v>0</v>
      </c>
      <c r="G200" s="94" t="n">
        <v>0</v>
      </c>
      <c r="H200" s="94" t="n">
        <v>0</v>
      </c>
      <c r="I200" s="94" t="n">
        <v>0.0002</v>
      </c>
      <c r="J200" s="94" t="n">
        <v>0</v>
      </c>
      <c r="K200" s="94" t="n">
        <v>0</v>
      </c>
      <c r="L200" s="94" t="n">
        <v>0</v>
      </c>
    </row>
    <row r="201" ht="21.95" customHeight="1">
      <c r="A201" s="68" t="inlineStr">
        <is>
          <t>With Smart Scan screens</t>
        </is>
      </c>
      <c r="B201" s="68" t="inlineStr">
        <is>
          <t>Central CT</t>
        </is>
      </c>
      <c r="C201" s="68" t="inlineStr">
        <is>
          <t>Biometric scan</t>
        </is>
      </c>
      <c r="D201" s="68" t="inlineStr">
        <is>
          <t>14:10</t>
        </is>
      </c>
      <c r="E201" s="94" t="n">
        <v>0</v>
      </c>
      <c r="F201" s="94" t="n">
        <v>0</v>
      </c>
      <c r="G201" s="94" t="n">
        <v>0</v>
      </c>
      <c r="H201" s="94" t="n">
        <v>0</v>
      </c>
      <c r="I201" s="94" t="n">
        <v>0</v>
      </c>
      <c r="J201" s="94" t="n">
        <v>0</v>
      </c>
      <c r="K201" s="94" t="n">
        <v>0</v>
      </c>
      <c r="L201" s="94" t="n">
        <v>0</v>
      </c>
    </row>
    <row r="202" ht="21.95" customHeight="1">
      <c r="A202" s="68" t="inlineStr">
        <is>
          <t>With Smart Scan screens</t>
        </is>
      </c>
      <c r="B202" s="68" t="inlineStr">
        <is>
          <t>Central CT</t>
        </is>
      </c>
      <c r="C202" s="68" t="inlineStr">
        <is>
          <t>Biometric scan</t>
        </is>
      </c>
      <c r="D202" s="68" t="inlineStr">
        <is>
          <t>14:20</t>
        </is>
      </c>
      <c r="E202" s="94" t="n">
        <v>0</v>
      </c>
      <c r="F202" s="94" t="n">
        <v>0</v>
      </c>
      <c r="G202" s="94" t="n">
        <v>0</v>
      </c>
      <c r="H202" s="94" t="n">
        <v>0</v>
      </c>
      <c r="I202" s="94" t="n">
        <v>0</v>
      </c>
      <c r="J202" s="94" t="n">
        <v>0</v>
      </c>
      <c r="K202" s="94" t="n">
        <v>0</v>
      </c>
      <c r="L202" s="94" t="n">
        <v>0</v>
      </c>
    </row>
    <row r="203" ht="21.95" customHeight="1">
      <c r="A203" s="68" t="inlineStr">
        <is>
          <t>With Smart Scan screens</t>
        </is>
      </c>
      <c r="B203" s="68" t="inlineStr">
        <is>
          <t>Central CT</t>
        </is>
      </c>
      <c r="C203" s="68" t="inlineStr">
        <is>
          <t>Serving station</t>
        </is>
      </c>
      <c r="D203" s="68" t="inlineStr">
        <is>
          <t>11:30</t>
        </is>
      </c>
      <c r="E203" s="94" t="n">
        <v>0</v>
      </c>
      <c r="F203" s="94" t="n">
        <v>0</v>
      </c>
      <c r="G203" s="94" t="n">
        <v>0</v>
      </c>
      <c r="H203" s="94" t="n">
        <v>0</v>
      </c>
      <c r="I203" s="94" t="n">
        <v>0</v>
      </c>
      <c r="J203" s="94" t="n">
        <v>0</v>
      </c>
      <c r="K203" s="94" t="n">
        <v>0</v>
      </c>
      <c r="L203" s="94" t="n">
        <v>0</v>
      </c>
    </row>
    <row r="204" ht="21.95" customHeight="1">
      <c r="A204" s="68" t="inlineStr">
        <is>
          <t>With Smart Scan screens</t>
        </is>
      </c>
      <c r="B204" s="68" t="inlineStr">
        <is>
          <t>Central CT</t>
        </is>
      </c>
      <c r="C204" s="68" t="inlineStr">
        <is>
          <t>Serving station</t>
        </is>
      </c>
      <c r="D204" s="68" t="inlineStr">
        <is>
          <t>11:40</t>
        </is>
      </c>
      <c r="E204" s="94" t="n">
        <v>0</v>
      </c>
      <c r="F204" s="94" t="n">
        <v>0</v>
      </c>
      <c r="G204" s="94" t="n">
        <v>0</v>
      </c>
      <c r="H204" s="94" t="n">
        <v>0</v>
      </c>
      <c r="I204" s="94" t="n">
        <v>0</v>
      </c>
      <c r="J204" s="94" t="n">
        <v>0</v>
      </c>
      <c r="K204" s="94" t="n">
        <v>0</v>
      </c>
      <c r="L204" s="94" t="n">
        <v>0</v>
      </c>
    </row>
    <row r="205" ht="21.95" customHeight="1">
      <c r="A205" s="68" t="inlineStr">
        <is>
          <t>With Smart Scan screens</t>
        </is>
      </c>
      <c r="B205" s="68" t="inlineStr">
        <is>
          <t>Central CT</t>
        </is>
      </c>
      <c r="C205" s="68" t="inlineStr">
        <is>
          <t>Serving station</t>
        </is>
      </c>
      <c r="D205" s="68" t="inlineStr">
        <is>
          <t>11:50</t>
        </is>
      </c>
      <c r="E205" s="94" t="n">
        <v>0</v>
      </c>
      <c r="F205" s="94" t="n">
        <v>0</v>
      </c>
      <c r="G205" s="94" t="n">
        <v>0</v>
      </c>
      <c r="H205" s="94" t="n">
        <v>0</v>
      </c>
      <c r="I205" s="94" t="n">
        <v>0</v>
      </c>
      <c r="J205" s="94" t="n">
        <v>0</v>
      </c>
      <c r="K205" s="94" t="n">
        <v>0</v>
      </c>
      <c r="L205" s="94" t="n">
        <v>0</v>
      </c>
    </row>
    <row r="206" ht="21.95" customHeight="1">
      <c r="A206" s="68" t="inlineStr">
        <is>
          <t>With Smart Scan screens</t>
        </is>
      </c>
      <c r="B206" s="68" t="inlineStr">
        <is>
          <t>Central CT</t>
        </is>
      </c>
      <c r="C206" s="68" t="inlineStr">
        <is>
          <t>Serving station</t>
        </is>
      </c>
      <c r="D206" s="68" t="inlineStr">
        <is>
          <t>12:00</t>
        </is>
      </c>
      <c r="E206" s="94" t="n">
        <v>13.485</v>
      </c>
      <c r="F206" s="94" t="n">
        <v>0.0857</v>
      </c>
      <c r="G206" s="94" t="n">
        <v>0.1019</v>
      </c>
      <c r="H206" s="94" t="n">
        <v>1.1129</v>
      </c>
      <c r="I206" s="94" t="n">
        <v>1.3304</v>
      </c>
      <c r="J206" s="94" t="n">
        <v>0</v>
      </c>
      <c r="K206" s="94" t="n">
        <v>0</v>
      </c>
      <c r="L206" s="94" t="n">
        <v>0</v>
      </c>
    </row>
    <row r="207" ht="21.95" customHeight="1">
      <c r="A207" s="68" t="inlineStr">
        <is>
          <t>With Smart Scan screens</t>
        </is>
      </c>
      <c r="B207" s="68" t="inlineStr">
        <is>
          <t>Central CT</t>
        </is>
      </c>
      <c r="C207" s="68" t="inlineStr">
        <is>
          <t>Serving station</t>
        </is>
      </c>
      <c r="D207" s="68" t="inlineStr">
        <is>
          <t>12:10</t>
        </is>
      </c>
      <c r="E207" s="94" t="n">
        <v>18.49</v>
      </c>
      <c r="F207" s="94" t="n">
        <v>0.2595</v>
      </c>
      <c r="G207" s="94" t="n">
        <v>0.1004</v>
      </c>
      <c r="H207" s="94" t="n">
        <v>4.575</v>
      </c>
      <c r="I207" s="94" t="n">
        <v>1.8141</v>
      </c>
      <c r="J207" s="94" t="n">
        <v>0.0069</v>
      </c>
      <c r="K207" s="94" t="n">
        <v>0.25</v>
      </c>
      <c r="L207" s="94" t="n">
        <v>0</v>
      </c>
    </row>
    <row r="208" ht="21.95" customHeight="1">
      <c r="A208" s="68" t="inlineStr">
        <is>
          <t>With Smart Scan screens</t>
        </is>
      </c>
      <c r="B208" s="68" t="inlineStr">
        <is>
          <t>Central CT</t>
        </is>
      </c>
      <c r="C208" s="68" t="inlineStr">
        <is>
          <t>Serving station</t>
        </is>
      </c>
      <c r="D208" s="68" t="inlineStr">
        <is>
          <t>12:20</t>
        </is>
      </c>
      <c r="E208" s="94" t="n">
        <v>18.78</v>
      </c>
      <c r="F208" s="94" t="n">
        <v>0.5683</v>
      </c>
      <c r="G208" s="94" t="n">
        <v>0.1011</v>
      </c>
      <c r="H208" s="94" t="n">
        <v>10.4922</v>
      </c>
      <c r="I208" s="94" t="n">
        <v>1.8877</v>
      </c>
      <c r="J208" s="94" t="n">
        <v>0.0586</v>
      </c>
      <c r="K208" s="94" t="n">
        <v>1.85</v>
      </c>
      <c r="L208" s="94" t="n">
        <v>0</v>
      </c>
    </row>
    <row r="209" ht="21.95" customHeight="1">
      <c r="A209" s="68" t="inlineStr">
        <is>
          <t>With Smart Scan screens</t>
        </is>
      </c>
      <c r="B209" s="68" t="inlineStr">
        <is>
          <t>Central CT</t>
        </is>
      </c>
      <c r="C209" s="68" t="inlineStr">
        <is>
          <t>Serving station</t>
        </is>
      </c>
      <c r="D209" s="68" t="inlineStr">
        <is>
          <t>12:30</t>
        </is>
      </c>
      <c r="E209" s="94" t="n">
        <v>21.315</v>
      </c>
      <c r="F209" s="94" t="n">
        <v>0.9543</v>
      </c>
      <c r="G209" s="94" t="n">
        <v>0.0997</v>
      </c>
      <c r="H209" s="94" t="n">
        <v>18.8872</v>
      </c>
      <c r="I209" s="94" t="n">
        <v>1.9736</v>
      </c>
      <c r="J209" s="94" t="n">
        <v>0.4505</v>
      </c>
      <c r="K209" s="94" t="n">
        <v>15.95</v>
      </c>
      <c r="L209" s="94" t="n">
        <v>0</v>
      </c>
    </row>
    <row r="210" ht="21.95" customHeight="1">
      <c r="A210" s="68" t="inlineStr">
        <is>
          <t>With Smart Scan screens</t>
        </is>
      </c>
      <c r="B210" s="68" t="inlineStr">
        <is>
          <t>Central CT</t>
        </is>
      </c>
      <c r="C210" s="68" t="inlineStr">
        <is>
          <t>Serving station</t>
        </is>
      </c>
      <c r="D210" s="68" t="inlineStr">
        <is>
          <t>12:40</t>
        </is>
      </c>
      <c r="E210" s="94" t="n">
        <v>19.125</v>
      </c>
      <c r="F210" s="94" t="n">
        <v>1.1538</v>
      </c>
      <c r="G210" s="94" t="n">
        <v>0.09859999999999999</v>
      </c>
      <c r="H210" s="94" t="n">
        <v>21.1498</v>
      </c>
      <c r="I210" s="94" t="n">
        <v>1.9486</v>
      </c>
      <c r="J210" s="94" t="n">
        <v>0.6997</v>
      </c>
      <c r="K210" s="94" t="n">
        <v>11.81</v>
      </c>
      <c r="L210" s="94" t="n">
        <v>0.113</v>
      </c>
    </row>
    <row r="211" ht="21.95" customHeight="1">
      <c r="A211" s="68" t="inlineStr">
        <is>
          <t>With Smart Scan screens</t>
        </is>
      </c>
      <c r="B211" s="68" t="inlineStr">
        <is>
          <t>Central CT</t>
        </is>
      </c>
      <c r="C211" s="68" t="inlineStr">
        <is>
          <t>Serving station</t>
        </is>
      </c>
      <c r="D211" s="68" t="inlineStr">
        <is>
          <t>12:50</t>
        </is>
      </c>
      <c r="E211" s="94" t="n">
        <v>16.135</v>
      </c>
      <c r="F211" s="94" t="n">
        <v>0.8903</v>
      </c>
      <c r="G211" s="94" t="n">
        <v>0.1004</v>
      </c>
      <c r="H211" s="94" t="n">
        <v>16.7096</v>
      </c>
      <c r="I211" s="94" t="n">
        <v>1.7057</v>
      </c>
      <c r="J211" s="94" t="n">
        <v>0.3932</v>
      </c>
      <c r="K211" s="94" t="n">
        <v>5.0484</v>
      </c>
      <c r="L211" s="94" t="n">
        <v>0.8579</v>
      </c>
    </row>
    <row r="212" ht="21.95" customHeight="1">
      <c r="A212" s="68" t="inlineStr">
        <is>
          <t>With Smart Scan screens</t>
        </is>
      </c>
      <c r="B212" s="68" t="inlineStr">
        <is>
          <t>Central CT</t>
        </is>
      </c>
      <c r="C212" s="68" t="inlineStr">
        <is>
          <t>Serving station</t>
        </is>
      </c>
      <c r="D212" s="68" t="inlineStr">
        <is>
          <t>13:00</t>
        </is>
      </c>
      <c r="E212" s="94" t="n">
        <v>20.57</v>
      </c>
      <c r="F212" s="94" t="n">
        <v>0.6329</v>
      </c>
      <c r="G212" s="94" t="n">
        <v>0.1</v>
      </c>
      <c r="H212" s="94" t="n">
        <v>11.3914</v>
      </c>
      <c r="I212" s="94" t="n">
        <v>1.8659</v>
      </c>
      <c r="J212" s="94" t="n">
        <v>0.4023</v>
      </c>
      <c r="K212" s="94" t="n">
        <v>11.0984</v>
      </c>
      <c r="L212" s="94" t="n">
        <v>0</v>
      </c>
    </row>
    <row r="213" ht="21.95" customHeight="1">
      <c r="A213" s="68" t="inlineStr">
        <is>
          <t>With Smart Scan screens</t>
        </is>
      </c>
      <c r="B213" s="68" t="inlineStr">
        <is>
          <t>Central CT</t>
        </is>
      </c>
      <c r="C213" s="68" t="inlineStr">
        <is>
          <t>Serving station</t>
        </is>
      </c>
      <c r="D213" s="68" t="inlineStr">
        <is>
          <t>13:10</t>
        </is>
      </c>
      <c r="E213" s="94" t="n">
        <v>21.425</v>
      </c>
      <c r="F213" s="94" t="n">
        <v>1.8116</v>
      </c>
      <c r="G213" s="94" t="n">
        <v>0.0994</v>
      </c>
      <c r="H213" s="94" t="n">
        <v>36.3816</v>
      </c>
      <c r="I213" s="94" t="n">
        <v>2</v>
      </c>
      <c r="J213" s="94" t="n">
        <v>0.9133</v>
      </c>
      <c r="K213" s="94" t="n">
        <v>25.3484</v>
      </c>
      <c r="L213" s="94" t="n">
        <v>0</v>
      </c>
    </row>
    <row r="214" ht="21.95" customHeight="1">
      <c r="A214" s="68" t="inlineStr">
        <is>
          <t>With Smart Scan screens</t>
        </is>
      </c>
      <c r="B214" s="68" t="inlineStr">
        <is>
          <t>Central CT</t>
        </is>
      </c>
      <c r="C214" s="68" t="inlineStr">
        <is>
          <t>Serving station</t>
        </is>
      </c>
      <c r="D214" s="68" t="inlineStr">
        <is>
          <t>13:20</t>
        </is>
      </c>
      <c r="E214" s="94" t="n">
        <v>19.955</v>
      </c>
      <c r="F214" s="94" t="n">
        <v>2.1938</v>
      </c>
      <c r="G214" s="94" t="n">
        <v>0.1006</v>
      </c>
      <c r="H214" s="94" t="n">
        <v>43.5311</v>
      </c>
      <c r="I214" s="94" t="n">
        <v>2</v>
      </c>
      <c r="J214" s="94" t="n">
        <v>1.2594</v>
      </c>
      <c r="K214" s="94" t="n">
        <v>24.8984</v>
      </c>
      <c r="L214" s="94" t="n">
        <v>0</v>
      </c>
    </row>
    <row r="215" ht="21.95" customHeight="1">
      <c r="A215" s="68" t="inlineStr">
        <is>
          <t>With Smart Scan screens</t>
        </is>
      </c>
      <c r="B215" s="68" t="inlineStr">
        <is>
          <t>Central CT</t>
        </is>
      </c>
      <c r="C215" s="68" t="inlineStr">
        <is>
          <t>Serving station</t>
        </is>
      </c>
      <c r="D215" s="68" t="inlineStr">
        <is>
          <t>13:30</t>
        </is>
      </c>
      <c r="E215" s="94" t="n">
        <v>18.14</v>
      </c>
      <c r="F215" s="94" t="n">
        <v>1.9222</v>
      </c>
      <c r="G215" s="94" t="n">
        <v>0.09959999999999999</v>
      </c>
      <c r="H215" s="94" t="n">
        <v>34.7681</v>
      </c>
      <c r="I215" s="94" t="n">
        <v>1.8988</v>
      </c>
      <c r="J215" s="94" t="n">
        <v>1.0167</v>
      </c>
      <c r="K215" s="94" t="n">
        <v>16.4796</v>
      </c>
      <c r="L215" s="94" t="n">
        <v>0.4841</v>
      </c>
    </row>
    <row r="216" ht="21.95" customHeight="1">
      <c r="A216" s="68" t="inlineStr">
        <is>
          <t>With Smart Scan screens</t>
        </is>
      </c>
      <c r="B216" s="68" t="inlineStr">
        <is>
          <t>Central CT</t>
        </is>
      </c>
      <c r="C216" s="68" t="inlineStr">
        <is>
          <t>Serving station</t>
        </is>
      </c>
      <c r="D216" s="68" t="inlineStr">
        <is>
          <t>13:40</t>
        </is>
      </c>
      <c r="E216" s="94" t="n">
        <v>14.65</v>
      </c>
      <c r="F216" s="94" t="n">
        <v>1.0969</v>
      </c>
      <c r="G216" s="94" t="n">
        <v>0.1019</v>
      </c>
      <c r="H216" s="94" t="n">
        <v>20.3581</v>
      </c>
      <c r="I216" s="94" t="n">
        <v>1.7729</v>
      </c>
      <c r="J216" s="94" t="n">
        <v>0.4622</v>
      </c>
      <c r="K216" s="94" t="n">
        <v>2.3169</v>
      </c>
      <c r="L216" s="94" t="n">
        <v>0.2185</v>
      </c>
    </row>
    <row r="217" ht="21.95" customHeight="1">
      <c r="A217" s="68" t="inlineStr">
        <is>
          <t>With Smart Scan screens</t>
        </is>
      </c>
      <c r="B217" s="68" t="inlineStr">
        <is>
          <t>Central CT</t>
        </is>
      </c>
      <c r="C217" s="68" t="inlineStr">
        <is>
          <t>Serving station</t>
        </is>
      </c>
      <c r="D217" s="68" t="inlineStr">
        <is>
          <t>13:50</t>
        </is>
      </c>
      <c r="E217" s="94" t="n">
        <v>7.49</v>
      </c>
      <c r="F217" s="94" t="n">
        <v>0.0843</v>
      </c>
      <c r="G217" s="94" t="n">
        <v>0.09909999999999999</v>
      </c>
      <c r="H217" s="94" t="n">
        <v>1.2219</v>
      </c>
      <c r="I217" s="94" t="n">
        <v>0.7963</v>
      </c>
      <c r="J217" s="94" t="n">
        <v>0.0572</v>
      </c>
      <c r="K217" s="94" t="n">
        <v>0</v>
      </c>
      <c r="L217" s="94" t="n">
        <v>0</v>
      </c>
    </row>
    <row r="218" ht="21.95" customHeight="1">
      <c r="A218" s="68" t="inlineStr">
        <is>
          <t>With Smart Scan screens</t>
        </is>
      </c>
      <c r="B218" s="68" t="inlineStr">
        <is>
          <t>Central CT</t>
        </is>
      </c>
      <c r="C218" s="68" t="inlineStr">
        <is>
          <t>Serving station</t>
        </is>
      </c>
      <c r="D218" s="68" t="inlineStr">
        <is>
          <t>14:00</t>
        </is>
      </c>
      <c r="E218" s="94" t="n">
        <v>0.275</v>
      </c>
      <c r="F218" s="94" t="n">
        <v>0.0029</v>
      </c>
      <c r="G218" s="94" t="n">
        <v>0.0997</v>
      </c>
      <c r="H218" s="94" t="n">
        <v>0.0008</v>
      </c>
      <c r="I218" s="94" t="n">
        <v>0.0296</v>
      </c>
      <c r="J218" s="94" t="n">
        <v>0</v>
      </c>
      <c r="K218" s="94" t="n">
        <v>0</v>
      </c>
      <c r="L218" s="94" t="n">
        <v>0</v>
      </c>
    </row>
    <row r="219" ht="21.95" customHeight="1">
      <c r="A219" s="68" t="inlineStr">
        <is>
          <t>With Smart Scan screens</t>
        </is>
      </c>
      <c r="B219" s="68" t="inlineStr">
        <is>
          <t>Central CT</t>
        </is>
      </c>
      <c r="C219" s="68" t="inlineStr">
        <is>
          <t>Serving station</t>
        </is>
      </c>
      <c r="D219" s="68" t="inlineStr">
        <is>
          <t>14:10</t>
        </is>
      </c>
      <c r="E219" s="94" t="n">
        <v>0</v>
      </c>
      <c r="F219" s="94" t="n">
        <v>0</v>
      </c>
      <c r="G219" s="94" t="n">
        <v>0</v>
      </c>
      <c r="H219" s="94" t="n">
        <v>0</v>
      </c>
      <c r="I219" s="94" t="n">
        <v>0</v>
      </c>
      <c r="J219" s="94" t="n">
        <v>0</v>
      </c>
      <c r="K219" s="94" t="n">
        <v>0</v>
      </c>
      <c r="L219" s="94" t="n">
        <v>0</v>
      </c>
    </row>
    <row r="220" ht="21.95" customHeight="1">
      <c r="A220" s="68" t="inlineStr">
        <is>
          <t>With Smart Scan screens</t>
        </is>
      </c>
      <c r="B220" s="68" t="inlineStr">
        <is>
          <t>Central CT</t>
        </is>
      </c>
      <c r="C220" s="68" t="inlineStr">
        <is>
          <t>Serving station</t>
        </is>
      </c>
      <c r="D220" s="68" t="inlineStr">
        <is>
          <t>14:20</t>
        </is>
      </c>
      <c r="E220" s="94" t="n">
        <v>0</v>
      </c>
      <c r="F220" s="94" t="n">
        <v>0</v>
      </c>
      <c r="G220" s="94" t="n">
        <v>0</v>
      </c>
      <c r="H220" s="94" t="n">
        <v>0</v>
      </c>
      <c r="I220" s="94" t="n">
        <v>0</v>
      </c>
      <c r="J220" s="94" t="n">
        <v>0</v>
      </c>
      <c r="K220" s="94" t="n">
        <v>0</v>
      </c>
      <c r="L220" s="94" t="n">
        <v>0</v>
      </c>
    </row>
    <row r="221" ht="21.95" customHeight="1">
      <c r="A221" s="68" t="inlineStr">
        <is>
          <t>With Smart Scan screens</t>
        </is>
      </c>
      <c r="B221" s="68" t="inlineStr">
        <is>
          <t>Central CT</t>
        </is>
      </c>
      <c r="C221" s="68" t="inlineStr">
        <is>
          <t>Seat (eating)</t>
        </is>
      </c>
      <c r="D221" s="68" t="inlineStr">
        <is>
          <t>11:30</t>
        </is>
      </c>
      <c r="E221" s="94" t="n">
        <v>0</v>
      </c>
      <c r="F221" s="94" t="n">
        <v>0</v>
      </c>
      <c r="G221" s="94" t="n">
        <v>0</v>
      </c>
      <c r="H221" s="94" t="n">
        <v>0</v>
      </c>
      <c r="I221" s="94" t="n">
        <v>0</v>
      </c>
      <c r="J221" s="94" t="n">
        <v>0</v>
      </c>
      <c r="K221" s="94" t="n">
        <v>0</v>
      </c>
      <c r="L221" s="94" t="n">
        <v>0</v>
      </c>
    </row>
    <row r="222" ht="21.95" customHeight="1">
      <c r="A222" s="68" t="inlineStr">
        <is>
          <t>With Smart Scan screens</t>
        </is>
      </c>
      <c r="B222" s="68" t="inlineStr">
        <is>
          <t>Central CT</t>
        </is>
      </c>
      <c r="C222" s="68" t="inlineStr">
        <is>
          <t>Seat (eating)</t>
        </is>
      </c>
      <c r="D222" s="68" t="inlineStr">
        <is>
          <t>11:40</t>
        </is>
      </c>
      <c r="E222" s="94" t="n">
        <v>0</v>
      </c>
      <c r="F222" s="94" t="n">
        <v>0</v>
      </c>
      <c r="G222" s="94" t="n">
        <v>0</v>
      </c>
      <c r="H222" s="94" t="n">
        <v>0</v>
      </c>
      <c r="I222" s="94" t="n">
        <v>0</v>
      </c>
      <c r="J222" s="94" t="n">
        <v>0</v>
      </c>
      <c r="K222" s="94" t="n">
        <v>0</v>
      </c>
      <c r="L222" s="94" t="n">
        <v>0</v>
      </c>
    </row>
    <row r="223" ht="21.95" customHeight="1">
      <c r="A223" s="68" t="inlineStr">
        <is>
          <t>With Smart Scan screens</t>
        </is>
      </c>
      <c r="B223" s="68" t="inlineStr">
        <is>
          <t>Central CT</t>
        </is>
      </c>
      <c r="C223" s="68" t="inlineStr">
        <is>
          <t>Seat (eating)</t>
        </is>
      </c>
      <c r="D223" s="68" t="inlineStr">
        <is>
          <t>11:50</t>
        </is>
      </c>
      <c r="E223" s="94" t="n">
        <v>0</v>
      </c>
      <c r="F223" s="94" t="n">
        <v>0</v>
      </c>
      <c r="G223" s="94" t="n">
        <v>0</v>
      </c>
      <c r="H223" s="94" t="n">
        <v>0</v>
      </c>
      <c r="I223" s="94" t="n">
        <v>0</v>
      </c>
      <c r="J223" s="94" t="n">
        <v>0</v>
      </c>
      <c r="K223" s="94" t="n">
        <v>0</v>
      </c>
      <c r="L223" s="94" t="n">
        <v>0</v>
      </c>
    </row>
    <row r="224" ht="21.95" customHeight="1">
      <c r="A224" s="68" t="inlineStr">
        <is>
          <t>With Smart Scan screens</t>
        </is>
      </c>
      <c r="B224" s="68" t="inlineStr">
        <is>
          <t>Central CT</t>
        </is>
      </c>
      <c r="C224" s="68" t="inlineStr">
        <is>
          <t>Seat (eating)</t>
        </is>
      </c>
      <c r="D224" s="68" t="inlineStr">
        <is>
          <t>12:00</t>
        </is>
      </c>
      <c r="E224" s="94" t="n">
        <v>10.825</v>
      </c>
      <c r="F224" s="94" t="n">
        <v>0</v>
      </c>
      <c r="G224" s="94" t="n">
        <v>16.0199</v>
      </c>
      <c r="H224" s="94" t="n">
        <v>0</v>
      </c>
      <c r="I224" s="94" t="n">
        <v>39.0209</v>
      </c>
      <c r="J224" s="94" t="n">
        <v>0</v>
      </c>
      <c r="K224" s="94" t="n">
        <v>0</v>
      </c>
      <c r="L224" s="94" t="n">
        <v>0</v>
      </c>
    </row>
    <row r="225" ht="21.95" customHeight="1">
      <c r="A225" s="68" t="inlineStr">
        <is>
          <t>With Smart Scan screens</t>
        </is>
      </c>
      <c r="B225" s="68" t="inlineStr">
        <is>
          <t>Central CT</t>
        </is>
      </c>
      <c r="C225" s="68" t="inlineStr">
        <is>
          <t>Seat (eating)</t>
        </is>
      </c>
      <c r="D225" s="68" t="inlineStr">
        <is>
          <t>12:10</t>
        </is>
      </c>
      <c r="E225" s="94" t="n">
        <v>17.58</v>
      </c>
      <c r="F225" s="94" t="n">
        <v>0</v>
      </c>
      <c r="G225" s="94" t="n">
        <v>15.9978</v>
      </c>
      <c r="H225" s="94" t="n">
        <v>0</v>
      </c>
      <c r="I225" s="94" t="n">
        <v>190.3209</v>
      </c>
      <c r="J225" s="94" t="n">
        <v>0</v>
      </c>
      <c r="K225" s="94" t="n">
        <v>0</v>
      </c>
      <c r="L225" s="94" t="n">
        <v>0</v>
      </c>
    </row>
    <row r="226" ht="21.95" customHeight="1">
      <c r="A226" s="68" t="inlineStr">
        <is>
          <t>With Smart Scan screens</t>
        </is>
      </c>
      <c r="B226" s="68" t="inlineStr">
        <is>
          <t>Central CT</t>
        </is>
      </c>
      <c r="C226" s="68" t="inlineStr">
        <is>
          <t>Seat (eating)</t>
        </is>
      </c>
      <c r="D226" s="68" t="inlineStr">
        <is>
          <t>12:20</t>
        </is>
      </c>
      <c r="E226" s="94" t="n">
        <v>18.665</v>
      </c>
      <c r="F226" s="94" t="n">
        <v>0</v>
      </c>
      <c r="G226" s="94" t="n">
        <v>15.9362</v>
      </c>
      <c r="H226" s="94" t="n">
        <v>0</v>
      </c>
      <c r="I226" s="94" t="n">
        <v>283.9398</v>
      </c>
      <c r="J226" s="94" t="n">
        <v>0</v>
      </c>
      <c r="K226" s="94" t="n">
        <v>0</v>
      </c>
      <c r="L226" s="94" t="n">
        <v>0</v>
      </c>
    </row>
    <row r="227" ht="21.95" customHeight="1">
      <c r="A227" s="68" t="inlineStr">
        <is>
          <t>With Smart Scan screens</t>
        </is>
      </c>
      <c r="B227" s="68" t="inlineStr">
        <is>
          <t>Central CT</t>
        </is>
      </c>
      <c r="C227" s="68" t="inlineStr">
        <is>
          <t>Seat (eating)</t>
        </is>
      </c>
      <c r="D227" s="68" t="inlineStr">
        <is>
          <t>12:30</t>
        </is>
      </c>
      <c r="E227" s="94" t="n">
        <v>19.585</v>
      </c>
      <c r="F227" s="94" t="n">
        <v>0</v>
      </c>
      <c r="G227" s="94" t="n">
        <v>16.0116</v>
      </c>
      <c r="H227" s="94" t="n">
        <v>0</v>
      </c>
      <c r="I227" s="94" t="n">
        <v>300.7771</v>
      </c>
      <c r="J227" s="94" t="n">
        <v>0</v>
      </c>
      <c r="K227" s="94" t="n">
        <v>0</v>
      </c>
      <c r="L227" s="94" t="n">
        <v>0</v>
      </c>
    </row>
    <row r="228" ht="21.95" customHeight="1">
      <c r="A228" s="68" t="inlineStr">
        <is>
          <t>With Smart Scan screens</t>
        </is>
      </c>
      <c r="B228" s="68" t="inlineStr">
        <is>
          <t>Central CT</t>
        </is>
      </c>
      <c r="C228" s="68" t="inlineStr">
        <is>
          <t>Seat (eating)</t>
        </is>
      </c>
      <c r="D228" s="68" t="inlineStr">
        <is>
          <t>12:40</t>
        </is>
      </c>
      <c r="E228" s="94" t="n">
        <v>20.06</v>
      </c>
      <c r="F228" s="94" t="n">
        <v>0</v>
      </c>
      <c r="G228" s="94" t="n">
        <v>15.9993</v>
      </c>
      <c r="H228" s="94" t="n">
        <v>0</v>
      </c>
      <c r="I228" s="94" t="n">
        <v>314.2579</v>
      </c>
      <c r="J228" s="94" t="n">
        <v>0</v>
      </c>
      <c r="K228" s="94" t="n">
        <v>0</v>
      </c>
      <c r="L228" s="94" t="n">
        <v>0</v>
      </c>
    </row>
    <row r="229" ht="21.95" customHeight="1">
      <c r="A229" s="68" t="inlineStr">
        <is>
          <t>With Smart Scan screens</t>
        </is>
      </c>
      <c r="B229" s="68" t="inlineStr">
        <is>
          <t>Central CT</t>
        </is>
      </c>
      <c r="C229" s="68" t="inlineStr">
        <is>
          <t>Seat (eating)</t>
        </is>
      </c>
      <c r="D229" s="68" t="inlineStr">
        <is>
          <t>12:50</t>
        </is>
      </c>
      <c r="E229" s="94" t="n">
        <v>17.005</v>
      </c>
      <c r="F229" s="94" t="n">
        <v>0</v>
      </c>
      <c r="G229" s="94" t="n">
        <v>15.9854</v>
      </c>
      <c r="H229" s="94" t="n">
        <v>0</v>
      </c>
      <c r="I229" s="94" t="n">
        <v>305.2166</v>
      </c>
      <c r="J229" s="94" t="n">
        <v>0</v>
      </c>
      <c r="K229" s="94" t="n">
        <v>0</v>
      </c>
      <c r="L229" s="94" t="n">
        <v>0</v>
      </c>
    </row>
    <row r="230" ht="21.95" customHeight="1">
      <c r="A230" s="68" t="inlineStr">
        <is>
          <t>With Smart Scan screens</t>
        </is>
      </c>
      <c r="B230" s="68" t="inlineStr">
        <is>
          <t>Central CT</t>
        </is>
      </c>
      <c r="C230" s="68" t="inlineStr">
        <is>
          <t>Seat (eating)</t>
        </is>
      </c>
      <c r="D230" s="68" t="inlineStr">
        <is>
          <t>13:00</t>
        </is>
      </c>
      <c r="E230" s="94" t="n">
        <v>18.45</v>
      </c>
      <c r="F230" s="94" t="n">
        <v>0</v>
      </c>
      <c r="G230" s="94" t="n">
        <v>15.9971</v>
      </c>
      <c r="H230" s="94" t="n">
        <v>0</v>
      </c>
      <c r="I230" s="94" t="n">
        <v>282.8207</v>
      </c>
      <c r="J230" s="94" t="n">
        <v>0</v>
      </c>
      <c r="K230" s="94" t="n">
        <v>0</v>
      </c>
      <c r="L230" s="94" t="n">
        <v>0</v>
      </c>
    </row>
    <row r="231" ht="21.95" customHeight="1">
      <c r="A231" s="68" t="inlineStr">
        <is>
          <t>With Smart Scan screens</t>
        </is>
      </c>
      <c r="B231" s="68" t="inlineStr">
        <is>
          <t>Central CT</t>
        </is>
      </c>
      <c r="C231" s="68" t="inlineStr">
        <is>
          <t>Seat (eating)</t>
        </is>
      </c>
      <c r="D231" s="68" t="inlineStr">
        <is>
          <t>13:10</t>
        </is>
      </c>
      <c r="E231" s="94" t="n">
        <v>19.95</v>
      </c>
      <c r="F231" s="94" t="n">
        <v>0</v>
      </c>
      <c r="G231" s="94" t="n">
        <v>15.9842</v>
      </c>
      <c r="H231" s="94" t="n">
        <v>0</v>
      </c>
      <c r="I231" s="94" t="n">
        <v>301.1059</v>
      </c>
      <c r="J231" s="94" t="n">
        <v>0</v>
      </c>
      <c r="K231" s="94" t="n">
        <v>0</v>
      </c>
      <c r="L231" s="94" t="n">
        <v>0</v>
      </c>
    </row>
    <row r="232" ht="21.95" customHeight="1">
      <c r="A232" s="68" t="inlineStr">
        <is>
          <t>With Smart Scan screens</t>
        </is>
      </c>
      <c r="B232" s="68" t="inlineStr">
        <is>
          <t>Central CT</t>
        </is>
      </c>
      <c r="C232" s="68" t="inlineStr">
        <is>
          <t>Seat (eating)</t>
        </is>
      </c>
      <c r="D232" s="68" t="inlineStr">
        <is>
          <t>13:20</t>
        </is>
      </c>
      <c r="E232" s="94" t="n">
        <v>20.095</v>
      </c>
      <c r="F232" s="94" t="n">
        <v>0</v>
      </c>
      <c r="G232" s="94" t="n">
        <v>16.0029</v>
      </c>
      <c r="H232" s="94" t="n">
        <v>0</v>
      </c>
      <c r="I232" s="94" t="n">
        <v>318.6735</v>
      </c>
      <c r="J232" s="94" t="n">
        <v>0</v>
      </c>
      <c r="K232" s="94" t="n">
        <v>0</v>
      </c>
      <c r="L232" s="94" t="n">
        <v>0</v>
      </c>
    </row>
    <row r="233" ht="21.95" customHeight="1">
      <c r="A233" s="68" t="inlineStr">
        <is>
          <t>With Smart Scan screens</t>
        </is>
      </c>
      <c r="B233" s="68" t="inlineStr">
        <is>
          <t>Central CT</t>
        </is>
      </c>
      <c r="C233" s="68" t="inlineStr">
        <is>
          <t>Seat (eating)</t>
        </is>
      </c>
      <c r="D233" s="68" t="inlineStr">
        <is>
          <t>13:30</t>
        </is>
      </c>
      <c r="E233" s="94" t="n">
        <v>19.33</v>
      </c>
      <c r="F233" s="94" t="n">
        <v>0</v>
      </c>
      <c r="G233" s="94" t="n">
        <v>15.9952</v>
      </c>
      <c r="H233" s="94" t="n">
        <v>0</v>
      </c>
      <c r="I233" s="94" t="n">
        <v>318.7396</v>
      </c>
      <c r="J233" s="94" t="n">
        <v>0</v>
      </c>
      <c r="K233" s="94" t="n">
        <v>0</v>
      </c>
      <c r="L233" s="94" t="n">
        <v>0</v>
      </c>
    </row>
    <row r="234" ht="21.95" customHeight="1">
      <c r="A234" s="68" t="inlineStr">
        <is>
          <t>With Smart Scan screens</t>
        </is>
      </c>
      <c r="B234" s="68" t="inlineStr">
        <is>
          <t>Central CT</t>
        </is>
      </c>
      <c r="C234" s="68" t="inlineStr">
        <is>
          <t>Seat (eating)</t>
        </is>
      </c>
      <c r="D234" s="68" t="inlineStr">
        <is>
          <t>13:40</t>
        </is>
      </c>
      <c r="E234" s="94" t="n">
        <v>17.96</v>
      </c>
      <c r="F234" s="94" t="n">
        <v>0</v>
      </c>
      <c r="G234" s="94" t="n">
        <v>16.0196</v>
      </c>
      <c r="H234" s="94" t="n">
        <v>0</v>
      </c>
      <c r="I234" s="94" t="n">
        <v>304.1344</v>
      </c>
      <c r="J234" s="94" t="n">
        <v>0</v>
      </c>
      <c r="K234" s="94" t="n">
        <v>0</v>
      </c>
      <c r="L234" s="94" t="n">
        <v>0</v>
      </c>
    </row>
    <row r="235" ht="21.95" customHeight="1">
      <c r="A235" s="68" t="inlineStr">
        <is>
          <t>With Smart Scan screens</t>
        </is>
      </c>
      <c r="B235" s="68" t="inlineStr">
        <is>
          <t>Central CT</t>
        </is>
      </c>
      <c r="C235" s="68" t="inlineStr">
        <is>
          <t>Seat (eating)</t>
        </is>
      </c>
      <c r="D235" s="68" t="inlineStr">
        <is>
          <t>13:50</t>
        </is>
      </c>
      <c r="E235" s="94" t="n">
        <v>9.295</v>
      </c>
      <c r="F235" s="94" t="n">
        <v>0</v>
      </c>
      <c r="G235" s="94" t="n">
        <v>16.0034</v>
      </c>
      <c r="H235" s="94" t="n">
        <v>0</v>
      </c>
      <c r="I235" s="94" t="n">
        <v>252.7972</v>
      </c>
      <c r="J235" s="94" t="n">
        <v>0</v>
      </c>
      <c r="K235" s="94" t="n">
        <v>0</v>
      </c>
      <c r="L235" s="94" t="n">
        <v>0</v>
      </c>
    </row>
    <row r="236" ht="21.95" customHeight="1">
      <c r="A236" s="68" t="inlineStr">
        <is>
          <t>With Smart Scan screens</t>
        </is>
      </c>
      <c r="B236" s="68" t="inlineStr">
        <is>
          <t>Central CT</t>
        </is>
      </c>
      <c r="C236" s="68" t="inlineStr">
        <is>
          <t>Seat (eating)</t>
        </is>
      </c>
      <c r="D236" s="68" t="inlineStr">
        <is>
          <t>14:00</t>
        </is>
      </c>
      <c r="E236" s="94" t="n">
        <v>1.035</v>
      </c>
      <c r="F236" s="94" t="n">
        <v>0</v>
      </c>
      <c r="G236" s="94" t="n">
        <v>15.9964</v>
      </c>
      <c r="H236" s="94" t="n">
        <v>0</v>
      </c>
      <c r="I236" s="94" t="n">
        <v>124.3471</v>
      </c>
      <c r="J236" s="94" t="n">
        <v>0</v>
      </c>
      <c r="K236" s="94" t="n">
        <v>0</v>
      </c>
      <c r="L236" s="94" t="n">
        <v>0</v>
      </c>
    </row>
    <row r="237" ht="21.95" customHeight="1">
      <c r="A237" s="68" t="inlineStr">
        <is>
          <t>With Smart Scan screens</t>
        </is>
      </c>
      <c r="B237" s="68" t="inlineStr">
        <is>
          <t>Central CT</t>
        </is>
      </c>
      <c r="C237" s="68" t="inlineStr">
        <is>
          <t>Seat (eating)</t>
        </is>
      </c>
      <c r="D237" s="68" t="inlineStr">
        <is>
          <t>14:10</t>
        </is>
      </c>
      <c r="E237" s="94" t="n">
        <v>0</v>
      </c>
      <c r="F237" s="94" t="n">
        <v>0</v>
      </c>
      <c r="G237" s="94" t="n">
        <v>0</v>
      </c>
      <c r="H237" s="94" t="n">
        <v>0</v>
      </c>
      <c r="I237" s="94" t="n">
        <v>20.1343</v>
      </c>
      <c r="J237" s="94" t="n">
        <v>0</v>
      </c>
      <c r="K237" s="94" t="n">
        <v>0</v>
      </c>
      <c r="L237" s="94" t="n">
        <v>0</v>
      </c>
    </row>
    <row r="238" ht="21.95" customHeight="1">
      <c r="A238" s="68" t="inlineStr">
        <is>
          <t>With Smart Scan screens</t>
        </is>
      </c>
      <c r="B238" s="68" t="inlineStr">
        <is>
          <t>Central CT</t>
        </is>
      </c>
      <c r="C238" s="68" t="inlineStr">
        <is>
          <t>Seat (eating)</t>
        </is>
      </c>
      <c r="D238" s="68" t="inlineStr">
        <is>
          <t>14:20</t>
        </is>
      </c>
      <c r="E238" s="94" t="n">
        <v>0</v>
      </c>
      <c r="F238" s="94" t="n">
        <v>0</v>
      </c>
      <c r="G238" s="94" t="n">
        <v>0</v>
      </c>
      <c r="H238" s="94" t="n">
        <v>0</v>
      </c>
      <c r="I238" s="94" t="n">
        <v>0.0005</v>
      </c>
      <c r="J238" s="94" t="n">
        <v>0</v>
      </c>
      <c r="K238" s="94" t="n">
        <v>0</v>
      </c>
      <c r="L238" s="94" t="n">
        <v>0</v>
      </c>
    </row>
    <row r="239" ht="21.95" customHeight="1">
      <c r="A239" s="68" t="inlineStr">
        <is>
          <t>With Smart Scan screens</t>
        </is>
      </c>
      <c r="B239" s="68" t="inlineStr">
        <is>
          <t>Central CT</t>
        </is>
      </c>
      <c r="C239" s="68" t="inlineStr">
        <is>
          <t>Disposal</t>
        </is>
      </c>
      <c r="D239" s="68" t="inlineStr">
        <is>
          <t>11:30</t>
        </is>
      </c>
      <c r="E239" s="94" t="n">
        <v>0</v>
      </c>
      <c r="F239" s="94" t="n">
        <v>0</v>
      </c>
      <c r="G239" s="94" t="n">
        <v>0</v>
      </c>
      <c r="H239" s="94" t="n">
        <v>0</v>
      </c>
      <c r="I239" s="94" t="n">
        <v>0</v>
      </c>
      <c r="J239" s="94" t="n">
        <v>0</v>
      </c>
      <c r="K239" s="94" t="n">
        <v>0</v>
      </c>
      <c r="L239" s="94" t="n">
        <v>0</v>
      </c>
    </row>
    <row r="240" ht="21.95" customHeight="1">
      <c r="A240" s="68" t="inlineStr">
        <is>
          <t>With Smart Scan screens</t>
        </is>
      </c>
      <c r="B240" s="68" t="inlineStr">
        <is>
          <t>Central CT</t>
        </is>
      </c>
      <c r="C240" s="68" t="inlineStr">
        <is>
          <t>Disposal</t>
        </is>
      </c>
      <c r="D240" s="68" t="inlineStr">
        <is>
          <t>11:40</t>
        </is>
      </c>
      <c r="E240" s="94" t="n">
        <v>0</v>
      </c>
      <c r="F240" s="94" t="n">
        <v>0</v>
      </c>
      <c r="G240" s="94" t="n">
        <v>0</v>
      </c>
      <c r="H240" s="94" t="n">
        <v>0</v>
      </c>
      <c r="I240" s="94" t="n">
        <v>0</v>
      </c>
      <c r="J240" s="94" t="n">
        <v>0</v>
      </c>
      <c r="K240" s="94" t="n">
        <v>0</v>
      </c>
      <c r="L240" s="94" t="n">
        <v>0</v>
      </c>
    </row>
    <row r="241" ht="21.95" customHeight="1">
      <c r="A241" s="68" t="inlineStr">
        <is>
          <t>With Smart Scan screens</t>
        </is>
      </c>
      <c r="B241" s="68" t="inlineStr">
        <is>
          <t>Central CT</t>
        </is>
      </c>
      <c r="C241" s="68" t="inlineStr">
        <is>
          <t>Disposal</t>
        </is>
      </c>
      <c r="D241" s="68" t="inlineStr">
        <is>
          <t>11:50</t>
        </is>
      </c>
      <c r="E241" s="94" t="n">
        <v>0</v>
      </c>
      <c r="F241" s="94" t="n">
        <v>0</v>
      </c>
      <c r="G241" s="94" t="n">
        <v>0</v>
      </c>
      <c r="H241" s="94" t="n">
        <v>0</v>
      </c>
      <c r="I241" s="94" t="n">
        <v>0</v>
      </c>
      <c r="J241" s="94" t="n">
        <v>0</v>
      </c>
      <c r="K241" s="94" t="n">
        <v>0</v>
      </c>
      <c r="L241" s="94" t="n">
        <v>0</v>
      </c>
    </row>
    <row r="242" ht="21.95" customHeight="1">
      <c r="A242" s="68" t="inlineStr">
        <is>
          <t>With Smart Scan screens</t>
        </is>
      </c>
      <c r="B242" s="68" t="inlineStr">
        <is>
          <t>Central CT</t>
        </is>
      </c>
      <c r="C242" s="68" t="inlineStr">
        <is>
          <t>Disposal</t>
        </is>
      </c>
      <c r="D242" s="68" t="inlineStr">
        <is>
          <t>12:00</t>
        </is>
      </c>
      <c r="E242" s="94" t="n">
        <v>0</v>
      </c>
      <c r="F242" s="94" t="n">
        <v>0</v>
      </c>
      <c r="G242" s="94" t="n">
        <v>0</v>
      </c>
      <c r="H242" s="94" t="n">
        <v>0</v>
      </c>
      <c r="I242" s="94" t="n">
        <v>0</v>
      </c>
      <c r="J242" s="94" t="n">
        <v>0</v>
      </c>
      <c r="K242" s="94" t="n">
        <v>0</v>
      </c>
      <c r="L242" s="94" t="n">
        <v>0</v>
      </c>
    </row>
    <row r="243" ht="21.95" customHeight="1">
      <c r="A243" s="68" t="inlineStr">
        <is>
          <t>With Smart Scan screens</t>
        </is>
      </c>
      <c r="B243" s="68" t="inlineStr">
        <is>
          <t>Central CT</t>
        </is>
      </c>
      <c r="C243" s="68" t="inlineStr">
        <is>
          <t>Disposal</t>
        </is>
      </c>
      <c r="D243" s="68" t="inlineStr">
        <is>
          <t>12:10</t>
        </is>
      </c>
      <c r="E243" s="94" t="n">
        <v>2.105</v>
      </c>
      <c r="F243" s="94" t="n">
        <v>0</v>
      </c>
      <c r="G243" s="94" t="n">
        <v>1.4924</v>
      </c>
      <c r="H243" s="94" t="n">
        <v>0</v>
      </c>
      <c r="I243" s="94" t="n">
        <v>1.9653</v>
      </c>
      <c r="J243" s="94" t="n">
        <v>0</v>
      </c>
      <c r="K243" s="94" t="n">
        <v>0</v>
      </c>
      <c r="L243" s="94" t="n">
        <v>0</v>
      </c>
    </row>
    <row r="244" ht="21.95" customHeight="1">
      <c r="A244" s="68" t="inlineStr">
        <is>
          <t>With Smart Scan screens</t>
        </is>
      </c>
      <c r="B244" s="68" t="inlineStr">
        <is>
          <t>Central CT</t>
        </is>
      </c>
      <c r="C244" s="68" t="inlineStr">
        <is>
          <t>Disposal</t>
        </is>
      </c>
      <c r="D244" s="68" t="inlineStr">
        <is>
          <t>12:20</t>
        </is>
      </c>
      <c r="E244" s="94" t="n">
        <v>15.405</v>
      </c>
      <c r="F244" s="94" t="n">
        <v>0</v>
      </c>
      <c r="G244" s="94" t="n">
        <v>1.502</v>
      </c>
      <c r="H244" s="94" t="n">
        <v>0</v>
      </c>
      <c r="I244" s="94" t="n">
        <v>22.2104</v>
      </c>
      <c r="J244" s="94" t="n">
        <v>0</v>
      </c>
      <c r="K244" s="94" t="n">
        <v>0</v>
      </c>
      <c r="L244" s="94" t="n">
        <v>0</v>
      </c>
    </row>
    <row r="245" ht="21.95" customHeight="1">
      <c r="A245" s="68" t="inlineStr">
        <is>
          <t>With Smart Scan screens</t>
        </is>
      </c>
      <c r="B245" s="68" t="inlineStr">
        <is>
          <t>Central CT</t>
        </is>
      </c>
      <c r="C245" s="68" t="inlineStr">
        <is>
          <t>Disposal</t>
        </is>
      </c>
      <c r="D245" s="68" t="inlineStr">
        <is>
          <t>12:30</t>
        </is>
      </c>
      <c r="E245" s="94" t="n">
        <v>18.475</v>
      </c>
      <c r="F245" s="94" t="n">
        <v>0</v>
      </c>
      <c r="G245" s="94" t="n">
        <v>1.5084</v>
      </c>
      <c r="H245" s="94" t="n">
        <v>0</v>
      </c>
      <c r="I245" s="94" t="n">
        <v>27.8242</v>
      </c>
      <c r="J245" s="94" t="n">
        <v>0</v>
      </c>
      <c r="K245" s="94" t="n">
        <v>0</v>
      </c>
      <c r="L245" s="94" t="n">
        <v>0</v>
      </c>
    </row>
    <row r="246" ht="21.95" customHeight="1">
      <c r="A246" s="68" t="inlineStr">
        <is>
          <t>With Smart Scan screens</t>
        </is>
      </c>
      <c r="B246" s="68" t="inlineStr">
        <is>
          <t>Central CT</t>
        </is>
      </c>
      <c r="C246" s="68" t="inlineStr">
        <is>
          <t>Disposal</t>
        </is>
      </c>
      <c r="D246" s="68" t="inlineStr">
        <is>
          <t>12:40</t>
        </is>
      </c>
      <c r="E246" s="94" t="n">
        <v>18.41</v>
      </c>
      <c r="F246" s="94" t="n">
        <v>0</v>
      </c>
      <c r="G246" s="94" t="n">
        <v>1.4886</v>
      </c>
      <c r="H246" s="94" t="n">
        <v>0</v>
      </c>
      <c r="I246" s="94" t="n">
        <v>27.4815</v>
      </c>
      <c r="J246" s="94" t="n">
        <v>0</v>
      </c>
      <c r="K246" s="94" t="n">
        <v>0</v>
      </c>
      <c r="L246" s="94" t="n">
        <v>0</v>
      </c>
    </row>
    <row r="247" ht="21.95" customHeight="1">
      <c r="A247" s="68" t="inlineStr">
        <is>
          <t>With Smart Scan screens</t>
        </is>
      </c>
      <c r="B247" s="68" t="inlineStr">
        <is>
          <t>Central CT</t>
        </is>
      </c>
      <c r="C247" s="68" t="inlineStr">
        <is>
          <t>Disposal</t>
        </is>
      </c>
      <c r="D247" s="68" t="inlineStr">
        <is>
          <t>12:50</t>
        </is>
      </c>
      <c r="E247" s="94" t="n">
        <v>20.245</v>
      </c>
      <c r="F247" s="94" t="n">
        <v>0</v>
      </c>
      <c r="G247" s="94" t="n">
        <v>1.4973</v>
      </c>
      <c r="H247" s="94" t="n">
        <v>0</v>
      </c>
      <c r="I247" s="94" t="n">
        <v>30.2178</v>
      </c>
      <c r="J247" s="94" t="n">
        <v>0</v>
      </c>
      <c r="K247" s="94" t="n">
        <v>0</v>
      </c>
      <c r="L247" s="94" t="n">
        <v>0</v>
      </c>
    </row>
    <row r="248" ht="21.95" customHeight="1">
      <c r="A248" s="68" t="inlineStr">
        <is>
          <t>With Smart Scan screens</t>
        </is>
      </c>
      <c r="B248" s="68" t="inlineStr">
        <is>
          <t>Central CT</t>
        </is>
      </c>
      <c r="C248" s="68" t="inlineStr">
        <is>
          <t>Disposal</t>
        </is>
      </c>
      <c r="D248" s="68" t="inlineStr">
        <is>
          <t>13:00</t>
        </is>
      </c>
      <c r="E248" s="94" t="n">
        <v>18.84</v>
      </c>
      <c r="F248" s="94" t="n">
        <v>0</v>
      </c>
      <c r="G248" s="94" t="n">
        <v>1.5029</v>
      </c>
      <c r="H248" s="94" t="n">
        <v>0</v>
      </c>
      <c r="I248" s="94" t="n">
        <v>28.5522</v>
      </c>
      <c r="J248" s="94" t="n">
        <v>0</v>
      </c>
      <c r="K248" s="94" t="n">
        <v>0</v>
      </c>
      <c r="L248" s="94" t="n">
        <v>0</v>
      </c>
    </row>
    <row r="249" ht="21.95" customHeight="1">
      <c r="A249" s="68" t="inlineStr">
        <is>
          <t>With Smart Scan screens</t>
        </is>
      </c>
      <c r="B249" s="68" t="inlineStr">
        <is>
          <t>Central CT</t>
        </is>
      </c>
      <c r="C249" s="68" t="inlineStr">
        <is>
          <t>Disposal</t>
        </is>
      </c>
      <c r="D249" s="68" t="inlineStr">
        <is>
          <t>13:10</t>
        </is>
      </c>
      <c r="E249" s="94" t="n">
        <v>17.395</v>
      </c>
      <c r="F249" s="94" t="n">
        <v>0</v>
      </c>
      <c r="G249" s="94" t="n">
        <v>1.4961</v>
      </c>
      <c r="H249" s="94" t="n">
        <v>0</v>
      </c>
      <c r="I249" s="94" t="n">
        <v>25.8729</v>
      </c>
      <c r="J249" s="94" t="n">
        <v>0</v>
      </c>
      <c r="K249" s="94" t="n">
        <v>0</v>
      </c>
      <c r="L249" s="94" t="n">
        <v>0</v>
      </c>
    </row>
    <row r="250" ht="21.95" customHeight="1">
      <c r="A250" s="68" t="inlineStr">
        <is>
          <t>With Smart Scan screens</t>
        </is>
      </c>
      <c r="B250" s="68" t="inlineStr">
        <is>
          <t>Central CT</t>
        </is>
      </c>
      <c r="C250" s="68" t="inlineStr">
        <is>
          <t>Disposal</t>
        </is>
      </c>
      <c r="D250" s="68" t="inlineStr">
        <is>
          <t>13:20</t>
        </is>
      </c>
      <c r="E250" s="94" t="n">
        <v>19.295</v>
      </c>
      <c r="F250" s="94" t="n">
        <v>0</v>
      </c>
      <c r="G250" s="94" t="n">
        <v>1.4954</v>
      </c>
      <c r="H250" s="94" t="n">
        <v>0</v>
      </c>
      <c r="I250" s="94" t="n">
        <v>28.5951</v>
      </c>
      <c r="J250" s="94" t="n">
        <v>0</v>
      </c>
      <c r="K250" s="94" t="n">
        <v>0</v>
      </c>
      <c r="L250" s="94" t="n">
        <v>0</v>
      </c>
    </row>
    <row r="251" ht="21.95" customHeight="1">
      <c r="A251" s="68" t="inlineStr">
        <is>
          <t>With Smart Scan screens</t>
        </is>
      </c>
      <c r="B251" s="68" t="inlineStr">
        <is>
          <t>Central CT</t>
        </is>
      </c>
      <c r="C251" s="68" t="inlineStr">
        <is>
          <t>Disposal</t>
        </is>
      </c>
      <c r="D251" s="68" t="inlineStr">
        <is>
          <t>13:30</t>
        </is>
      </c>
      <c r="E251" s="94" t="n">
        <v>19.995</v>
      </c>
      <c r="F251" s="94" t="n">
        <v>0</v>
      </c>
      <c r="G251" s="94" t="n">
        <v>1.5009</v>
      </c>
      <c r="H251" s="94" t="n">
        <v>0</v>
      </c>
      <c r="I251" s="94" t="n">
        <v>30.0682</v>
      </c>
      <c r="J251" s="94" t="n">
        <v>0</v>
      </c>
      <c r="K251" s="94" t="n">
        <v>0</v>
      </c>
      <c r="L251" s="94" t="n">
        <v>0</v>
      </c>
    </row>
    <row r="252" ht="21.95" customHeight="1">
      <c r="A252" s="68" t="inlineStr">
        <is>
          <t>With Smart Scan screens</t>
        </is>
      </c>
      <c r="B252" s="68" t="inlineStr">
        <is>
          <t>Central CT</t>
        </is>
      </c>
      <c r="C252" s="68" t="inlineStr">
        <is>
          <t>Disposal</t>
        </is>
      </c>
      <c r="D252" s="68" t="inlineStr">
        <is>
          <t>13:40</t>
        </is>
      </c>
      <c r="E252" s="94" t="n">
        <v>19.835</v>
      </c>
      <c r="F252" s="94" t="n">
        <v>0</v>
      </c>
      <c r="G252" s="94" t="n">
        <v>1.4971</v>
      </c>
      <c r="H252" s="94" t="n">
        <v>0</v>
      </c>
      <c r="I252" s="94" t="n">
        <v>29.8499</v>
      </c>
      <c r="J252" s="94" t="n">
        <v>0</v>
      </c>
      <c r="K252" s="94" t="n">
        <v>0</v>
      </c>
      <c r="L252" s="94" t="n">
        <v>0</v>
      </c>
    </row>
    <row r="253" ht="21.95" customHeight="1">
      <c r="A253" s="68" t="inlineStr">
        <is>
          <t>With Smart Scan screens</t>
        </is>
      </c>
      <c r="B253" s="68" t="inlineStr">
        <is>
          <t>Central CT</t>
        </is>
      </c>
      <c r="C253" s="68" t="inlineStr">
        <is>
          <t>Disposal</t>
        </is>
      </c>
      <c r="D253" s="68" t="inlineStr">
        <is>
          <t>13:50</t>
        </is>
      </c>
      <c r="E253" s="94" t="n">
        <v>18.74</v>
      </c>
      <c r="F253" s="94" t="n">
        <v>0</v>
      </c>
      <c r="G253" s="94" t="n">
        <v>1.4981</v>
      </c>
      <c r="H253" s="94" t="n">
        <v>0</v>
      </c>
      <c r="I253" s="94" t="n">
        <v>27.9861</v>
      </c>
      <c r="J253" s="94" t="n">
        <v>0</v>
      </c>
      <c r="K253" s="94" t="n">
        <v>0</v>
      </c>
      <c r="L253" s="94" t="n">
        <v>0</v>
      </c>
    </row>
    <row r="254" ht="21.95" customHeight="1">
      <c r="A254" s="68" t="inlineStr">
        <is>
          <t>With Smart Scan screens</t>
        </is>
      </c>
      <c r="B254" s="68" t="inlineStr">
        <is>
          <t>Central CT</t>
        </is>
      </c>
      <c r="C254" s="68" t="inlineStr">
        <is>
          <t>Disposal</t>
        </is>
      </c>
      <c r="D254" s="68" t="inlineStr">
        <is>
          <t>14:00</t>
        </is>
      </c>
      <c r="E254" s="94" t="n">
        <v>15.37</v>
      </c>
      <c r="F254" s="94" t="n">
        <v>0</v>
      </c>
      <c r="G254" s="94" t="n">
        <v>1.5009</v>
      </c>
      <c r="H254" s="94" t="n">
        <v>0</v>
      </c>
      <c r="I254" s="94" t="n">
        <v>24.2393</v>
      </c>
      <c r="J254" s="94" t="n">
        <v>0</v>
      </c>
      <c r="K254" s="94" t="n">
        <v>0</v>
      </c>
      <c r="L254" s="94" t="n">
        <v>0</v>
      </c>
    </row>
    <row r="255" ht="21.95" customHeight="1">
      <c r="A255" s="68" t="inlineStr">
        <is>
          <t>With Smart Scan screens</t>
        </is>
      </c>
      <c r="B255" s="68" t="inlineStr">
        <is>
          <t>Central CT</t>
        </is>
      </c>
      <c r="C255" s="68" t="inlineStr">
        <is>
          <t>Disposal</t>
        </is>
      </c>
      <c r="D255" s="68" t="inlineStr">
        <is>
          <t>14:10</t>
        </is>
      </c>
      <c r="E255" s="94" t="n">
        <v>5.72</v>
      </c>
      <c r="F255" s="94" t="n">
        <v>0</v>
      </c>
      <c r="G255" s="94" t="n">
        <v>1.4941</v>
      </c>
      <c r="H255" s="94" t="n">
        <v>0</v>
      </c>
      <c r="I255" s="94" t="n">
        <v>9.5205</v>
      </c>
      <c r="J255" s="94" t="n">
        <v>0</v>
      </c>
      <c r="K255" s="94" t="n">
        <v>0</v>
      </c>
      <c r="L255" s="94" t="n">
        <v>0</v>
      </c>
    </row>
    <row r="256" ht="21.95" customHeight="1">
      <c r="A256" s="68" t="inlineStr">
        <is>
          <t>With Smart Scan screens</t>
        </is>
      </c>
      <c r="B256" s="68" t="inlineStr">
        <is>
          <t>Central CT</t>
        </is>
      </c>
      <c r="C256" s="68" t="inlineStr">
        <is>
          <t>Disposal</t>
        </is>
      </c>
      <c r="D256" s="68" t="inlineStr">
        <is>
          <t>14:20</t>
        </is>
      </c>
      <c r="E256" s="94" t="n">
        <v>0.005</v>
      </c>
      <c r="F256" s="94" t="n">
        <v>0</v>
      </c>
      <c r="G256" s="94" t="n">
        <v>1.9408</v>
      </c>
      <c r="H256" s="94" t="n">
        <v>0</v>
      </c>
      <c r="I256" s="94" t="n">
        <v>0.0775</v>
      </c>
      <c r="J256" s="94" t="n">
        <v>0</v>
      </c>
      <c r="K256" s="94" t="n">
        <v>0</v>
      </c>
      <c r="L256" s="94" t="n">
        <v>0</v>
      </c>
    </row>
    <row r="257" ht="21.95" customHeight="1">
      <c r="A257" s="68" t="inlineStr">
        <is>
          <t>With Smart Scan screens</t>
        </is>
      </c>
      <c r="B257" s="68" t="inlineStr">
        <is>
          <t>Central CT</t>
        </is>
      </c>
      <c r="C257" s="68" t="inlineStr">
        <is>
          <t>Whole visit</t>
        </is>
      </c>
      <c r="D257" s="68" t="inlineStr">
        <is>
          <t>11:30</t>
        </is>
      </c>
      <c r="E257" s="94" t="n">
        <v>0</v>
      </c>
      <c r="F257" s="94" t="n">
        <v>0</v>
      </c>
      <c r="G257" s="94" t="n">
        <v>0</v>
      </c>
      <c r="H257" s="94" t="n">
        <v>0</v>
      </c>
      <c r="I257" s="94" t="n">
        <v>0</v>
      </c>
      <c r="J257" s="94" t="n">
        <v>0</v>
      </c>
      <c r="K257" s="94" t="n">
        <v>0</v>
      </c>
      <c r="L257" s="94" t="n">
        <v>0</v>
      </c>
    </row>
    <row r="258" ht="21.95" customHeight="1">
      <c r="A258" s="68" t="inlineStr">
        <is>
          <t>With Smart Scan screens</t>
        </is>
      </c>
      <c r="B258" s="68" t="inlineStr">
        <is>
          <t>Central CT</t>
        </is>
      </c>
      <c r="C258" s="68" t="inlineStr">
        <is>
          <t>Whole visit</t>
        </is>
      </c>
      <c r="D258" s="68" t="inlineStr">
        <is>
          <t>11:40</t>
        </is>
      </c>
      <c r="E258" s="94" t="n">
        <v>0</v>
      </c>
      <c r="F258" s="94" t="n">
        <v>0</v>
      </c>
      <c r="G258" s="94" t="n">
        <v>0</v>
      </c>
      <c r="H258" s="94" t="n">
        <v>0</v>
      </c>
      <c r="I258" s="94" t="n">
        <v>0</v>
      </c>
      <c r="J258" s="94" t="n">
        <v>0</v>
      </c>
      <c r="K258" s="94" t="n">
        <v>0</v>
      </c>
      <c r="L258" s="94" t="n">
        <v>0</v>
      </c>
    </row>
    <row r="259" ht="21.95" customHeight="1">
      <c r="A259" s="68" t="inlineStr">
        <is>
          <t>With Smart Scan screens</t>
        </is>
      </c>
      <c r="B259" s="68" t="inlineStr">
        <is>
          <t>Central CT</t>
        </is>
      </c>
      <c r="C259" s="68" t="inlineStr">
        <is>
          <t>Whole visit</t>
        </is>
      </c>
      <c r="D259" s="68" t="inlineStr">
        <is>
          <t>11:50</t>
        </is>
      </c>
      <c r="E259" s="94" t="n">
        <v>0</v>
      </c>
      <c r="F259" s="94" t="n">
        <v>0</v>
      </c>
      <c r="G259" s="94" t="n">
        <v>0</v>
      </c>
      <c r="H259" s="94" t="n">
        <v>0</v>
      </c>
      <c r="I259" s="94" t="n">
        <v>0</v>
      </c>
      <c r="J259" s="94" t="n">
        <v>0</v>
      </c>
      <c r="K259" s="94" t="n">
        <v>0</v>
      </c>
      <c r="L259" s="94" t="n">
        <v>0</v>
      </c>
    </row>
    <row r="260" ht="21.95" customHeight="1">
      <c r="A260" s="68" t="inlineStr">
        <is>
          <t>With Smart Scan screens</t>
        </is>
      </c>
      <c r="B260" s="68" t="inlineStr">
        <is>
          <t>Central CT</t>
        </is>
      </c>
      <c r="C260" s="68" t="inlineStr">
        <is>
          <t>Whole visit</t>
        </is>
      </c>
      <c r="D260" s="68" t="inlineStr">
        <is>
          <t>12:00</t>
        </is>
      </c>
      <c r="E260" s="94" t="n">
        <v>14.52</v>
      </c>
      <c r="F260" s="94" t="n">
        <v>0</v>
      </c>
      <c r="G260" s="94" t="n">
        <v>19.7479</v>
      </c>
      <c r="H260" s="94" t="n">
        <v>0</v>
      </c>
      <c r="I260" s="94" t="n">
        <v>66.97280000000001</v>
      </c>
      <c r="J260" s="94" t="n">
        <v>0</v>
      </c>
      <c r="K260" s="94" t="n">
        <v>0</v>
      </c>
      <c r="L260" s="94" t="n">
        <v>0</v>
      </c>
    </row>
    <row r="261" ht="21.95" customHeight="1">
      <c r="A261" s="68" t="inlineStr">
        <is>
          <t>With Smart Scan screens</t>
        </is>
      </c>
      <c r="B261" s="68" t="inlineStr">
        <is>
          <t>Central CT</t>
        </is>
      </c>
      <c r="C261" s="68" t="inlineStr">
        <is>
          <t>Whole visit</t>
        </is>
      </c>
      <c r="D261" s="68" t="inlineStr">
        <is>
          <t>12:10</t>
        </is>
      </c>
      <c r="E261" s="94" t="n">
        <v>18.77</v>
      </c>
      <c r="F261" s="94" t="n">
        <v>0</v>
      </c>
      <c r="G261" s="94" t="n">
        <v>19.9237</v>
      </c>
      <c r="H261" s="94" t="n">
        <v>0</v>
      </c>
      <c r="I261" s="94" t="n">
        <v>235.861</v>
      </c>
      <c r="J261" s="94" t="n">
        <v>0</v>
      </c>
      <c r="K261" s="94" t="n">
        <v>0</v>
      </c>
      <c r="L261" s="94" t="n">
        <v>0</v>
      </c>
    </row>
    <row r="262" ht="21.95" customHeight="1">
      <c r="A262" s="68" t="inlineStr">
        <is>
          <t>With Smart Scan screens</t>
        </is>
      </c>
      <c r="B262" s="68" t="inlineStr">
        <is>
          <t>Central CT</t>
        </is>
      </c>
      <c r="C262" s="68" t="inlineStr">
        <is>
          <t>Whole visit</t>
        </is>
      </c>
      <c r="D262" s="68" t="inlineStr">
        <is>
          <t>12:20</t>
        </is>
      </c>
      <c r="E262" s="94" t="n">
        <v>18.595</v>
      </c>
      <c r="F262" s="94" t="n">
        <v>0</v>
      </c>
      <c r="G262" s="94" t="n">
        <v>20.1778</v>
      </c>
      <c r="H262" s="94" t="n">
        <v>0</v>
      </c>
      <c r="I262" s="94" t="n">
        <v>356.943</v>
      </c>
      <c r="J262" s="94" t="n">
        <v>0</v>
      </c>
      <c r="K262" s="94" t="n">
        <v>0</v>
      </c>
      <c r="L262" s="94" t="n">
        <v>0</v>
      </c>
    </row>
    <row r="263" ht="21.95" customHeight="1">
      <c r="A263" s="68" t="inlineStr">
        <is>
          <t>With Smart Scan screens</t>
        </is>
      </c>
      <c r="B263" s="68" t="inlineStr">
        <is>
          <t>Central CT</t>
        </is>
      </c>
      <c r="C263" s="68" t="inlineStr">
        <is>
          <t>Whole visit</t>
        </is>
      </c>
      <c r="D263" s="68" t="inlineStr">
        <is>
          <t>12:30</t>
        </is>
      </c>
      <c r="E263" s="94" t="n">
        <v>21.645</v>
      </c>
      <c r="F263" s="94" t="n">
        <v>0</v>
      </c>
      <c r="G263" s="94" t="n">
        <v>20.6771</v>
      </c>
      <c r="H263" s="94" t="n">
        <v>0</v>
      </c>
      <c r="I263" s="94" t="n">
        <v>391.6819</v>
      </c>
      <c r="J263" s="94" t="n">
        <v>0</v>
      </c>
      <c r="K263" s="94" t="n">
        <v>0</v>
      </c>
      <c r="L263" s="94" t="n">
        <v>0</v>
      </c>
    </row>
    <row r="264" ht="21.95" customHeight="1">
      <c r="A264" s="68" t="inlineStr">
        <is>
          <t>With Smart Scan screens</t>
        </is>
      </c>
      <c r="B264" s="68" t="inlineStr">
        <is>
          <t>Central CT</t>
        </is>
      </c>
      <c r="C264" s="68" t="inlineStr">
        <is>
          <t>Whole visit</t>
        </is>
      </c>
      <c r="D264" s="68" t="inlineStr">
        <is>
          <t>12:40</t>
        </is>
      </c>
      <c r="E264" s="94" t="n">
        <v>18.74</v>
      </c>
      <c r="F264" s="94" t="n">
        <v>0</v>
      </c>
      <c r="G264" s="94" t="n">
        <v>20.7982</v>
      </c>
      <c r="H264" s="94" t="n">
        <v>0</v>
      </c>
      <c r="I264" s="94" t="n">
        <v>405.2623</v>
      </c>
      <c r="J264" s="94" t="n">
        <v>0</v>
      </c>
      <c r="K264" s="94" t="n">
        <v>0</v>
      </c>
      <c r="L264" s="94" t="n">
        <v>0</v>
      </c>
    </row>
    <row r="265" ht="21.95" customHeight="1">
      <c r="A265" s="68" t="inlineStr">
        <is>
          <t>With Smart Scan screens</t>
        </is>
      </c>
      <c r="B265" s="68" t="inlineStr">
        <is>
          <t>Central CT</t>
        </is>
      </c>
      <c r="C265" s="68" t="inlineStr">
        <is>
          <t>Whole visit</t>
        </is>
      </c>
      <c r="D265" s="68" t="inlineStr">
        <is>
          <t>12:50</t>
        </is>
      </c>
      <c r="E265" s="94" t="n">
        <v>15.905</v>
      </c>
      <c r="F265" s="94" t="n">
        <v>0</v>
      </c>
      <c r="G265" s="94" t="n">
        <v>20.5059</v>
      </c>
      <c r="H265" s="94" t="n">
        <v>0</v>
      </c>
      <c r="I265" s="94" t="n">
        <v>388.0646</v>
      </c>
      <c r="J265" s="94" t="n">
        <v>0</v>
      </c>
      <c r="K265" s="94" t="n">
        <v>0</v>
      </c>
      <c r="L265" s="94" t="n">
        <v>0</v>
      </c>
    </row>
    <row r="266" ht="21.95" customHeight="1">
      <c r="A266" s="68" t="inlineStr">
        <is>
          <t>With Smart Scan screens</t>
        </is>
      </c>
      <c r="B266" s="68" t="inlineStr">
        <is>
          <t>Central CT</t>
        </is>
      </c>
      <c r="C266" s="68" t="inlineStr">
        <is>
          <t>Whole visit</t>
        </is>
      </c>
      <c r="D266" s="68" t="inlineStr">
        <is>
          <t>13:00</t>
        </is>
      </c>
      <c r="E266" s="94" t="n">
        <v>21.265</v>
      </c>
      <c r="F266" s="94" t="n">
        <v>0</v>
      </c>
      <c r="G266" s="94" t="n">
        <v>20.384</v>
      </c>
      <c r="H266" s="94" t="n">
        <v>0</v>
      </c>
      <c r="I266" s="94" t="n">
        <v>364.9465</v>
      </c>
      <c r="J266" s="94" t="n">
        <v>0</v>
      </c>
      <c r="K266" s="94" t="n">
        <v>0</v>
      </c>
      <c r="L266" s="94" t="n">
        <v>0</v>
      </c>
    </row>
    <row r="267" ht="21.95" customHeight="1">
      <c r="A267" s="68" t="inlineStr">
        <is>
          <t>With Smart Scan screens</t>
        </is>
      </c>
      <c r="B267" s="68" t="inlineStr">
        <is>
          <t>Central CT</t>
        </is>
      </c>
      <c r="C267" s="68" t="inlineStr">
        <is>
          <t>Whole visit</t>
        </is>
      </c>
      <c r="D267" s="68" t="inlineStr">
        <is>
          <t>13:10</t>
        </is>
      </c>
      <c r="E267" s="94" t="n">
        <v>21.375</v>
      </c>
      <c r="F267" s="94" t="n">
        <v>0</v>
      </c>
      <c r="G267" s="94" t="n">
        <v>21.5438</v>
      </c>
      <c r="H267" s="94" t="n">
        <v>0</v>
      </c>
      <c r="I267" s="94" t="n">
        <v>408.3374</v>
      </c>
      <c r="J267" s="94" t="n">
        <v>0</v>
      </c>
      <c r="K267" s="94" t="n">
        <v>0</v>
      </c>
      <c r="L267" s="94" t="n">
        <v>0</v>
      </c>
    </row>
    <row r="268" ht="21.95" customHeight="1">
      <c r="A268" s="68" t="inlineStr">
        <is>
          <t>With Smart Scan screens</t>
        </is>
      </c>
      <c r="B268" s="68" t="inlineStr">
        <is>
          <t>Central CT</t>
        </is>
      </c>
      <c r="C268" s="68" t="inlineStr">
        <is>
          <t>Whole visit</t>
        </is>
      </c>
      <c r="D268" s="68" t="inlineStr">
        <is>
          <t>13:20</t>
        </is>
      </c>
      <c r="E268" s="94" t="n">
        <v>19.635</v>
      </c>
      <c r="F268" s="94" t="n">
        <v>0</v>
      </c>
      <c r="G268" s="94" t="n">
        <v>21.8568</v>
      </c>
      <c r="H268" s="94" t="n">
        <v>0</v>
      </c>
      <c r="I268" s="94" t="n">
        <v>434.1949</v>
      </c>
      <c r="J268" s="94" t="n">
        <v>0</v>
      </c>
      <c r="K268" s="94" t="n">
        <v>0</v>
      </c>
      <c r="L268" s="94" t="n">
        <v>0</v>
      </c>
    </row>
    <row r="269" ht="21.95" customHeight="1">
      <c r="A269" s="68" t="inlineStr">
        <is>
          <t>With Smart Scan screens</t>
        </is>
      </c>
      <c r="B269" s="68" t="inlineStr">
        <is>
          <t>Central CT</t>
        </is>
      </c>
      <c r="C269" s="68" t="inlineStr">
        <is>
          <t>Whole visit</t>
        </is>
      </c>
      <c r="D269" s="68" t="inlineStr">
        <is>
          <t>13:30</t>
        </is>
      </c>
      <c r="E269" s="94" t="n">
        <v>17.935</v>
      </c>
      <c r="F269" s="94" t="n">
        <v>0</v>
      </c>
      <c r="G269" s="94" t="n">
        <v>21.5662</v>
      </c>
      <c r="H269" s="94" t="n">
        <v>0</v>
      </c>
      <c r="I269" s="94" t="n">
        <v>424.3494</v>
      </c>
      <c r="J269" s="94" t="n">
        <v>0</v>
      </c>
      <c r="K269" s="94" t="n">
        <v>0</v>
      </c>
      <c r="L269" s="94" t="n">
        <v>0</v>
      </c>
    </row>
    <row r="270" ht="21.95" customHeight="1">
      <c r="A270" s="68" t="inlineStr">
        <is>
          <t>With Smart Scan screens</t>
        </is>
      </c>
      <c r="B270" s="68" t="inlineStr">
        <is>
          <t>Central CT</t>
        </is>
      </c>
      <c r="C270" s="68" t="inlineStr">
        <is>
          <t>Whole visit</t>
        </is>
      </c>
      <c r="D270" s="68" t="inlineStr">
        <is>
          <t>13:40</t>
        </is>
      </c>
      <c r="E270" s="94" t="n">
        <v>14.28</v>
      </c>
      <c r="F270" s="94" t="n">
        <v>0</v>
      </c>
      <c r="G270" s="94" t="n">
        <v>20.692</v>
      </c>
      <c r="H270" s="94" t="n">
        <v>0</v>
      </c>
      <c r="I270" s="94" t="n">
        <v>390.2984</v>
      </c>
      <c r="J270" s="94" t="n">
        <v>0</v>
      </c>
      <c r="K270" s="94" t="n">
        <v>0</v>
      </c>
      <c r="L270" s="94" t="n">
        <v>0</v>
      </c>
    </row>
    <row r="271" ht="21.95" customHeight="1">
      <c r="A271" s="68" t="inlineStr">
        <is>
          <t>With Smart Scan screens</t>
        </is>
      </c>
      <c r="B271" s="68" t="inlineStr">
        <is>
          <t>Central CT</t>
        </is>
      </c>
      <c r="C271" s="68" t="inlineStr">
        <is>
          <t>Whole visit</t>
        </is>
      </c>
      <c r="D271" s="68" t="inlineStr">
        <is>
          <t>13:50</t>
        </is>
      </c>
      <c r="E271" s="94" t="n">
        <v>7.17</v>
      </c>
      <c r="F271" s="94" t="n">
        <v>0</v>
      </c>
      <c r="G271" s="94" t="n">
        <v>19.6855</v>
      </c>
      <c r="H271" s="94" t="n">
        <v>0</v>
      </c>
      <c r="I271" s="94" t="n">
        <v>299.6216</v>
      </c>
      <c r="J271" s="94" t="n">
        <v>0</v>
      </c>
      <c r="K271" s="94" t="n">
        <v>0</v>
      </c>
      <c r="L271" s="94" t="n">
        <v>0</v>
      </c>
    </row>
    <row r="272" ht="21.95" customHeight="1">
      <c r="A272" s="68" t="inlineStr">
        <is>
          <t>With Smart Scan screens</t>
        </is>
      </c>
      <c r="B272" s="68" t="inlineStr">
        <is>
          <t>Central CT</t>
        </is>
      </c>
      <c r="C272" s="68" t="inlineStr">
        <is>
          <t>Whole visit</t>
        </is>
      </c>
      <c r="D272" s="68" t="inlineStr">
        <is>
          <t>14:00</t>
        </is>
      </c>
      <c r="E272" s="94" t="n">
        <v>0</v>
      </c>
      <c r="F272" s="94" t="n">
        <v>0</v>
      </c>
      <c r="G272" s="94" t="n">
        <v>0</v>
      </c>
      <c r="H272" s="94" t="n">
        <v>0</v>
      </c>
      <c r="I272" s="94" t="n">
        <v>149.6443</v>
      </c>
      <c r="J272" s="94" t="n">
        <v>0</v>
      </c>
      <c r="K272" s="94" t="n">
        <v>0</v>
      </c>
      <c r="L272" s="94" t="n">
        <v>0</v>
      </c>
    </row>
    <row r="273" ht="21.95" customHeight="1">
      <c r="A273" s="68" t="inlineStr">
        <is>
          <t>With Smart Scan screens</t>
        </is>
      </c>
      <c r="B273" s="68" t="inlineStr">
        <is>
          <t>Central CT</t>
        </is>
      </c>
      <c r="C273" s="68" t="inlineStr">
        <is>
          <t>Whole visit</t>
        </is>
      </c>
      <c r="D273" s="68" t="inlineStr">
        <is>
          <t>14:10</t>
        </is>
      </c>
      <c r="E273" s="94" t="n">
        <v>0</v>
      </c>
      <c r="F273" s="94" t="n">
        <v>0</v>
      </c>
      <c r="G273" s="94" t="n">
        <v>0</v>
      </c>
      <c r="H273" s="94" t="n">
        <v>0</v>
      </c>
      <c r="I273" s="94" t="n">
        <v>29.6547</v>
      </c>
      <c r="J273" s="94" t="n">
        <v>0</v>
      </c>
      <c r="K273" s="94" t="n">
        <v>0</v>
      </c>
      <c r="L273" s="94" t="n">
        <v>0</v>
      </c>
    </row>
    <row r="274" ht="21.95" customHeight="1">
      <c r="A274" s="68" t="inlineStr">
        <is>
          <t>With Smart Scan screens</t>
        </is>
      </c>
      <c r="B274" s="68" t="inlineStr">
        <is>
          <t>Central CT</t>
        </is>
      </c>
      <c r="C274" s="68" t="inlineStr">
        <is>
          <t>Whole visit</t>
        </is>
      </c>
      <c r="D274" s="68" t="inlineStr">
        <is>
          <t>14:20</t>
        </is>
      </c>
      <c r="E274" s="94" t="n">
        <v>0</v>
      </c>
      <c r="F274" s="94" t="n">
        <v>0</v>
      </c>
      <c r="G274" s="94" t="n">
        <v>0</v>
      </c>
      <c r="H274" s="94" t="n">
        <v>0</v>
      </c>
      <c r="I274" s="94" t="n">
        <v>0.078</v>
      </c>
      <c r="J274" s="94" t="n">
        <v>0</v>
      </c>
      <c r="K274" s="94" t="n">
        <v>0</v>
      </c>
      <c r="L274" s="94" t="n">
        <v>0</v>
      </c>
    </row>
    <row r="275" ht="21.95" customHeight="1">
      <c r="A275" s="68" t="inlineStr">
        <is>
          <t>With Smart Scan screens</t>
        </is>
      </c>
      <c r="B275" s="68" t="inlineStr">
        <is>
          <t>Munch Mess</t>
        </is>
      </c>
      <c r="C275" s="68" t="inlineStr">
        <is>
          <t>Biometric scan</t>
        </is>
      </c>
      <c r="D275" s="68" t="inlineStr">
        <is>
          <t>11:30</t>
        </is>
      </c>
      <c r="E275" s="94" t="n">
        <v>0</v>
      </c>
      <c r="F275" s="94" t="n">
        <v>0</v>
      </c>
      <c r="G275" s="94" t="n">
        <v>0</v>
      </c>
      <c r="H275" s="94" t="n">
        <v>0</v>
      </c>
      <c r="I275" s="94" t="n">
        <v>0</v>
      </c>
      <c r="J275" s="94" t="n">
        <v>0</v>
      </c>
      <c r="K275" s="94" t="n">
        <v>0</v>
      </c>
      <c r="L275" s="94" t="n">
        <v>0</v>
      </c>
    </row>
    <row r="276" ht="21.95" customHeight="1">
      <c r="A276" s="68" t="inlineStr">
        <is>
          <t>With Smart Scan screens</t>
        </is>
      </c>
      <c r="B276" s="68" t="inlineStr">
        <is>
          <t>Munch Mess</t>
        </is>
      </c>
      <c r="C276" s="68" t="inlineStr">
        <is>
          <t>Biometric scan</t>
        </is>
      </c>
      <c r="D276" s="68" t="inlineStr">
        <is>
          <t>11:40</t>
        </is>
      </c>
      <c r="E276" s="94" t="n">
        <v>0</v>
      </c>
      <c r="F276" s="94" t="n">
        <v>0</v>
      </c>
      <c r="G276" s="94" t="n">
        <v>0</v>
      </c>
      <c r="H276" s="94" t="n">
        <v>0</v>
      </c>
      <c r="I276" s="94" t="n">
        <v>0</v>
      </c>
      <c r="J276" s="94" t="n">
        <v>0</v>
      </c>
      <c r="K276" s="94" t="n">
        <v>0</v>
      </c>
      <c r="L276" s="94" t="n">
        <v>0</v>
      </c>
    </row>
    <row r="277" ht="21.95" customHeight="1">
      <c r="A277" s="68" t="inlineStr">
        <is>
          <t>With Smart Scan screens</t>
        </is>
      </c>
      <c r="B277" s="68" t="inlineStr">
        <is>
          <t>Munch Mess</t>
        </is>
      </c>
      <c r="C277" s="68" t="inlineStr">
        <is>
          <t>Biometric scan</t>
        </is>
      </c>
      <c r="D277" s="68" t="inlineStr">
        <is>
          <t>11:50</t>
        </is>
      </c>
      <c r="E277" s="94" t="n">
        <v>0</v>
      </c>
      <c r="F277" s="94" t="n">
        <v>0</v>
      </c>
      <c r="G277" s="94" t="n">
        <v>0</v>
      </c>
      <c r="H277" s="94" t="n">
        <v>0</v>
      </c>
      <c r="I277" s="94" t="n">
        <v>0</v>
      </c>
      <c r="J277" s="94" t="n">
        <v>0</v>
      </c>
      <c r="K277" s="94" t="n">
        <v>0</v>
      </c>
      <c r="L277" s="94" t="n">
        <v>0</v>
      </c>
    </row>
    <row r="278" ht="21.95" customHeight="1">
      <c r="A278" s="68" t="inlineStr">
        <is>
          <t>With Smart Scan screens</t>
        </is>
      </c>
      <c r="B278" s="68" t="inlineStr">
        <is>
          <t>Munch Mess</t>
        </is>
      </c>
      <c r="C278" s="68" t="inlineStr">
        <is>
          <t>Biometric scan</t>
        </is>
      </c>
      <c r="D278" s="68" t="inlineStr">
        <is>
          <t>12:00</t>
        </is>
      </c>
      <c r="E278" s="94" t="n">
        <v>3.88</v>
      </c>
      <c r="F278" s="94" t="n">
        <v>0.003</v>
      </c>
      <c r="G278" s="94" t="n">
        <v>0.0333</v>
      </c>
      <c r="H278" s="94" t="n">
        <v>0.0117</v>
      </c>
      <c r="I278" s="94" t="n">
        <v>0.1293</v>
      </c>
      <c r="J278" s="94" t="n">
        <v>0</v>
      </c>
      <c r="K278" s="94" t="n">
        <v>0</v>
      </c>
      <c r="L278" s="94" t="n">
        <v>0</v>
      </c>
    </row>
    <row r="279" ht="21.95" customHeight="1">
      <c r="A279" s="68" t="inlineStr">
        <is>
          <t>With Smart Scan screens</t>
        </is>
      </c>
      <c r="B279" s="68" t="inlineStr">
        <is>
          <t>Munch Mess</t>
        </is>
      </c>
      <c r="C279" s="68" t="inlineStr">
        <is>
          <t>Biometric scan</t>
        </is>
      </c>
      <c r="D279" s="68" t="inlineStr">
        <is>
          <t>12:10</t>
        </is>
      </c>
      <c r="E279" s="94" t="n">
        <v>4.64</v>
      </c>
      <c r="F279" s="94" t="n">
        <v>0.003</v>
      </c>
      <c r="G279" s="94" t="n">
        <v>0.0334</v>
      </c>
      <c r="H279" s="94" t="n">
        <v>0.0138</v>
      </c>
      <c r="I279" s="94" t="n">
        <v>0.1551</v>
      </c>
      <c r="J279" s="94" t="n">
        <v>0</v>
      </c>
      <c r="K279" s="94" t="n">
        <v>0</v>
      </c>
      <c r="L279" s="94" t="n">
        <v>0</v>
      </c>
    </row>
    <row r="280" ht="21.95" customHeight="1">
      <c r="A280" s="68" t="inlineStr">
        <is>
          <t>With Smart Scan screens</t>
        </is>
      </c>
      <c r="B280" s="68" t="inlineStr">
        <is>
          <t>Munch Mess</t>
        </is>
      </c>
      <c r="C280" s="68" t="inlineStr">
        <is>
          <t>Biometric scan</t>
        </is>
      </c>
      <c r="D280" s="68" t="inlineStr">
        <is>
          <t>12:20</t>
        </is>
      </c>
      <c r="E280" s="94" t="n">
        <v>4.995</v>
      </c>
      <c r="F280" s="94" t="n">
        <v>0.0044</v>
      </c>
      <c r="G280" s="94" t="n">
        <v>0.0338</v>
      </c>
      <c r="H280" s="94" t="n">
        <v>0.0221</v>
      </c>
      <c r="I280" s="94" t="n">
        <v>0.1688</v>
      </c>
      <c r="J280" s="94" t="n">
        <v>0</v>
      </c>
      <c r="K280" s="94" t="n">
        <v>0</v>
      </c>
      <c r="L280" s="94" t="n">
        <v>0</v>
      </c>
    </row>
    <row r="281" ht="21.95" customHeight="1">
      <c r="A281" s="68" t="inlineStr">
        <is>
          <t>With Smart Scan screens</t>
        </is>
      </c>
      <c r="B281" s="68" t="inlineStr">
        <is>
          <t>Munch Mess</t>
        </is>
      </c>
      <c r="C281" s="68" t="inlineStr">
        <is>
          <t>Biometric scan</t>
        </is>
      </c>
      <c r="D281" s="68" t="inlineStr">
        <is>
          <t>12:30</t>
        </is>
      </c>
      <c r="E281" s="94" t="n">
        <v>6.985</v>
      </c>
      <c r="F281" s="94" t="n">
        <v>0.008</v>
      </c>
      <c r="G281" s="94" t="n">
        <v>0.0335</v>
      </c>
      <c r="H281" s="94" t="n">
        <v>0.0555</v>
      </c>
      <c r="I281" s="94" t="n">
        <v>0.2336</v>
      </c>
      <c r="J281" s="94" t="n">
        <v>0</v>
      </c>
      <c r="K281" s="94" t="n">
        <v>0</v>
      </c>
      <c r="L281" s="94" t="n">
        <v>0</v>
      </c>
    </row>
    <row r="282" ht="21.95" customHeight="1">
      <c r="A282" s="68" t="inlineStr">
        <is>
          <t>With Smart Scan screens</t>
        </is>
      </c>
      <c r="B282" s="68" t="inlineStr">
        <is>
          <t>Munch Mess</t>
        </is>
      </c>
      <c r="C282" s="68" t="inlineStr">
        <is>
          <t>Biometric scan</t>
        </is>
      </c>
      <c r="D282" s="68" t="inlineStr">
        <is>
          <t>12:40</t>
        </is>
      </c>
      <c r="E282" s="94" t="n">
        <v>6.885</v>
      </c>
      <c r="F282" s="94" t="n">
        <v>0.0086</v>
      </c>
      <c r="G282" s="94" t="n">
        <v>0.0336</v>
      </c>
      <c r="H282" s="94" t="n">
        <v>0.0589</v>
      </c>
      <c r="I282" s="94" t="n">
        <v>0.2319</v>
      </c>
      <c r="J282" s="94" t="n">
        <v>0</v>
      </c>
      <c r="K282" s="94" t="n">
        <v>0</v>
      </c>
      <c r="L282" s="94" t="n">
        <v>0</v>
      </c>
    </row>
    <row r="283" ht="21.95" customHeight="1">
      <c r="A283" s="68" t="inlineStr">
        <is>
          <t>With Smart Scan screens</t>
        </is>
      </c>
      <c r="B283" s="68" t="inlineStr">
        <is>
          <t>Munch Mess</t>
        </is>
      </c>
      <c r="C283" s="68" t="inlineStr">
        <is>
          <t>Biometric scan</t>
        </is>
      </c>
      <c r="D283" s="68" t="inlineStr">
        <is>
          <t>12:50</t>
        </is>
      </c>
      <c r="E283" s="94" t="n">
        <v>5.445</v>
      </c>
      <c r="F283" s="94" t="n">
        <v>0.0075</v>
      </c>
      <c r="G283" s="94" t="n">
        <v>0.0332</v>
      </c>
      <c r="H283" s="94" t="n">
        <v>0.0411</v>
      </c>
      <c r="I283" s="94" t="n">
        <v>0.1809</v>
      </c>
      <c r="J283" s="94" t="n">
        <v>0</v>
      </c>
      <c r="K283" s="94" t="n">
        <v>0</v>
      </c>
      <c r="L283" s="94" t="n">
        <v>0</v>
      </c>
    </row>
    <row r="284" ht="21.95" customHeight="1">
      <c r="A284" s="68" t="inlineStr">
        <is>
          <t>With Smart Scan screens</t>
        </is>
      </c>
      <c r="B284" s="68" t="inlineStr">
        <is>
          <t>Munch Mess</t>
        </is>
      </c>
      <c r="C284" s="68" t="inlineStr">
        <is>
          <t>Biometric scan</t>
        </is>
      </c>
      <c r="D284" s="68" t="inlineStr">
        <is>
          <t>13:00</t>
        </is>
      </c>
      <c r="E284" s="94" t="n">
        <v>6.82</v>
      </c>
      <c r="F284" s="94" t="n">
        <v>0.0105</v>
      </c>
      <c r="G284" s="94" t="n">
        <v>0.0332</v>
      </c>
      <c r="H284" s="94" t="n">
        <v>0.0701</v>
      </c>
      <c r="I284" s="94" t="n">
        <v>0.2241</v>
      </c>
      <c r="J284" s="94" t="n">
        <v>0</v>
      </c>
      <c r="K284" s="94" t="n">
        <v>0</v>
      </c>
      <c r="L284" s="94" t="n">
        <v>0</v>
      </c>
    </row>
    <row r="285" ht="21.95" customHeight="1">
      <c r="A285" s="68" t="inlineStr">
        <is>
          <t>With Smart Scan screens</t>
        </is>
      </c>
      <c r="B285" s="68" t="inlineStr">
        <is>
          <t>Munch Mess</t>
        </is>
      </c>
      <c r="C285" s="68" t="inlineStr">
        <is>
          <t>Biometric scan</t>
        </is>
      </c>
      <c r="D285" s="68" t="inlineStr">
        <is>
          <t>13:10</t>
        </is>
      </c>
      <c r="E285" s="94" t="n">
        <v>15.575</v>
      </c>
      <c r="F285" s="94" t="n">
        <v>0.0262</v>
      </c>
      <c r="G285" s="94" t="n">
        <v>0.033</v>
      </c>
      <c r="H285" s="94" t="n">
        <v>0.4087</v>
      </c>
      <c r="I285" s="94" t="n">
        <v>0.515</v>
      </c>
      <c r="J285" s="94" t="n">
        <v>0</v>
      </c>
      <c r="K285" s="94" t="n">
        <v>0</v>
      </c>
      <c r="L285" s="94" t="n">
        <v>0</v>
      </c>
    </row>
    <row r="286" ht="21.95" customHeight="1">
      <c r="A286" s="68" t="inlineStr">
        <is>
          <t>With Smart Scan screens</t>
        </is>
      </c>
      <c r="B286" s="68" t="inlineStr">
        <is>
          <t>Munch Mess</t>
        </is>
      </c>
      <c r="C286" s="68" t="inlineStr">
        <is>
          <t>Biometric scan</t>
        </is>
      </c>
      <c r="D286" s="68" t="inlineStr">
        <is>
          <t>13:20</t>
        </is>
      </c>
      <c r="E286" s="94" t="n">
        <v>16.015</v>
      </c>
      <c r="F286" s="94" t="n">
        <v>0.0349</v>
      </c>
      <c r="G286" s="94" t="n">
        <v>0.0334</v>
      </c>
      <c r="H286" s="94" t="n">
        <v>0.5589</v>
      </c>
      <c r="I286" s="94" t="n">
        <v>0.5363</v>
      </c>
      <c r="J286" s="94" t="n">
        <v>0</v>
      </c>
      <c r="K286" s="94" t="n">
        <v>0</v>
      </c>
      <c r="L286" s="94" t="n">
        <v>0</v>
      </c>
    </row>
    <row r="287" ht="21.95" customHeight="1">
      <c r="A287" s="68" t="inlineStr">
        <is>
          <t>With Smart Scan screens</t>
        </is>
      </c>
      <c r="B287" s="68" t="inlineStr">
        <is>
          <t>Munch Mess</t>
        </is>
      </c>
      <c r="C287" s="68" t="inlineStr">
        <is>
          <t>Biometric scan</t>
        </is>
      </c>
      <c r="D287" s="68" t="inlineStr">
        <is>
          <t>13:30</t>
        </is>
      </c>
      <c r="E287" s="94" t="n">
        <v>9.065</v>
      </c>
      <c r="F287" s="94" t="n">
        <v>0.0148</v>
      </c>
      <c r="G287" s="94" t="n">
        <v>0.0335</v>
      </c>
      <c r="H287" s="94" t="n">
        <v>0.1323</v>
      </c>
      <c r="I287" s="94" t="n">
        <v>0.3033</v>
      </c>
      <c r="J287" s="94" t="n">
        <v>0</v>
      </c>
      <c r="K287" s="94" t="n">
        <v>0</v>
      </c>
      <c r="L287" s="94" t="n">
        <v>0</v>
      </c>
    </row>
    <row r="288" ht="21.95" customHeight="1">
      <c r="A288" s="68" t="inlineStr">
        <is>
          <t>With Smart Scan screens</t>
        </is>
      </c>
      <c r="B288" s="68" t="inlineStr">
        <is>
          <t>Munch Mess</t>
        </is>
      </c>
      <c r="C288" s="68" t="inlineStr">
        <is>
          <t>Biometric scan</t>
        </is>
      </c>
      <c r="D288" s="68" t="inlineStr">
        <is>
          <t>13:40</t>
        </is>
      </c>
      <c r="E288" s="94" t="n">
        <v>3.83</v>
      </c>
      <c r="F288" s="94" t="n">
        <v>0.0041</v>
      </c>
      <c r="G288" s="94" t="n">
        <v>0.0334</v>
      </c>
      <c r="H288" s="94" t="n">
        <v>0.0185</v>
      </c>
      <c r="I288" s="94" t="n">
        <v>0.1291</v>
      </c>
      <c r="J288" s="94" t="n">
        <v>0</v>
      </c>
      <c r="K288" s="94" t="n">
        <v>0</v>
      </c>
      <c r="L288" s="94" t="n">
        <v>0</v>
      </c>
    </row>
    <row r="289" ht="21.95" customHeight="1">
      <c r="A289" s="68" t="inlineStr">
        <is>
          <t>With Smart Scan screens</t>
        </is>
      </c>
      <c r="B289" s="68" t="inlineStr">
        <is>
          <t>Munch Mess</t>
        </is>
      </c>
      <c r="C289" s="68" t="inlineStr">
        <is>
          <t>Biometric scan</t>
        </is>
      </c>
      <c r="D289" s="68" t="inlineStr">
        <is>
          <t>13:50</t>
        </is>
      </c>
      <c r="E289" s="94" t="n">
        <v>1.825</v>
      </c>
      <c r="F289" s="94" t="n">
        <v>0.001</v>
      </c>
      <c r="G289" s="94" t="n">
        <v>0.0325</v>
      </c>
      <c r="H289" s="94" t="n">
        <v>0.0018</v>
      </c>
      <c r="I289" s="94" t="n">
        <v>0.0594</v>
      </c>
      <c r="J289" s="94" t="n">
        <v>0</v>
      </c>
      <c r="K289" s="94" t="n">
        <v>0</v>
      </c>
      <c r="L289" s="94" t="n">
        <v>0</v>
      </c>
    </row>
    <row r="290" ht="21.95" customHeight="1">
      <c r="A290" s="68" t="inlineStr">
        <is>
          <t>With Smart Scan screens</t>
        </is>
      </c>
      <c r="B290" s="68" t="inlineStr">
        <is>
          <t>Munch Mess</t>
        </is>
      </c>
      <c r="C290" s="68" t="inlineStr">
        <is>
          <t>Biometric scan</t>
        </is>
      </c>
      <c r="D290" s="68" t="inlineStr">
        <is>
          <t>14:00</t>
        </is>
      </c>
      <c r="E290" s="94" t="n">
        <v>0</v>
      </c>
      <c r="F290" s="94" t="n">
        <v>0</v>
      </c>
      <c r="G290" s="94" t="n">
        <v>0</v>
      </c>
      <c r="H290" s="94" t="n">
        <v>0</v>
      </c>
      <c r="I290" s="94" t="n">
        <v>0.0001</v>
      </c>
      <c r="J290" s="94" t="n">
        <v>0</v>
      </c>
      <c r="K290" s="94" t="n">
        <v>0</v>
      </c>
      <c r="L290" s="94" t="n">
        <v>0</v>
      </c>
    </row>
    <row r="291" ht="21.95" customHeight="1">
      <c r="A291" s="68" t="inlineStr">
        <is>
          <t>With Smart Scan screens</t>
        </is>
      </c>
      <c r="B291" s="68" t="inlineStr">
        <is>
          <t>Munch Mess</t>
        </is>
      </c>
      <c r="C291" s="68" t="inlineStr">
        <is>
          <t>Biometric scan</t>
        </is>
      </c>
      <c r="D291" s="68" t="inlineStr">
        <is>
          <t>14:10</t>
        </is>
      </c>
      <c r="E291" s="94" t="n">
        <v>0</v>
      </c>
      <c r="F291" s="94" t="n">
        <v>0</v>
      </c>
      <c r="G291" s="94" t="n">
        <v>0</v>
      </c>
      <c r="H291" s="94" t="n">
        <v>0</v>
      </c>
      <c r="I291" s="94" t="n">
        <v>0</v>
      </c>
      <c r="J291" s="94" t="n">
        <v>0</v>
      </c>
      <c r="K291" s="94" t="n">
        <v>0</v>
      </c>
      <c r="L291" s="94" t="n">
        <v>0</v>
      </c>
    </row>
    <row r="292" ht="21.95" customHeight="1">
      <c r="A292" s="68" t="inlineStr">
        <is>
          <t>With Smart Scan screens</t>
        </is>
      </c>
      <c r="B292" s="68" t="inlineStr">
        <is>
          <t>Munch Mess</t>
        </is>
      </c>
      <c r="C292" s="68" t="inlineStr">
        <is>
          <t>Biometric scan</t>
        </is>
      </c>
      <c r="D292" s="68" t="inlineStr">
        <is>
          <t>14:20</t>
        </is>
      </c>
      <c r="E292" s="94" t="n">
        <v>0</v>
      </c>
      <c r="F292" s="94" t="n">
        <v>0</v>
      </c>
      <c r="G292" s="94" t="n">
        <v>0</v>
      </c>
      <c r="H292" s="94" t="n">
        <v>0</v>
      </c>
      <c r="I292" s="94" t="n">
        <v>0</v>
      </c>
      <c r="J292" s="94" t="n">
        <v>0</v>
      </c>
      <c r="K292" s="94" t="n">
        <v>0</v>
      </c>
      <c r="L292" s="94" t="n">
        <v>0</v>
      </c>
    </row>
    <row r="293" ht="21.95" customHeight="1">
      <c r="A293" s="68" t="inlineStr">
        <is>
          <t>With Smart Scan screens</t>
        </is>
      </c>
      <c r="B293" s="68" t="inlineStr">
        <is>
          <t>Munch Mess</t>
        </is>
      </c>
      <c r="C293" s="68" t="inlineStr">
        <is>
          <t>Serving station</t>
        </is>
      </c>
      <c r="D293" s="68" t="inlineStr">
        <is>
          <t>11:30</t>
        </is>
      </c>
      <c r="E293" s="94" t="n">
        <v>0</v>
      </c>
      <c r="F293" s="94" t="n">
        <v>0</v>
      </c>
      <c r="G293" s="94" t="n">
        <v>0</v>
      </c>
      <c r="H293" s="94" t="n">
        <v>0</v>
      </c>
      <c r="I293" s="94" t="n">
        <v>0</v>
      </c>
      <c r="J293" s="94" t="n">
        <v>0</v>
      </c>
      <c r="K293" s="94" t="n">
        <v>0</v>
      </c>
      <c r="L293" s="94" t="n">
        <v>0</v>
      </c>
    </row>
    <row r="294" ht="21.95" customHeight="1">
      <c r="A294" s="68" t="inlineStr">
        <is>
          <t>With Smart Scan screens</t>
        </is>
      </c>
      <c r="B294" s="68" t="inlineStr">
        <is>
          <t>Munch Mess</t>
        </is>
      </c>
      <c r="C294" s="68" t="inlineStr">
        <is>
          <t>Serving station</t>
        </is>
      </c>
      <c r="D294" s="68" t="inlineStr">
        <is>
          <t>11:40</t>
        </is>
      </c>
      <c r="E294" s="94" t="n">
        <v>0</v>
      </c>
      <c r="F294" s="94" t="n">
        <v>0</v>
      </c>
      <c r="G294" s="94" t="n">
        <v>0</v>
      </c>
      <c r="H294" s="94" t="n">
        <v>0</v>
      </c>
      <c r="I294" s="94" t="n">
        <v>0</v>
      </c>
      <c r="J294" s="94" t="n">
        <v>0</v>
      </c>
      <c r="K294" s="94" t="n">
        <v>0</v>
      </c>
      <c r="L294" s="94" t="n">
        <v>0</v>
      </c>
    </row>
    <row r="295" ht="21.95" customHeight="1">
      <c r="A295" s="68" t="inlineStr">
        <is>
          <t>With Smart Scan screens</t>
        </is>
      </c>
      <c r="B295" s="68" t="inlineStr">
        <is>
          <t>Munch Mess</t>
        </is>
      </c>
      <c r="C295" s="68" t="inlineStr">
        <is>
          <t>Serving station</t>
        </is>
      </c>
      <c r="D295" s="68" t="inlineStr">
        <is>
          <t>11:50</t>
        </is>
      </c>
      <c r="E295" s="94" t="n">
        <v>0</v>
      </c>
      <c r="F295" s="94" t="n">
        <v>0</v>
      </c>
      <c r="G295" s="94" t="n">
        <v>0</v>
      </c>
      <c r="H295" s="94" t="n">
        <v>0</v>
      </c>
      <c r="I295" s="94" t="n">
        <v>0</v>
      </c>
      <c r="J295" s="94" t="n">
        <v>0</v>
      </c>
      <c r="K295" s="94" t="n">
        <v>0</v>
      </c>
      <c r="L295" s="94" t="n">
        <v>0</v>
      </c>
    </row>
    <row r="296" ht="21.95" customHeight="1">
      <c r="A296" s="68" t="inlineStr">
        <is>
          <t>With Smart Scan screens</t>
        </is>
      </c>
      <c r="B296" s="68" t="inlineStr">
        <is>
          <t>Munch Mess</t>
        </is>
      </c>
      <c r="C296" s="68" t="inlineStr">
        <is>
          <t>Serving station</t>
        </is>
      </c>
      <c r="D296" s="68" t="inlineStr">
        <is>
          <t>12:00</t>
        </is>
      </c>
      <c r="E296" s="94" t="n">
        <v>3.655</v>
      </c>
      <c r="F296" s="94" t="n">
        <v>0.0021</v>
      </c>
      <c r="G296" s="94" t="n">
        <v>0.0953</v>
      </c>
      <c r="H296" s="94" t="n">
        <v>0.0077</v>
      </c>
      <c r="I296" s="94" t="n">
        <v>0.3471</v>
      </c>
      <c r="J296" s="94" t="n">
        <v>0</v>
      </c>
      <c r="K296" s="94" t="n">
        <v>0</v>
      </c>
      <c r="L296" s="94" t="n">
        <v>0</v>
      </c>
    </row>
    <row r="297" ht="21.95" customHeight="1">
      <c r="A297" s="68" t="inlineStr">
        <is>
          <t>With Smart Scan screens</t>
        </is>
      </c>
      <c r="B297" s="68" t="inlineStr">
        <is>
          <t>Munch Mess</t>
        </is>
      </c>
      <c r="C297" s="68" t="inlineStr">
        <is>
          <t>Serving station</t>
        </is>
      </c>
      <c r="D297" s="68" t="inlineStr">
        <is>
          <t>12:10</t>
        </is>
      </c>
      <c r="E297" s="94" t="n">
        <v>4.545</v>
      </c>
      <c r="F297" s="94" t="n">
        <v>0.0034</v>
      </c>
      <c r="G297" s="94" t="n">
        <v>0.0984</v>
      </c>
      <c r="H297" s="94" t="n">
        <v>0.0154</v>
      </c>
      <c r="I297" s="94" t="n">
        <v>0.447</v>
      </c>
      <c r="J297" s="94" t="n">
        <v>0</v>
      </c>
      <c r="K297" s="94" t="n">
        <v>0</v>
      </c>
      <c r="L297" s="94" t="n">
        <v>0</v>
      </c>
    </row>
    <row r="298" ht="21.95" customHeight="1">
      <c r="A298" s="68" t="inlineStr">
        <is>
          <t>With Smart Scan screens</t>
        </is>
      </c>
      <c r="B298" s="68" t="inlineStr">
        <is>
          <t>Munch Mess</t>
        </is>
      </c>
      <c r="C298" s="68" t="inlineStr">
        <is>
          <t>Serving station</t>
        </is>
      </c>
      <c r="D298" s="68" t="inlineStr">
        <is>
          <t>12:20</t>
        </is>
      </c>
      <c r="E298" s="94" t="n">
        <v>5.02</v>
      </c>
      <c r="F298" s="94" t="n">
        <v>0.0067</v>
      </c>
      <c r="G298" s="94" t="n">
        <v>0.1007</v>
      </c>
      <c r="H298" s="94" t="n">
        <v>0.0341</v>
      </c>
      <c r="I298" s="94" t="n">
        <v>0.5024999999999999</v>
      </c>
      <c r="J298" s="94" t="n">
        <v>0</v>
      </c>
      <c r="K298" s="94" t="n">
        <v>0</v>
      </c>
      <c r="L298" s="94" t="n">
        <v>0</v>
      </c>
    </row>
    <row r="299" ht="21.95" customHeight="1">
      <c r="A299" s="68" t="inlineStr">
        <is>
          <t>With Smart Scan screens</t>
        </is>
      </c>
      <c r="B299" s="68" t="inlineStr">
        <is>
          <t>Munch Mess</t>
        </is>
      </c>
      <c r="C299" s="68" t="inlineStr">
        <is>
          <t>Serving station</t>
        </is>
      </c>
      <c r="D299" s="68" t="inlineStr">
        <is>
          <t>12:30</t>
        </is>
      </c>
      <c r="E299" s="94" t="n">
        <v>6.9</v>
      </c>
      <c r="F299" s="94" t="n">
        <v>0.0294</v>
      </c>
      <c r="G299" s="94" t="n">
        <v>0.101</v>
      </c>
      <c r="H299" s="94" t="n">
        <v>0.2026</v>
      </c>
      <c r="I299" s="94" t="n">
        <v>0.6956</v>
      </c>
      <c r="J299" s="94" t="n">
        <v>0</v>
      </c>
      <c r="K299" s="94" t="n">
        <v>0</v>
      </c>
      <c r="L299" s="94" t="n">
        <v>0</v>
      </c>
    </row>
    <row r="300" ht="21.95" customHeight="1">
      <c r="A300" s="68" t="inlineStr">
        <is>
          <t>With Smart Scan screens</t>
        </is>
      </c>
      <c r="B300" s="68" t="inlineStr">
        <is>
          <t>Munch Mess</t>
        </is>
      </c>
      <c r="C300" s="68" t="inlineStr">
        <is>
          <t>Serving station</t>
        </is>
      </c>
      <c r="D300" s="68" t="inlineStr">
        <is>
          <t>12:40</t>
        </is>
      </c>
      <c r="E300" s="94" t="n">
        <v>6.885</v>
      </c>
      <c r="F300" s="94" t="n">
        <v>0.0336</v>
      </c>
      <c r="G300" s="94" t="n">
        <v>0.0989</v>
      </c>
      <c r="H300" s="94" t="n">
        <v>0.2312</v>
      </c>
      <c r="I300" s="94" t="n">
        <v>0.6791</v>
      </c>
      <c r="J300" s="94" t="n">
        <v>0</v>
      </c>
      <c r="K300" s="94" t="n">
        <v>0</v>
      </c>
      <c r="L300" s="94" t="n">
        <v>0</v>
      </c>
    </row>
    <row r="301" ht="21.95" customHeight="1">
      <c r="A301" s="68" t="inlineStr">
        <is>
          <t>With Smart Scan screens</t>
        </is>
      </c>
      <c r="B301" s="68" t="inlineStr">
        <is>
          <t>Munch Mess</t>
        </is>
      </c>
      <c r="C301" s="68" t="inlineStr">
        <is>
          <t>Serving station</t>
        </is>
      </c>
      <c r="D301" s="68" t="inlineStr">
        <is>
          <t>12:50</t>
        </is>
      </c>
      <c r="E301" s="94" t="n">
        <v>5.52</v>
      </c>
      <c r="F301" s="94" t="n">
        <v>0.0203</v>
      </c>
      <c r="G301" s="94" t="n">
        <v>0.0979</v>
      </c>
      <c r="H301" s="94" t="n">
        <v>0.1123</v>
      </c>
      <c r="I301" s="94" t="n">
        <v>0.5452</v>
      </c>
      <c r="J301" s="94" t="n">
        <v>0</v>
      </c>
      <c r="K301" s="94" t="n">
        <v>0</v>
      </c>
      <c r="L301" s="94" t="n">
        <v>0</v>
      </c>
    </row>
    <row r="302" ht="21.95" customHeight="1">
      <c r="A302" s="68" t="inlineStr">
        <is>
          <t>With Smart Scan screens</t>
        </is>
      </c>
      <c r="B302" s="68" t="inlineStr">
        <is>
          <t>Munch Mess</t>
        </is>
      </c>
      <c r="C302" s="68" t="inlineStr">
        <is>
          <t>Serving station</t>
        </is>
      </c>
      <c r="D302" s="68" t="inlineStr">
        <is>
          <t>13:00</t>
        </is>
      </c>
      <c r="E302" s="94" t="n">
        <v>6.155</v>
      </c>
      <c r="F302" s="94" t="n">
        <v>0.0309</v>
      </c>
      <c r="G302" s="94" t="n">
        <v>0.1006</v>
      </c>
      <c r="H302" s="94" t="n">
        <v>0.1436</v>
      </c>
      <c r="I302" s="94" t="n">
        <v>0.5935</v>
      </c>
      <c r="J302" s="94" t="n">
        <v>0</v>
      </c>
      <c r="K302" s="94" t="n">
        <v>0</v>
      </c>
      <c r="L302" s="94" t="n">
        <v>0</v>
      </c>
    </row>
    <row r="303" ht="21.95" customHeight="1">
      <c r="A303" s="68" t="inlineStr">
        <is>
          <t>With Smart Scan screens</t>
        </is>
      </c>
      <c r="B303" s="68" t="inlineStr">
        <is>
          <t>Munch Mess</t>
        </is>
      </c>
      <c r="C303" s="68" t="inlineStr">
        <is>
          <t>Serving station</t>
        </is>
      </c>
      <c r="D303" s="68" t="inlineStr">
        <is>
          <t>13:10</t>
        </is>
      </c>
      <c r="E303" s="94" t="n">
        <v>15.64</v>
      </c>
      <c r="F303" s="94" t="n">
        <v>0.1334</v>
      </c>
      <c r="G303" s="94" t="n">
        <v>0.0994</v>
      </c>
      <c r="H303" s="94" t="n">
        <v>2.0936</v>
      </c>
      <c r="I303" s="94" t="n">
        <v>1.5503</v>
      </c>
      <c r="J303" s="94" t="n">
        <v>0</v>
      </c>
      <c r="K303" s="94" t="n">
        <v>0</v>
      </c>
      <c r="L303" s="94" t="n">
        <v>0</v>
      </c>
    </row>
    <row r="304" ht="21.95" customHeight="1">
      <c r="A304" s="68" t="inlineStr">
        <is>
          <t>With Smart Scan screens</t>
        </is>
      </c>
      <c r="B304" s="68" t="inlineStr">
        <is>
          <t>Munch Mess</t>
        </is>
      </c>
      <c r="C304" s="68" t="inlineStr">
        <is>
          <t>Serving station</t>
        </is>
      </c>
      <c r="D304" s="68" t="inlineStr">
        <is>
          <t>13:20</t>
        </is>
      </c>
      <c r="E304" s="94" t="n">
        <v>15.9</v>
      </c>
      <c r="F304" s="94" t="n">
        <v>0.1552</v>
      </c>
      <c r="G304" s="94" t="n">
        <v>0.0992</v>
      </c>
      <c r="H304" s="94" t="n">
        <v>2.4765</v>
      </c>
      <c r="I304" s="94" t="n">
        <v>1.5762</v>
      </c>
      <c r="J304" s="94" t="n">
        <v>0</v>
      </c>
      <c r="K304" s="94" t="n">
        <v>0</v>
      </c>
      <c r="L304" s="94" t="n">
        <v>0</v>
      </c>
    </row>
    <row r="305" ht="21.95" customHeight="1">
      <c r="A305" s="68" t="inlineStr">
        <is>
          <t>With Smart Scan screens</t>
        </is>
      </c>
      <c r="B305" s="68" t="inlineStr">
        <is>
          <t>Munch Mess</t>
        </is>
      </c>
      <c r="C305" s="68" t="inlineStr">
        <is>
          <t>Serving station</t>
        </is>
      </c>
      <c r="D305" s="68" t="inlineStr">
        <is>
          <t>13:30</t>
        </is>
      </c>
      <c r="E305" s="94" t="n">
        <v>9.67</v>
      </c>
      <c r="F305" s="94" t="n">
        <v>0.0851</v>
      </c>
      <c r="G305" s="94" t="n">
        <v>0.0992</v>
      </c>
      <c r="H305" s="94" t="n">
        <v>0.8525</v>
      </c>
      <c r="I305" s="94" t="n">
        <v>0.989</v>
      </c>
      <c r="J305" s="94" t="n">
        <v>0</v>
      </c>
      <c r="K305" s="94" t="n">
        <v>0</v>
      </c>
      <c r="L305" s="94" t="n">
        <v>0</v>
      </c>
    </row>
    <row r="306" ht="21.95" customHeight="1">
      <c r="A306" s="68" t="inlineStr">
        <is>
          <t>With Smart Scan screens</t>
        </is>
      </c>
      <c r="B306" s="68" t="inlineStr">
        <is>
          <t>Munch Mess</t>
        </is>
      </c>
      <c r="C306" s="68" t="inlineStr">
        <is>
          <t>Serving station</t>
        </is>
      </c>
      <c r="D306" s="68" t="inlineStr">
        <is>
          <t>13:40</t>
        </is>
      </c>
      <c r="E306" s="94" t="n">
        <v>4.1</v>
      </c>
      <c r="F306" s="94" t="n">
        <v>0.0111</v>
      </c>
      <c r="G306" s="94" t="n">
        <v>0.1</v>
      </c>
      <c r="H306" s="94" t="n">
        <v>0.0464</v>
      </c>
      <c r="I306" s="94" t="n">
        <v>0.4144</v>
      </c>
      <c r="J306" s="94" t="n">
        <v>0</v>
      </c>
      <c r="K306" s="94" t="n">
        <v>0</v>
      </c>
      <c r="L306" s="94" t="n">
        <v>0</v>
      </c>
    </row>
    <row r="307" ht="21.95" customHeight="1">
      <c r="A307" s="68" t="inlineStr">
        <is>
          <t>With Smart Scan screens</t>
        </is>
      </c>
      <c r="B307" s="68" t="inlineStr">
        <is>
          <t>Munch Mess</t>
        </is>
      </c>
      <c r="C307" s="68" t="inlineStr">
        <is>
          <t>Serving station</t>
        </is>
      </c>
      <c r="D307" s="68" t="inlineStr">
        <is>
          <t>13:50</t>
        </is>
      </c>
      <c r="E307" s="94" t="n">
        <v>1.895</v>
      </c>
      <c r="F307" s="94" t="n">
        <v>0.0004</v>
      </c>
      <c r="G307" s="94" t="n">
        <v>0.0956</v>
      </c>
      <c r="H307" s="94" t="n">
        <v>0.0008</v>
      </c>
      <c r="I307" s="94" t="n">
        <v>0.1819</v>
      </c>
      <c r="J307" s="94" t="n">
        <v>0</v>
      </c>
      <c r="K307" s="94" t="n">
        <v>0</v>
      </c>
      <c r="L307" s="94" t="n">
        <v>0</v>
      </c>
    </row>
    <row r="308" ht="21.95" customHeight="1">
      <c r="A308" s="68" t="inlineStr">
        <is>
          <t>With Smart Scan screens</t>
        </is>
      </c>
      <c r="B308" s="68" t="inlineStr">
        <is>
          <t>Munch Mess</t>
        </is>
      </c>
      <c r="C308" s="68" t="inlineStr">
        <is>
          <t>Serving station</t>
        </is>
      </c>
      <c r="D308" s="68" t="inlineStr">
        <is>
          <t>14:00</t>
        </is>
      </c>
      <c r="E308" s="94" t="n">
        <v>0.075</v>
      </c>
      <c r="F308" s="94" t="n">
        <v>0</v>
      </c>
      <c r="G308" s="94" t="n">
        <v>0.1062</v>
      </c>
      <c r="H308" s="94" t="n">
        <v>0</v>
      </c>
      <c r="I308" s="94" t="n">
        <v>0.008</v>
      </c>
      <c r="J308" s="94" t="n">
        <v>0</v>
      </c>
      <c r="K308" s="94" t="n">
        <v>0</v>
      </c>
      <c r="L308" s="94" t="n">
        <v>0</v>
      </c>
    </row>
    <row r="309" ht="21.95" customHeight="1">
      <c r="A309" s="68" t="inlineStr">
        <is>
          <t>With Smart Scan screens</t>
        </is>
      </c>
      <c r="B309" s="68" t="inlineStr">
        <is>
          <t>Munch Mess</t>
        </is>
      </c>
      <c r="C309" s="68" t="inlineStr">
        <is>
          <t>Serving station</t>
        </is>
      </c>
      <c r="D309" s="68" t="inlineStr">
        <is>
          <t>14:10</t>
        </is>
      </c>
      <c r="E309" s="94" t="n">
        <v>0</v>
      </c>
      <c r="F309" s="94" t="n">
        <v>0</v>
      </c>
      <c r="G309" s="94" t="n">
        <v>0</v>
      </c>
      <c r="H309" s="94" t="n">
        <v>0</v>
      </c>
      <c r="I309" s="94" t="n">
        <v>0</v>
      </c>
      <c r="J309" s="94" t="n">
        <v>0</v>
      </c>
      <c r="K309" s="94" t="n">
        <v>0</v>
      </c>
      <c r="L309" s="94" t="n">
        <v>0</v>
      </c>
    </row>
    <row r="310" ht="21.95" customHeight="1">
      <c r="A310" s="68" t="inlineStr">
        <is>
          <t>With Smart Scan screens</t>
        </is>
      </c>
      <c r="B310" s="68" t="inlineStr">
        <is>
          <t>Munch Mess</t>
        </is>
      </c>
      <c r="C310" s="68" t="inlineStr">
        <is>
          <t>Serving station</t>
        </is>
      </c>
      <c r="D310" s="68" t="inlineStr">
        <is>
          <t>14:20</t>
        </is>
      </c>
      <c r="E310" s="94" t="n">
        <v>0</v>
      </c>
      <c r="F310" s="94" t="n">
        <v>0</v>
      </c>
      <c r="G310" s="94" t="n">
        <v>0</v>
      </c>
      <c r="H310" s="94" t="n">
        <v>0</v>
      </c>
      <c r="I310" s="94" t="n">
        <v>0</v>
      </c>
      <c r="J310" s="94" t="n">
        <v>0</v>
      </c>
      <c r="K310" s="94" t="n">
        <v>0</v>
      </c>
      <c r="L310" s="94" t="n">
        <v>0</v>
      </c>
    </row>
    <row r="311" ht="21.95" customHeight="1">
      <c r="A311" s="68" t="inlineStr">
        <is>
          <t>With Smart Scan screens</t>
        </is>
      </c>
      <c r="B311" s="68" t="inlineStr">
        <is>
          <t>Munch Mess</t>
        </is>
      </c>
      <c r="C311" s="68" t="inlineStr">
        <is>
          <t>Seat (eating)</t>
        </is>
      </c>
      <c r="D311" s="68" t="inlineStr">
        <is>
          <t>11:30</t>
        </is>
      </c>
      <c r="E311" s="94" t="n">
        <v>0</v>
      </c>
      <c r="F311" s="94" t="n">
        <v>0</v>
      </c>
      <c r="G311" s="94" t="n">
        <v>0</v>
      </c>
      <c r="H311" s="94" t="n">
        <v>0</v>
      </c>
      <c r="I311" s="94" t="n">
        <v>0</v>
      </c>
      <c r="J311" s="94" t="n">
        <v>0</v>
      </c>
      <c r="K311" s="94" t="n">
        <v>0</v>
      </c>
      <c r="L311" s="94" t="n">
        <v>0</v>
      </c>
    </row>
    <row r="312" ht="21.95" customHeight="1">
      <c r="A312" s="68" t="inlineStr">
        <is>
          <t>With Smart Scan screens</t>
        </is>
      </c>
      <c r="B312" s="68" t="inlineStr">
        <is>
          <t>Munch Mess</t>
        </is>
      </c>
      <c r="C312" s="68" t="inlineStr">
        <is>
          <t>Seat (eating)</t>
        </is>
      </c>
      <c r="D312" s="68" t="inlineStr">
        <is>
          <t>11:40</t>
        </is>
      </c>
      <c r="E312" s="94" t="n">
        <v>0</v>
      </c>
      <c r="F312" s="94" t="n">
        <v>0</v>
      </c>
      <c r="G312" s="94" t="n">
        <v>0</v>
      </c>
      <c r="H312" s="94" t="n">
        <v>0</v>
      </c>
      <c r="I312" s="94" t="n">
        <v>0</v>
      </c>
      <c r="J312" s="94" t="n">
        <v>0</v>
      </c>
      <c r="K312" s="94" t="n">
        <v>0</v>
      </c>
      <c r="L312" s="94" t="n">
        <v>0</v>
      </c>
    </row>
    <row r="313" ht="21.95" customHeight="1">
      <c r="A313" s="68" t="inlineStr">
        <is>
          <t>With Smart Scan screens</t>
        </is>
      </c>
      <c r="B313" s="68" t="inlineStr">
        <is>
          <t>Munch Mess</t>
        </is>
      </c>
      <c r="C313" s="68" t="inlineStr">
        <is>
          <t>Seat (eating)</t>
        </is>
      </c>
      <c r="D313" s="68" t="inlineStr">
        <is>
          <t>11:50</t>
        </is>
      </c>
      <c r="E313" s="94" t="n">
        <v>0</v>
      </c>
      <c r="F313" s="94" t="n">
        <v>0</v>
      </c>
      <c r="G313" s="94" t="n">
        <v>0</v>
      </c>
      <c r="H313" s="94" t="n">
        <v>0</v>
      </c>
      <c r="I313" s="94" t="n">
        <v>0</v>
      </c>
      <c r="J313" s="94" t="n">
        <v>0</v>
      </c>
      <c r="K313" s="94" t="n">
        <v>0</v>
      </c>
      <c r="L313" s="94" t="n">
        <v>0</v>
      </c>
    </row>
    <row r="314" ht="21.95" customHeight="1">
      <c r="A314" s="68" t="inlineStr">
        <is>
          <t>With Smart Scan screens</t>
        </is>
      </c>
      <c r="B314" s="68" t="inlineStr">
        <is>
          <t>Munch Mess</t>
        </is>
      </c>
      <c r="C314" s="68" t="inlineStr">
        <is>
          <t>Seat (eating)</t>
        </is>
      </c>
      <c r="D314" s="68" t="inlineStr">
        <is>
          <t>12:00</t>
        </is>
      </c>
      <c r="E314" s="94" t="n">
        <v>3.07</v>
      </c>
      <c r="F314" s="94" t="n">
        <v>0</v>
      </c>
      <c r="G314" s="94" t="n">
        <v>16.0073</v>
      </c>
      <c r="H314" s="94" t="n">
        <v>0</v>
      </c>
      <c r="I314" s="94" t="n">
        <v>11.6759</v>
      </c>
      <c r="J314" s="94" t="n">
        <v>0</v>
      </c>
      <c r="K314" s="94" t="n">
        <v>0</v>
      </c>
      <c r="L314" s="94" t="n">
        <v>0</v>
      </c>
    </row>
    <row r="315" ht="21.95" customHeight="1">
      <c r="A315" s="68" t="inlineStr">
        <is>
          <t>With Smart Scan screens</t>
        </is>
      </c>
      <c r="B315" s="68" t="inlineStr">
        <is>
          <t>Munch Mess</t>
        </is>
      </c>
      <c r="C315" s="68" t="inlineStr">
        <is>
          <t>Seat (eating)</t>
        </is>
      </c>
      <c r="D315" s="68" t="inlineStr">
        <is>
          <t>12:10</t>
        </is>
      </c>
      <c r="E315" s="94" t="n">
        <v>4.47</v>
      </c>
      <c r="F315" s="94" t="n">
        <v>0</v>
      </c>
      <c r="G315" s="94" t="n">
        <v>16.1394</v>
      </c>
      <c r="H315" s="94" t="n">
        <v>0</v>
      </c>
      <c r="I315" s="94" t="n">
        <v>51.514</v>
      </c>
      <c r="J315" s="94" t="n">
        <v>0</v>
      </c>
      <c r="K315" s="94" t="n">
        <v>0</v>
      </c>
      <c r="L315" s="94" t="n">
        <v>0</v>
      </c>
    </row>
    <row r="316" ht="21.95" customHeight="1">
      <c r="A316" s="68" t="inlineStr">
        <is>
          <t>With Smart Scan screens</t>
        </is>
      </c>
      <c r="B316" s="68" t="inlineStr">
        <is>
          <t>Munch Mess</t>
        </is>
      </c>
      <c r="C316" s="68" t="inlineStr">
        <is>
          <t>Seat (eating)</t>
        </is>
      </c>
      <c r="D316" s="68" t="inlineStr">
        <is>
          <t>12:20</t>
        </is>
      </c>
      <c r="E316" s="94" t="n">
        <v>4.935</v>
      </c>
      <c r="F316" s="94" t="n">
        <v>0</v>
      </c>
      <c r="G316" s="94" t="n">
        <v>16.0301</v>
      </c>
      <c r="H316" s="94" t="n">
        <v>0</v>
      </c>
      <c r="I316" s="94" t="n">
        <v>73.5801</v>
      </c>
      <c r="J316" s="94" t="n">
        <v>0</v>
      </c>
      <c r="K316" s="94" t="n">
        <v>0</v>
      </c>
      <c r="L316" s="94" t="n">
        <v>0</v>
      </c>
    </row>
    <row r="317" ht="21.95" customHeight="1">
      <c r="A317" s="68" t="inlineStr">
        <is>
          <t>With Smart Scan screens</t>
        </is>
      </c>
      <c r="B317" s="68" t="inlineStr">
        <is>
          <t>Munch Mess</t>
        </is>
      </c>
      <c r="C317" s="68" t="inlineStr">
        <is>
          <t>Seat (eating)</t>
        </is>
      </c>
      <c r="D317" s="68" t="inlineStr">
        <is>
          <t>12:30</t>
        </is>
      </c>
      <c r="E317" s="94" t="n">
        <v>6.735</v>
      </c>
      <c r="F317" s="94" t="n">
        <v>0</v>
      </c>
      <c r="G317" s="94" t="n">
        <v>16.0375</v>
      </c>
      <c r="H317" s="94" t="n">
        <v>0</v>
      </c>
      <c r="I317" s="94" t="n">
        <v>84.4799</v>
      </c>
      <c r="J317" s="94" t="n">
        <v>0</v>
      </c>
      <c r="K317" s="94" t="n">
        <v>0</v>
      </c>
      <c r="L317" s="94" t="n">
        <v>0</v>
      </c>
    </row>
    <row r="318" ht="21.95" customHeight="1">
      <c r="A318" s="68" t="inlineStr">
        <is>
          <t>With Smart Scan screens</t>
        </is>
      </c>
      <c r="B318" s="68" t="inlineStr">
        <is>
          <t>Munch Mess</t>
        </is>
      </c>
      <c r="C318" s="68" t="inlineStr">
        <is>
          <t>Seat (eating)</t>
        </is>
      </c>
      <c r="D318" s="68" t="inlineStr">
        <is>
          <t>12:40</t>
        </is>
      </c>
      <c r="E318" s="94" t="n">
        <v>6.995</v>
      </c>
      <c r="F318" s="94" t="n">
        <v>0</v>
      </c>
      <c r="G318" s="94" t="n">
        <v>15.998</v>
      </c>
      <c r="H318" s="94" t="n">
        <v>0</v>
      </c>
      <c r="I318" s="94" t="n">
        <v>106.4273</v>
      </c>
      <c r="J318" s="94" t="n">
        <v>0</v>
      </c>
      <c r="K318" s="94" t="n">
        <v>0</v>
      </c>
      <c r="L318" s="94" t="n">
        <v>0</v>
      </c>
    </row>
    <row r="319" ht="21.95" customHeight="1">
      <c r="A319" s="68" t="inlineStr">
        <is>
          <t>With Smart Scan screens</t>
        </is>
      </c>
      <c r="B319" s="68" t="inlineStr">
        <is>
          <t>Munch Mess</t>
        </is>
      </c>
      <c r="C319" s="68" t="inlineStr">
        <is>
          <t>Seat (eating)</t>
        </is>
      </c>
      <c r="D319" s="68" t="inlineStr">
        <is>
          <t>12:50</t>
        </is>
      </c>
      <c r="E319" s="94" t="n">
        <v>5.735</v>
      </c>
      <c r="F319" s="94" t="n">
        <v>0</v>
      </c>
      <c r="G319" s="94" t="n">
        <v>16.0033</v>
      </c>
      <c r="H319" s="94" t="n">
        <v>0</v>
      </c>
      <c r="I319" s="94" t="n">
        <v>108.2554</v>
      </c>
      <c r="J319" s="94" t="n">
        <v>0</v>
      </c>
      <c r="K319" s="94" t="n">
        <v>0</v>
      </c>
      <c r="L319" s="94" t="n">
        <v>0</v>
      </c>
    </row>
    <row r="320" ht="21.95" customHeight="1">
      <c r="A320" s="68" t="inlineStr">
        <is>
          <t>With Smart Scan screens</t>
        </is>
      </c>
      <c r="B320" s="68" t="inlineStr">
        <is>
          <t>Munch Mess</t>
        </is>
      </c>
      <c r="C320" s="68" t="inlineStr">
        <is>
          <t>Seat (eating)</t>
        </is>
      </c>
      <c r="D320" s="68" t="inlineStr">
        <is>
          <t>13:00</t>
        </is>
      </c>
      <c r="E320" s="94" t="n">
        <v>5.025</v>
      </c>
      <c r="F320" s="94" t="n">
        <v>0</v>
      </c>
      <c r="G320" s="94" t="n">
        <v>16.0136</v>
      </c>
      <c r="H320" s="94" t="n">
        <v>0</v>
      </c>
      <c r="I320" s="94" t="n">
        <v>88.0719</v>
      </c>
      <c r="J320" s="94" t="n">
        <v>0</v>
      </c>
      <c r="K320" s="94" t="n">
        <v>0</v>
      </c>
      <c r="L320" s="94" t="n">
        <v>0</v>
      </c>
    </row>
    <row r="321" ht="21.95" customHeight="1">
      <c r="A321" s="68" t="inlineStr">
        <is>
          <t>With Smart Scan screens</t>
        </is>
      </c>
      <c r="B321" s="68" t="inlineStr">
        <is>
          <t>Munch Mess</t>
        </is>
      </c>
      <c r="C321" s="68" t="inlineStr">
        <is>
          <t>Seat (eating)</t>
        </is>
      </c>
      <c r="D321" s="68" t="inlineStr">
        <is>
          <t>13:10</t>
        </is>
      </c>
      <c r="E321" s="94" t="n">
        <v>14.7</v>
      </c>
      <c r="F321" s="94" t="n">
        <v>0</v>
      </c>
      <c r="G321" s="94" t="n">
        <v>15.9675</v>
      </c>
      <c r="H321" s="94" t="n">
        <v>0</v>
      </c>
      <c r="I321" s="94" t="n">
        <v>125.5027</v>
      </c>
      <c r="J321" s="94" t="n">
        <v>0</v>
      </c>
      <c r="K321" s="94" t="n">
        <v>0</v>
      </c>
      <c r="L321" s="94" t="n">
        <v>0</v>
      </c>
    </row>
    <row r="322" ht="21.95" customHeight="1">
      <c r="A322" s="68" t="inlineStr">
        <is>
          <t>With Smart Scan screens</t>
        </is>
      </c>
      <c r="B322" s="68" t="inlineStr">
        <is>
          <t>Munch Mess</t>
        </is>
      </c>
      <c r="C322" s="68" t="inlineStr">
        <is>
          <t>Seat (eating)</t>
        </is>
      </c>
      <c r="D322" s="68" t="inlineStr">
        <is>
          <t>13:20</t>
        </is>
      </c>
      <c r="E322" s="94" t="n">
        <v>15.91</v>
      </c>
      <c r="F322" s="94" t="n">
        <v>0</v>
      </c>
      <c r="G322" s="94" t="n">
        <v>16.0084</v>
      </c>
      <c r="H322" s="94" t="n">
        <v>0</v>
      </c>
      <c r="I322" s="94" t="n">
        <v>227.9217</v>
      </c>
      <c r="J322" s="94" t="n">
        <v>0</v>
      </c>
      <c r="K322" s="94" t="n">
        <v>0</v>
      </c>
      <c r="L322" s="94" t="n">
        <v>0</v>
      </c>
    </row>
    <row r="323" ht="21.95" customHeight="1">
      <c r="A323" s="68" t="inlineStr">
        <is>
          <t>With Smart Scan screens</t>
        </is>
      </c>
      <c r="B323" s="68" t="inlineStr">
        <is>
          <t>Munch Mess</t>
        </is>
      </c>
      <c r="C323" s="68" t="inlineStr">
        <is>
          <t>Seat (eating)</t>
        </is>
      </c>
      <c r="D323" s="68" t="inlineStr">
        <is>
          <t>13:30</t>
        </is>
      </c>
      <c r="E323" s="94" t="n">
        <v>11.245</v>
      </c>
      <c r="F323" s="94" t="n">
        <v>0</v>
      </c>
      <c r="G323" s="94" t="n">
        <v>16.0427</v>
      </c>
      <c r="H323" s="94" t="n">
        <v>0</v>
      </c>
      <c r="I323" s="94" t="n">
        <v>240.0205</v>
      </c>
      <c r="J323" s="94" t="n">
        <v>0</v>
      </c>
      <c r="K323" s="94" t="n">
        <v>0</v>
      </c>
      <c r="L323" s="94" t="n">
        <v>0</v>
      </c>
    </row>
    <row r="324" ht="21.95" customHeight="1">
      <c r="A324" s="68" t="inlineStr">
        <is>
          <t>With Smart Scan screens</t>
        </is>
      </c>
      <c r="B324" s="68" t="inlineStr">
        <is>
          <t>Munch Mess</t>
        </is>
      </c>
      <c r="C324" s="68" t="inlineStr">
        <is>
          <t>Seat (eating)</t>
        </is>
      </c>
      <c r="D324" s="68" t="inlineStr">
        <is>
          <t>13:40</t>
        </is>
      </c>
      <c r="E324" s="94" t="n">
        <v>4.78</v>
      </c>
      <c r="F324" s="94" t="n">
        <v>0</v>
      </c>
      <c r="G324" s="94" t="n">
        <v>15.9798</v>
      </c>
      <c r="H324" s="94" t="n">
        <v>0</v>
      </c>
      <c r="I324" s="94" t="n">
        <v>156.7345</v>
      </c>
      <c r="J324" s="94" t="n">
        <v>0</v>
      </c>
      <c r="K324" s="94" t="n">
        <v>0</v>
      </c>
      <c r="L324" s="94" t="n">
        <v>0</v>
      </c>
    </row>
    <row r="325" ht="21.95" customHeight="1">
      <c r="A325" s="68" t="inlineStr">
        <is>
          <t>With Smart Scan screens</t>
        </is>
      </c>
      <c r="B325" s="68" t="inlineStr">
        <is>
          <t>Munch Mess</t>
        </is>
      </c>
      <c r="C325" s="68" t="inlineStr">
        <is>
          <t>Seat (eating)</t>
        </is>
      </c>
      <c r="D325" s="68" t="inlineStr">
        <is>
          <t>13:50</t>
        </is>
      </c>
      <c r="E325" s="94" t="n">
        <v>2.065</v>
      </c>
      <c r="F325" s="94" t="n">
        <v>0</v>
      </c>
      <c r="G325" s="94" t="n">
        <v>15.9586</v>
      </c>
      <c r="H325" s="94" t="n">
        <v>0</v>
      </c>
      <c r="I325" s="94" t="n">
        <v>69.1658</v>
      </c>
      <c r="J325" s="94" t="n">
        <v>0</v>
      </c>
      <c r="K325" s="94" t="n">
        <v>0</v>
      </c>
      <c r="L325" s="94" t="n">
        <v>0</v>
      </c>
    </row>
    <row r="326" ht="21.95" customHeight="1">
      <c r="A326" s="68" t="inlineStr">
        <is>
          <t>With Smart Scan screens</t>
        </is>
      </c>
      <c r="B326" s="68" t="inlineStr">
        <is>
          <t>Munch Mess</t>
        </is>
      </c>
      <c r="C326" s="68" t="inlineStr">
        <is>
          <t>Seat (eating)</t>
        </is>
      </c>
      <c r="D326" s="68" t="inlineStr">
        <is>
          <t>14:00</t>
        </is>
      </c>
      <c r="E326" s="94" t="n">
        <v>0.295</v>
      </c>
      <c r="F326" s="94" t="n">
        <v>0</v>
      </c>
      <c r="G326" s="94" t="n">
        <v>16.1268</v>
      </c>
      <c r="H326" s="94" t="n">
        <v>0</v>
      </c>
      <c r="I326" s="94" t="n">
        <v>27.5484</v>
      </c>
      <c r="J326" s="94" t="n">
        <v>0</v>
      </c>
      <c r="K326" s="94" t="n">
        <v>0</v>
      </c>
      <c r="L326" s="94" t="n">
        <v>0</v>
      </c>
    </row>
    <row r="327" ht="21.95" customHeight="1">
      <c r="A327" s="68" t="inlineStr">
        <is>
          <t>With Smart Scan screens</t>
        </is>
      </c>
      <c r="B327" s="68" t="inlineStr">
        <is>
          <t>Munch Mess</t>
        </is>
      </c>
      <c r="C327" s="68" t="inlineStr">
        <is>
          <t>Seat (eating)</t>
        </is>
      </c>
      <c r="D327" s="68" t="inlineStr">
        <is>
          <t>14:10</t>
        </is>
      </c>
      <c r="E327" s="94" t="n">
        <v>0</v>
      </c>
      <c r="F327" s="94" t="n">
        <v>0</v>
      </c>
      <c r="G327" s="94" t="n">
        <v>0</v>
      </c>
      <c r="H327" s="94" t="n">
        <v>0</v>
      </c>
      <c r="I327" s="94" t="n">
        <v>5.5733</v>
      </c>
      <c r="J327" s="94" t="n">
        <v>0</v>
      </c>
      <c r="K327" s="94" t="n">
        <v>0</v>
      </c>
      <c r="L327" s="94" t="n">
        <v>0</v>
      </c>
    </row>
    <row r="328" ht="21.95" customHeight="1">
      <c r="A328" s="68" t="inlineStr">
        <is>
          <t>With Smart Scan screens</t>
        </is>
      </c>
      <c r="B328" s="68" t="inlineStr">
        <is>
          <t>Munch Mess</t>
        </is>
      </c>
      <c r="C328" s="68" t="inlineStr">
        <is>
          <t>Seat (eating)</t>
        </is>
      </c>
      <c r="D328" s="68" t="inlineStr">
        <is>
          <t>14:20</t>
        </is>
      </c>
      <c r="E328" s="94" t="n">
        <v>0</v>
      </c>
      <c r="F328" s="94" t="n">
        <v>0</v>
      </c>
      <c r="G328" s="94" t="n">
        <v>0</v>
      </c>
      <c r="H328" s="94" t="n">
        <v>0</v>
      </c>
      <c r="I328" s="94" t="n">
        <v>0.0001</v>
      </c>
      <c r="J328" s="94" t="n">
        <v>0</v>
      </c>
      <c r="K328" s="94" t="n">
        <v>0</v>
      </c>
      <c r="L328" s="94" t="n">
        <v>0</v>
      </c>
    </row>
    <row r="329" ht="21.95" customHeight="1">
      <c r="A329" s="68" t="inlineStr">
        <is>
          <t>With Smart Scan screens</t>
        </is>
      </c>
      <c r="B329" s="68" t="inlineStr">
        <is>
          <t>Munch Mess</t>
        </is>
      </c>
      <c r="C329" s="68" t="inlineStr">
        <is>
          <t>Disposal</t>
        </is>
      </c>
      <c r="D329" s="68" t="inlineStr">
        <is>
          <t>11:30</t>
        </is>
      </c>
      <c r="E329" s="94" t="n">
        <v>0</v>
      </c>
      <c r="F329" s="94" t="n">
        <v>0</v>
      </c>
      <c r="G329" s="94" t="n">
        <v>0</v>
      </c>
      <c r="H329" s="94" t="n">
        <v>0</v>
      </c>
      <c r="I329" s="94" t="n">
        <v>0</v>
      </c>
      <c r="J329" s="94" t="n">
        <v>0</v>
      </c>
      <c r="K329" s="94" t="n">
        <v>0</v>
      </c>
      <c r="L329" s="94" t="n">
        <v>0</v>
      </c>
    </row>
    <row r="330" ht="21.95" customHeight="1">
      <c r="A330" s="68" t="inlineStr">
        <is>
          <t>With Smart Scan screens</t>
        </is>
      </c>
      <c r="B330" s="68" t="inlineStr">
        <is>
          <t>Munch Mess</t>
        </is>
      </c>
      <c r="C330" s="68" t="inlineStr">
        <is>
          <t>Disposal</t>
        </is>
      </c>
      <c r="D330" s="68" t="inlineStr">
        <is>
          <t>11:40</t>
        </is>
      </c>
      <c r="E330" s="94" t="n">
        <v>0</v>
      </c>
      <c r="F330" s="94" t="n">
        <v>0</v>
      </c>
      <c r="G330" s="94" t="n">
        <v>0</v>
      </c>
      <c r="H330" s="94" t="n">
        <v>0</v>
      </c>
      <c r="I330" s="94" t="n">
        <v>0</v>
      </c>
      <c r="J330" s="94" t="n">
        <v>0</v>
      </c>
      <c r="K330" s="94" t="n">
        <v>0</v>
      </c>
      <c r="L330" s="94" t="n">
        <v>0</v>
      </c>
    </row>
    <row r="331" ht="21.95" customHeight="1">
      <c r="A331" s="68" t="inlineStr">
        <is>
          <t>With Smart Scan screens</t>
        </is>
      </c>
      <c r="B331" s="68" t="inlineStr">
        <is>
          <t>Munch Mess</t>
        </is>
      </c>
      <c r="C331" s="68" t="inlineStr">
        <is>
          <t>Disposal</t>
        </is>
      </c>
      <c r="D331" s="68" t="inlineStr">
        <is>
          <t>11:50</t>
        </is>
      </c>
      <c r="E331" s="94" t="n">
        <v>0</v>
      </c>
      <c r="F331" s="94" t="n">
        <v>0</v>
      </c>
      <c r="G331" s="94" t="n">
        <v>0</v>
      </c>
      <c r="H331" s="94" t="n">
        <v>0</v>
      </c>
      <c r="I331" s="94" t="n">
        <v>0</v>
      </c>
      <c r="J331" s="94" t="n">
        <v>0</v>
      </c>
      <c r="K331" s="94" t="n">
        <v>0</v>
      </c>
      <c r="L331" s="94" t="n">
        <v>0</v>
      </c>
    </row>
    <row r="332" ht="21.95" customHeight="1">
      <c r="A332" s="68" t="inlineStr">
        <is>
          <t>With Smart Scan screens</t>
        </is>
      </c>
      <c r="B332" s="68" t="inlineStr">
        <is>
          <t>Munch Mess</t>
        </is>
      </c>
      <c r="C332" s="68" t="inlineStr">
        <is>
          <t>Disposal</t>
        </is>
      </c>
      <c r="D332" s="68" t="inlineStr">
        <is>
          <t>12:00</t>
        </is>
      </c>
      <c r="E332" s="94" t="n">
        <v>0</v>
      </c>
      <c r="F332" s="94" t="n">
        <v>0</v>
      </c>
      <c r="G332" s="94" t="n">
        <v>0</v>
      </c>
      <c r="H332" s="94" t="n">
        <v>0</v>
      </c>
      <c r="I332" s="94" t="n">
        <v>0</v>
      </c>
      <c r="J332" s="94" t="n">
        <v>0</v>
      </c>
      <c r="K332" s="94" t="n">
        <v>0</v>
      </c>
      <c r="L332" s="94" t="n">
        <v>0</v>
      </c>
    </row>
    <row r="333" ht="21.95" customHeight="1">
      <c r="A333" s="68" t="inlineStr">
        <is>
          <t>With Smart Scan screens</t>
        </is>
      </c>
      <c r="B333" s="68" t="inlineStr">
        <is>
          <t>Munch Mess</t>
        </is>
      </c>
      <c r="C333" s="68" t="inlineStr">
        <is>
          <t>Disposal</t>
        </is>
      </c>
      <c r="D333" s="68" t="inlineStr">
        <is>
          <t>12:10</t>
        </is>
      </c>
      <c r="E333" s="94" t="n">
        <v>0.7</v>
      </c>
      <c r="F333" s="94" t="n">
        <v>0</v>
      </c>
      <c r="G333" s="94" t="n">
        <v>1.4817</v>
      </c>
      <c r="H333" s="94" t="n">
        <v>0</v>
      </c>
      <c r="I333" s="94" t="n">
        <v>0.6959</v>
      </c>
      <c r="J333" s="94" t="n">
        <v>0</v>
      </c>
      <c r="K333" s="94" t="n">
        <v>0</v>
      </c>
      <c r="L333" s="94" t="n">
        <v>0</v>
      </c>
    </row>
    <row r="334" ht="21.95" customHeight="1">
      <c r="A334" s="68" t="inlineStr">
        <is>
          <t>With Smart Scan screens</t>
        </is>
      </c>
      <c r="B334" s="68" t="inlineStr">
        <is>
          <t>Munch Mess</t>
        </is>
      </c>
      <c r="C334" s="68" t="inlineStr">
        <is>
          <t>Disposal</t>
        </is>
      </c>
      <c r="D334" s="68" t="inlineStr">
        <is>
          <t>12:20</t>
        </is>
      </c>
      <c r="E334" s="94" t="n">
        <v>4.005</v>
      </c>
      <c r="F334" s="94" t="n">
        <v>0</v>
      </c>
      <c r="G334" s="94" t="n">
        <v>1.5087</v>
      </c>
      <c r="H334" s="94" t="n">
        <v>0</v>
      </c>
      <c r="I334" s="94" t="n">
        <v>5.8883</v>
      </c>
      <c r="J334" s="94" t="n">
        <v>0</v>
      </c>
      <c r="K334" s="94" t="n">
        <v>0</v>
      </c>
      <c r="L334" s="94" t="n">
        <v>0</v>
      </c>
    </row>
    <row r="335" ht="21.95" customHeight="1">
      <c r="A335" s="68" t="inlineStr">
        <is>
          <t>With Smart Scan screens</t>
        </is>
      </c>
      <c r="B335" s="68" t="inlineStr">
        <is>
          <t>Munch Mess</t>
        </is>
      </c>
      <c r="C335" s="68" t="inlineStr">
        <is>
          <t>Disposal</t>
        </is>
      </c>
      <c r="D335" s="68" t="inlineStr">
        <is>
          <t>12:30</t>
        </is>
      </c>
      <c r="E335" s="94" t="n">
        <v>4.785</v>
      </c>
      <c r="F335" s="94" t="n">
        <v>0</v>
      </c>
      <c r="G335" s="94" t="n">
        <v>1.5038</v>
      </c>
      <c r="H335" s="94" t="n">
        <v>0</v>
      </c>
      <c r="I335" s="94" t="n">
        <v>7.1102</v>
      </c>
      <c r="J335" s="94" t="n">
        <v>0</v>
      </c>
      <c r="K335" s="94" t="n">
        <v>0</v>
      </c>
      <c r="L335" s="94" t="n">
        <v>0</v>
      </c>
    </row>
    <row r="336" ht="21.95" customHeight="1">
      <c r="A336" s="68" t="inlineStr">
        <is>
          <t>With Smart Scan screens</t>
        </is>
      </c>
      <c r="B336" s="68" t="inlineStr">
        <is>
          <t>Munch Mess</t>
        </is>
      </c>
      <c r="C336" s="68" t="inlineStr">
        <is>
          <t>Disposal</t>
        </is>
      </c>
      <c r="D336" s="68" t="inlineStr">
        <is>
          <t>12:40</t>
        </is>
      </c>
      <c r="E336" s="94" t="n">
        <v>5.15</v>
      </c>
      <c r="F336" s="94" t="n">
        <v>0</v>
      </c>
      <c r="G336" s="94" t="n">
        <v>1.5051</v>
      </c>
      <c r="H336" s="94" t="n">
        <v>0</v>
      </c>
      <c r="I336" s="94" t="n">
        <v>7.6685</v>
      </c>
      <c r="J336" s="94" t="n">
        <v>0</v>
      </c>
      <c r="K336" s="94" t="n">
        <v>0</v>
      </c>
      <c r="L336" s="94" t="n">
        <v>0</v>
      </c>
    </row>
    <row r="337" ht="21.95" customHeight="1">
      <c r="A337" s="68" t="inlineStr">
        <is>
          <t>With Smart Scan screens</t>
        </is>
      </c>
      <c r="B337" s="68" t="inlineStr">
        <is>
          <t>Munch Mess</t>
        </is>
      </c>
      <c r="C337" s="68" t="inlineStr">
        <is>
          <t>Disposal</t>
        </is>
      </c>
      <c r="D337" s="68" t="inlineStr">
        <is>
          <t>12:50</t>
        </is>
      </c>
      <c r="E337" s="94" t="n">
        <v>7.305</v>
      </c>
      <c r="F337" s="94" t="n">
        <v>0</v>
      </c>
      <c r="G337" s="94" t="n">
        <v>1.4956</v>
      </c>
      <c r="H337" s="94" t="n">
        <v>0</v>
      </c>
      <c r="I337" s="94" t="n">
        <v>10.7122</v>
      </c>
      <c r="J337" s="94" t="n">
        <v>0</v>
      </c>
      <c r="K337" s="94" t="n">
        <v>0</v>
      </c>
      <c r="L337" s="94" t="n">
        <v>0</v>
      </c>
    </row>
    <row r="338" ht="21.95" customHeight="1">
      <c r="A338" s="68" t="inlineStr">
        <is>
          <t>With Smart Scan screens</t>
        </is>
      </c>
      <c r="B338" s="68" t="inlineStr">
        <is>
          <t>Munch Mess</t>
        </is>
      </c>
      <c r="C338" s="68" t="inlineStr">
        <is>
          <t>Disposal</t>
        </is>
      </c>
      <c r="D338" s="68" t="inlineStr">
        <is>
          <t>13:00</t>
        </is>
      </c>
      <c r="E338" s="94" t="n">
        <v>6.53</v>
      </c>
      <c r="F338" s="94" t="n">
        <v>0</v>
      </c>
      <c r="G338" s="94" t="n">
        <v>1.5063</v>
      </c>
      <c r="H338" s="94" t="n">
        <v>0</v>
      </c>
      <c r="I338" s="94" t="n">
        <v>10.1192</v>
      </c>
      <c r="J338" s="94" t="n">
        <v>0</v>
      </c>
      <c r="K338" s="94" t="n">
        <v>0</v>
      </c>
      <c r="L338" s="94" t="n">
        <v>0</v>
      </c>
    </row>
    <row r="339" ht="21.95" customHeight="1">
      <c r="A339" s="68" t="inlineStr">
        <is>
          <t>With Smart Scan screens</t>
        </is>
      </c>
      <c r="B339" s="68" t="inlineStr">
        <is>
          <t>Munch Mess</t>
        </is>
      </c>
      <c r="C339" s="68" t="inlineStr">
        <is>
          <t>Disposal</t>
        </is>
      </c>
      <c r="D339" s="68" t="inlineStr">
        <is>
          <t>13:10</t>
        </is>
      </c>
      <c r="E339" s="94" t="n">
        <v>5.16</v>
      </c>
      <c r="F339" s="94" t="n">
        <v>0</v>
      </c>
      <c r="G339" s="94" t="n">
        <v>1.49</v>
      </c>
      <c r="H339" s="94" t="n">
        <v>0</v>
      </c>
      <c r="I339" s="94" t="n">
        <v>7.7893</v>
      </c>
      <c r="J339" s="94" t="n">
        <v>0</v>
      </c>
      <c r="K339" s="94" t="n">
        <v>0</v>
      </c>
      <c r="L339" s="94" t="n">
        <v>0</v>
      </c>
    </row>
    <row r="340" ht="21.95" customHeight="1">
      <c r="A340" s="68" t="inlineStr">
        <is>
          <t>With Smart Scan screens</t>
        </is>
      </c>
      <c r="B340" s="68" t="inlineStr">
        <is>
          <t>Munch Mess</t>
        </is>
      </c>
      <c r="C340" s="68" t="inlineStr">
        <is>
          <t>Disposal</t>
        </is>
      </c>
      <c r="D340" s="68" t="inlineStr">
        <is>
          <t>13:20</t>
        </is>
      </c>
      <c r="E340" s="94" t="n">
        <v>8.595000000000001</v>
      </c>
      <c r="F340" s="94" t="n">
        <v>0</v>
      </c>
      <c r="G340" s="94" t="n">
        <v>1.506</v>
      </c>
      <c r="H340" s="94" t="n">
        <v>0</v>
      </c>
      <c r="I340" s="94" t="n">
        <v>11.7662</v>
      </c>
      <c r="J340" s="94" t="n">
        <v>0</v>
      </c>
      <c r="K340" s="94" t="n">
        <v>0</v>
      </c>
      <c r="L340" s="94" t="n">
        <v>0</v>
      </c>
    </row>
    <row r="341" ht="21.95" customHeight="1">
      <c r="A341" s="68" t="inlineStr">
        <is>
          <t>With Smart Scan screens</t>
        </is>
      </c>
      <c r="B341" s="68" t="inlineStr">
        <is>
          <t>Munch Mess</t>
        </is>
      </c>
      <c r="C341" s="68" t="inlineStr">
        <is>
          <t>Disposal</t>
        </is>
      </c>
      <c r="D341" s="68" t="inlineStr">
        <is>
          <t>13:30</t>
        </is>
      </c>
      <c r="E341" s="94" t="n">
        <v>15.835</v>
      </c>
      <c r="F341" s="94" t="n">
        <v>0</v>
      </c>
      <c r="G341" s="94" t="n">
        <v>1.4988</v>
      </c>
      <c r="H341" s="94" t="n">
        <v>0</v>
      </c>
      <c r="I341" s="94" t="n">
        <v>23.5264</v>
      </c>
      <c r="J341" s="94" t="n">
        <v>0</v>
      </c>
      <c r="K341" s="94" t="n">
        <v>0</v>
      </c>
      <c r="L341" s="94" t="n">
        <v>0</v>
      </c>
    </row>
    <row r="342" ht="21.95" customHeight="1">
      <c r="A342" s="68" t="inlineStr">
        <is>
          <t>With Smart Scan screens</t>
        </is>
      </c>
      <c r="B342" s="68" t="inlineStr">
        <is>
          <t>Munch Mess</t>
        </is>
      </c>
      <c r="C342" s="68" t="inlineStr">
        <is>
          <t>Disposal</t>
        </is>
      </c>
      <c r="D342" s="68" t="inlineStr">
        <is>
          <t>13:40</t>
        </is>
      </c>
      <c r="E342" s="94" t="n">
        <v>15.215</v>
      </c>
      <c r="F342" s="94" t="n">
        <v>0</v>
      </c>
      <c r="G342" s="94" t="n">
        <v>1.4944</v>
      </c>
      <c r="H342" s="94" t="n">
        <v>0</v>
      </c>
      <c r="I342" s="94" t="n">
        <v>23.1196</v>
      </c>
      <c r="J342" s="94" t="n">
        <v>0</v>
      </c>
      <c r="K342" s="94" t="n">
        <v>0</v>
      </c>
      <c r="L342" s="94" t="n">
        <v>0</v>
      </c>
    </row>
    <row r="343" ht="21.95" customHeight="1">
      <c r="A343" s="68" t="inlineStr">
        <is>
          <t>With Smart Scan screens</t>
        </is>
      </c>
      <c r="B343" s="68" t="inlineStr">
        <is>
          <t>Munch Mess</t>
        </is>
      </c>
      <c r="C343" s="68" t="inlineStr">
        <is>
          <t>Disposal</t>
        </is>
      </c>
      <c r="D343" s="68" t="inlineStr">
        <is>
          <t>13:50</t>
        </is>
      </c>
      <c r="E343" s="94" t="n">
        <v>8</v>
      </c>
      <c r="F343" s="94" t="n">
        <v>0</v>
      </c>
      <c r="G343" s="94" t="n">
        <v>1.5043</v>
      </c>
      <c r="H343" s="94" t="n">
        <v>0</v>
      </c>
      <c r="I343" s="94" t="n">
        <v>12.9422</v>
      </c>
      <c r="J343" s="94" t="n">
        <v>0</v>
      </c>
      <c r="K343" s="94" t="n">
        <v>0</v>
      </c>
      <c r="L343" s="94" t="n">
        <v>0</v>
      </c>
    </row>
    <row r="344" ht="21.95" customHeight="1">
      <c r="A344" s="68" t="inlineStr">
        <is>
          <t>With Smart Scan screens</t>
        </is>
      </c>
      <c r="B344" s="68" t="inlineStr">
        <is>
          <t>Munch Mess</t>
        </is>
      </c>
      <c r="C344" s="68" t="inlineStr">
        <is>
          <t>Disposal</t>
        </is>
      </c>
      <c r="D344" s="68" t="inlineStr">
        <is>
          <t>14:00</t>
        </is>
      </c>
      <c r="E344" s="94" t="n">
        <v>3.265</v>
      </c>
      <c r="F344" s="94" t="n">
        <v>0</v>
      </c>
      <c r="G344" s="94" t="n">
        <v>1.4979</v>
      </c>
      <c r="H344" s="94" t="n">
        <v>0</v>
      </c>
      <c r="I344" s="94" t="n">
        <v>5.2156</v>
      </c>
      <c r="J344" s="94" t="n">
        <v>0</v>
      </c>
      <c r="K344" s="94" t="n">
        <v>0</v>
      </c>
      <c r="L344" s="94" t="n">
        <v>0</v>
      </c>
    </row>
    <row r="345" ht="21.95" customHeight="1">
      <c r="A345" s="68" t="inlineStr">
        <is>
          <t>With Smart Scan screens</t>
        </is>
      </c>
      <c r="B345" s="68" t="inlineStr">
        <is>
          <t>Munch Mess</t>
        </is>
      </c>
      <c r="C345" s="68" t="inlineStr">
        <is>
          <t>Disposal</t>
        </is>
      </c>
      <c r="D345" s="68" t="inlineStr">
        <is>
          <t>14:10</t>
        </is>
      </c>
      <c r="E345" s="94" t="n">
        <v>1.41</v>
      </c>
      <c r="F345" s="94" t="n">
        <v>0</v>
      </c>
      <c r="G345" s="94" t="n">
        <v>1.4972</v>
      </c>
      <c r="H345" s="94" t="n">
        <v>0</v>
      </c>
      <c r="I345" s="94" t="n">
        <v>2.356</v>
      </c>
      <c r="J345" s="94" t="n">
        <v>0</v>
      </c>
      <c r="K345" s="94" t="n">
        <v>0</v>
      </c>
      <c r="L345" s="94" t="n">
        <v>0</v>
      </c>
    </row>
    <row r="346" ht="21.95" customHeight="1">
      <c r="A346" s="68" t="inlineStr">
        <is>
          <t>With Smart Scan screens</t>
        </is>
      </c>
      <c r="B346" s="68" t="inlineStr">
        <is>
          <t>Munch Mess</t>
        </is>
      </c>
      <c r="C346" s="68" t="inlineStr">
        <is>
          <t>Disposal</t>
        </is>
      </c>
      <c r="D346" s="68" t="inlineStr">
        <is>
          <t>14:20</t>
        </is>
      </c>
      <c r="E346" s="94" t="n">
        <v>0.005</v>
      </c>
      <c r="F346" s="94" t="n">
        <v>0</v>
      </c>
      <c r="G346" s="94" t="n">
        <v>1.6579</v>
      </c>
      <c r="H346" s="94" t="n">
        <v>0</v>
      </c>
      <c r="I346" s="94" t="n">
        <v>0.026</v>
      </c>
      <c r="J346" s="94" t="n">
        <v>0</v>
      </c>
      <c r="K346" s="94" t="n">
        <v>0</v>
      </c>
      <c r="L346" s="94" t="n">
        <v>0</v>
      </c>
    </row>
    <row r="347" ht="21.95" customHeight="1">
      <c r="A347" s="68" t="inlineStr">
        <is>
          <t>With Smart Scan screens</t>
        </is>
      </c>
      <c r="B347" s="68" t="inlineStr">
        <is>
          <t>Munch Mess</t>
        </is>
      </c>
      <c r="C347" s="68" t="inlineStr">
        <is>
          <t>Whole visit</t>
        </is>
      </c>
      <c r="D347" s="68" t="inlineStr">
        <is>
          <t>11:30</t>
        </is>
      </c>
      <c r="E347" s="94" t="n">
        <v>0</v>
      </c>
      <c r="F347" s="94" t="n">
        <v>0</v>
      </c>
      <c r="G347" s="94" t="n">
        <v>0</v>
      </c>
      <c r="H347" s="94" t="n">
        <v>0</v>
      </c>
      <c r="I347" s="94" t="n">
        <v>0</v>
      </c>
      <c r="J347" s="94" t="n">
        <v>0</v>
      </c>
      <c r="K347" s="94" t="n">
        <v>0</v>
      </c>
      <c r="L347" s="94" t="n">
        <v>0</v>
      </c>
    </row>
    <row r="348" ht="21.95" customHeight="1">
      <c r="A348" s="68" t="inlineStr">
        <is>
          <t>With Smart Scan screens</t>
        </is>
      </c>
      <c r="B348" s="68" t="inlineStr">
        <is>
          <t>Munch Mess</t>
        </is>
      </c>
      <c r="C348" s="68" t="inlineStr">
        <is>
          <t>Whole visit</t>
        </is>
      </c>
      <c r="D348" s="68" t="inlineStr">
        <is>
          <t>11:40</t>
        </is>
      </c>
      <c r="E348" s="94" t="n">
        <v>0</v>
      </c>
      <c r="F348" s="94" t="n">
        <v>0</v>
      </c>
      <c r="G348" s="94" t="n">
        <v>0</v>
      </c>
      <c r="H348" s="94" t="n">
        <v>0</v>
      </c>
      <c r="I348" s="94" t="n">
        <v>0</v>
      </c>
      <c r="J348" s="94" t="n">
        <v>0</v>
      </c>
      <c r="K348" s="94" t="n">
        <v>0</v>
      </c>
      <c r="L348" s="94" t="n">
        <v>0</v>
      </c>
    </row>
    <row r="349" ht="21.95" customHeight="1">
      <c r="A349" s="68" t="inlineStr">
        <is>
          <t>With Smart Scan screens</t>
        </is>
      </c>
      <c r="B349" s="68" t="inlineStr">
        <is>
          <t>Munch Mess</t>
        </is>
      </c>
      <c r="C349" s="68" t="inlineStr">
        <is>
          <t>Whole visit</t>
        </is>
      </c>
      <c r="D349" s="68" t="inlineStr">
        <is>
          <t>11:50</t>
        </is>
      </c>
      <c r="E349" s="94" t="n">
        <v>0</v>
      </c>
      <c r="F349" s="94" t="n">
        <v>0</v>
      </c>
      <c r="G349" s="94" t="n">
        <v>0</v>
      </c>
      <c r="H349" s="94" t="n">
        <v>0</v>
      </c>
      <c r="I349" s="94" t="n">
        <v>0</v>
      </c>
      <c r="J349" s="94" t="n">
        <v>0</v>
      </c>
      <c r="K349" s="94" t="n">
        <v>0</v>
      </c>
      <c r="L349" s="94" t="n">
        <v>0</v>
      </c>
    </row>
    <row r="350" ht="21.95" customHeight="1">
      <c r="A350" s="68" t="inlineStr">
        <is>
          <t>With Smart Scan screens</t>
        </is>
      </c>
      <c r="B350" s="68" t="inlineStr">
        <is>
          <t>Munch Mess</t>
        </is>
      </c>
      <c r="C350" s="68" t="inlineStr">
        <is>
          <t>Whole visit</t>
        </is>
      </c>
      <c r="D350" s="68" t="inlineStr">
        <is>
          <t>12:00</t>
        </is>
      </c>
      <c r="E350" s="94" t="n">
        <v>3.88</v>
      </c>
      <c r="F350" s="94" t="n">
        <v>0</v>
      </c>
      <c r="G350" s="94" t="n">
        <v>19.6409</v>
      </c>
      <c r="H350" s="94" t="n">
        <v>0</v>
      </c>
      <c r="I350" s="94" t="n">
        <v>18.9765</v>
      </c>
      <c r="J350" s="94" t="n">
        <v>0</v>
      </c>
      <c r="K350" s="94" t="n">
        <v>0</v>
      </c>
      <c r="L350" s="94" t="n">
        <v>0</v>
      </c>
    </row>
    <row r="351" ht="21.95" customHeight="1">
      <c r="A351" s="68" t="inlineStr">
        <is>
          <t>With Smart Scan screens</t>
        </is>
      </c>
      <c r="B351" s="68" t="inlineStr">
        <is>
          <t>Munch Mess</t>
        </is>
      </c>
      <c r="C351" s="68" t="inlineStr">
        <is>
          <t>Whole visit</t>
        </is>
      </c>
      <c r="D351" s="68" t="inlineStr">
        <is>
          <t>12:10</t>
        </is>
      </c>
      <c r="E351" s="94" t="n">
        <v>4.64</v>
      </c>
      <c r="F351" s="94" t="n">
        <v>0</v>
      </c>
      <c r="G351" s="94" t="n">
        <v>19.7513</v>
      </c>
      <c r="H351" s="94" t="n">
        <v>0</v>
      </c>
      <c r="I351" s="94" t="n">
        <v>61.8597</v>
      </c>
      <c r="J351" s="94" t="n">
        <v>0</v>
      </c>
      <c r="K351" s="94" t="n">
        <v>0</v>
      </c>
      <c r="L351" s="94" t="n">
        <v>0</v>
      </c>
    </row>
    <row r="352" ht="21.95" customHeight="1">
      <c r="A352" s="68" t="inlineStr">
        <is>
          <t>With Smart Scan screens</t>
        </is>
      </c>
      <c r="B352" s="68" t="inlineStr">
        <is>
          <t>Munch Mess</t>
        </is>
      </c>
      <c r="C352" s="68" t="inlineStr">
        <is>
          <t>Whole visit</t>
        </is>
      </c>
      <c r="D352" s="68" t="inlineStr">
        <is>
          <t>12:20</t>
        </is>
      </c>
      <c r="E352" s="94" t="n">
        <v>4.995</v>
      </c>
      <c r="F352" s="94" t="n">
        <v>0</v>
      </c>
      <c r="G352" s="94" t="n">
        <v>19.6769</v>
      </c>
      <c r="H352" s="94" t="n">
        <v>0</v>
      </c>
      <c r="I352" s="94" t="n">
        <v>90.0853</v>
      </c>
      <c r="J352" s="94" t="n">
        <v>0</v>
      </c>
      <c r="K352" s="94" t="n">
        <v>0</v>
      </c>
      <c r="L352" s="94" t="n">
        <v>0</v>
      </c>
    </row>
    <row r="353" ht="21.95" customHeight="1">
      <c r="A353" s="68" t="inlineStr">
        <is>
          <t>With Smart Scan screens</t>
        </is>
      </c>
      <c r="B353" s="68" t="inlineStr">
        <is>
          <t>Munch Mess</t>
        </is>
      </c>
      <c r="C353" s="68" t="inlineStr">
        <is>
          <t>Whole visit</t>
        </is>
      </c>
      <c r="D353" s="68" t="inlineStr">
        <is>
          <t>12:30</t>
        </is>
      </c>
      <c r="E353" s="94" t="n">
        <v>6.985</v>
      </c>
      <c r="F353" s="94" t="n">
        <v>0</v>
      </c>
      <c r="G353" s="94" t="n">
        <v>19.7013</v>
      </c>
      <c r="H353" s="94" t="n">
        <v>0</v>
      </c>
      <c r="I353" s="94" t="n">
        <v>106.4348</v>
      </c>
      <c r="J353" s="94" t="n">
        <v>0</v>
      </c>
      <c r="K353" s="94" t="n">
        <v>0</v>
      </c>
      <c r="L353" s="94" t="n">
        <v>0</v>
      </c>
    </row>
    <row r="354" ht="21.95" customHeight="1">
      <c r="A354" s="68" t="inlineStr">
        <is>
          <t>With Smart Scan screens</t>
        </is>
      </c>
      <c r="B354" s="68" t="inlineStr">
        <is>
          <t>Munch Mess</t>
        </is>
      </c>
      <c r="C354" s="68" t="inlineStr">
        <is>
          <t>Whole visit</t>
        </is>
      </c>
      <c r="D354" s="68" t="inlineStr">
        <is>
          <t>12:40</t>
        </is>
      </c>
      <c r="E354" s="94" t="n">
        <v>6.885</v>
      </c>
      <c r="F354" s="94" t="n">
        <v>0</v>
      </c>
      <c r="G354" s="94" t="n">
        <v>19.6498</v>
      </c>
      <c r="H354" s="94" t="n">
        <v>0</v>
      </c>
      <c r="I354" s="94" t="n">
        <v>129.0286</v>
      </c>
      <c r="J354" s="94" t="n">
        <v>0</v>
      </c>
      <c r="K354" s="94" t="n">
        <v>0</v>
      </c>
      <c r="L354" s="94" t="n">
        <v>0</v>
      </c>
    </row>
    <row r="355" ht="21.95" customHeight="1">
      <c r="A355" s="68" t="inlineStr">
        <is>
          <t>With Smart Scan screens</t>
        </is>
      </c>
      <c r="B355" s="68" t="inlineStr">
        <is>
          <t>Munch Mess</t>
        </is>
      </c>
      <c r="C355" s="68" t="inlineStr">
        <is>
          <t>Whole visit</t>
        </is>
      </c>
      <c r="D355" s="68" t="inlineStr">
        <is>
          <t>12:50</t>
        </is>
      </c>
      <c r="E355" s="94" t="n">
        <v>5.445</v>
      </c>
      <c r="F355" s="94" t="n">
        <v>0</v>
      </c>
      <c r="G355" s="94" t="n">
        <v>19.6533</v>
      </c>
      <c r="H355" s="94" t="n">
        <v>0</v>
      </c>
      <c r="I355" s="94" t="n">
        <v>131.0181</v>
      </c>
      <c r="J355" s="94" t="n">
        <v>0</v>
      </c>
      <c r="K355" s="94" t="n">
        <v>0</v>
      </c>
      <c r="L355" s="94" t="n">
        <v>0</v>
      </c>
    </row>
    <row r="356" ht="21.95" customHeight="1">
      <c r="A356" s="68" t="inlineStr">
        <is>
          <t>With Smart Scan screens</t>
        </is>
      </c>
      <c r="B356" s="68" t="inlineStr">
        <is>
          <t>Munch Mess</t>
        </is>
      </c>
      <c r="C356" s="68" t="inlineStr">
        <is>
          <t>Whole visit</t>
        </is>
      </c>
      <c r="D356" s="68" t="inlineStr">
        <is>
          <t>13:00</t>
        </is>
      </c>
      <c r="E356" s="94" t="n">
        <v>6.82</v>
      </c>
      <c r="F356" s="94" t="n">
        <v>0</v>
      </c>
      <c r="G356" s="94" t="n">
        <v>19.6724</v>
      </c>
      <c r="H356" s="94" t="n">
        <v>0</v>
      </c>
      <c r="I356" s="94" t="n">
        <v>110.606</v>
      </c>
      <c r="J356" s="94" t="n">
        <v>0</v>
      </c>
      <c r="K356" s="94" t="n">
        <v>0</v>
      </c>
      <c r="L356" s="94" t="n">
        <v>0</v>
      </c>
    </row>
    <row r="357" ht="21.95" customHeight="1">
      <c r="A357" s="68" t="inlineStr">
        <is>
          <t>With Smart Scan screens</t>
        </is>
      </c>
      <c r="B357" s="68" t="inlineStr">
        <is>
          <t>Munch Mess</t>
        </is>
      </c>
      <c r="C357" s="68" t="inlineStr">
        <is>
          <t>Whole visit</t>
        </is>
      </c>
      <c r="D357" s="68" t="inlineStr">
        <is>
          <t>13:10</t>
        </is>
      </c>
      <c r="E357" s="94" t="n">
        <v>15.575</v>
      </c>
      <c r="F357" s="94" t="n">
        <v>0</v>
      </c>
      <c r="G357" s="94" t="n">
        <v>19.7737</v>
      </c>
      <c r="H357" s="94" t="n">
        <v>0</v>
      </c>
      <c r="I357" s="94" t="n">
        <v>168.5044</v>
      </c>
      <c r="J357" s="94" t="n">
        <v>0</v>
      </c>
      <c r="K357" s="94" t="n">
        <v>0</v>
      </c>
      <c r="L357" s="94" t="n">
        <v>0</v>
      </c>
    </row>
    <row r="358" ht="21.95" customHeight="1">
      <c r="A358" s="68" t="inlineStr">
        <is>
          <t>With Smart Scan screens</t>
        </is>
      </c>
      <c r="B358" s="68" t="inlineStr">
        <is>
          <t>Munch Mess</t>
        </is>
      </c>
      <c r="C358" s="68" t="inlineStr">
        <is>
          <t>Whole visit</t>
        </is>
      </c>
      <c r="D358" s="68" t="inlineStr">
        <is>
          <t>13:20</t>
        </is>
      </c>
      <c r="E358" s="94" t="n">
        <v>16.015</v>
      </c>
      <c r="F358" s="94" t="n">
        <v>0</v>
      </c>
      <c r="G358" s="94" t="n">
        <v>19.8218</v>
      </c>
      <c r="H358" s="94" t="n">
        <v>0</v>
      </c>
      <c r="I358" s="94" t="n">
        <v>276.4793</v>
      </c>
      <c r="J358" s="94" t="n">
        <v>0</v>
      </c>
      <c r="K358" s="94" t="n">
        <v>0</v>
      </c>
      <c r="L358" s="94" t="n">
        <v>0</v>
      </c>
    </row>
    <row r="359" ht="21.95" customHeight="1">
      <c r="A359" s="68" t="inlineStr">
        <is>
          <t>With Smart Scan screens</t>
        </is>
      </c>
      <c r="B359" s="68" t="inlineStr">
        <is>
          <t>Munch Mess</t>
        </is>
      </c>
      <c r="C359" s="68" t="inlineStr">
        <is>
          <t>Whole visit</t>
        </is>
      </c>
      <c r="D359" s="68" t="inlineStr">
        <is>
          <t>13:30</t>
        </is>
      </c>
      <c r="E359" s="94" t="n">
        <v>9.065</v>
      </c>
      <c r="F359" s="94" t="n">
        <v>0</v>
      </c>
      <c r="G359" s="94" t="n">
        <v>19.752</v>
      </c>
      <c r="H359" s="94" t="n">
        <v>0</v>
      </c>
      <c r="I359" s="94" t="n">
        <v>286.252</v>
      </c>
      <c r="J359" s="94" t="n">
        <v>0</v>
      </c>
      <c r="K359" s="94" t="n">
        <v>0</v>
      </c>
      <c r="L359" s="94" t="n">
        <v>0</v>
      </c>
    </row>
    <row r="360" ht="21.95" customHeight="1">
      <c r="A360" s="68" t="inlineStr">
        <is>
          <t>With Smart Scan screens</t>
        </is>
      </c>
      <c r="B360" s="68" t="inlineStr">
        <is>
          <t>Munch Mess</t>
        </is>
      </c>
      <c r="C360" s="68" t="inlineStr">
        <is>
          <t>Whole visit</t>
        </is>
      </c>
      <c r="D360" s="68" t="inlineStr">
        <is>
          <t>13:40</t>
        </is>
      </c>
      <c r="E360" s="94" t="n">
        <v>3.83</v>
      </c>
      <c r="F360" s="94" t="n">
        <v>0</v>
      </c>
      <c r="G360" s="94" t="n">
        <v>19.6057</v>
      </c>
      <c r="H360" s="94" t="n">
        <v>0</v>
      </c>
      <c r="I360" s="94" t="n">
        <v>189.1069</v>
      </c>
      <c r="J360" s="94" t="n">
        <v>0</v>
      </c>
      <c r="K360" s="94" t="n">
        <v>0</v>
      </c>
      <c r="L360" s="94" t="n">
        <v>0</v>
      </c>
    </row>
    <row r="361" ht="21.95" customHeight="1">
      <c r="A361" s="68" t="inlineStr">
        <is>
          <t>With Smart Scan screens</t>
        </is>
      </c>
      <c r="B361" s="68" t="inlineStr">
        <is>
          <t>Munch Mess</t>
        </is>
      </c>
      <c r="C361" s="68" t="inlineStr">
        <is>
          <t>Whole visit</t>
        </is>
      </c>
      <c r="D361" s="68" t="inlineStr">
        <is>
          <t>13:50</t>
        </is>
      </c>
      <c r="E361" s="94" t="n">
        <v>1.825</v>
      </c>
      <c r="F361" s="94" t="n">
        <v>0</v>
      </c>
      <c r="G361" s="94" t="n">
        <v>19.5807</v>
      </c>
      <c r="H361" s="94" t="n">
        <v>0</v>
      </c>
      <c r="I361" s="94" t="n">
        <v>86.17059999999999</v>
      </c>
      <c r="J361" s="94" t="n">
        <v>0</v>
      </c>
      <c r="K361" s="94" t="n">
        <v>0</v>
      </c>
      <c r="L361" s="94" t="n">
        <v>0</v>
      </c>
    </row>
    <row r="362" ht="21.95" customHeight="1">
      <c r="A362" s="68" t="inlineStr">
        <is>
          <t>With Smart Scan screens</t>
        </is>
      </c>
      <c r="B362" s="68" t="inlineStr">
        <is>
          <t>Munch Mess</t>
        </is>
      </c>
      <c r="C362" s="68" t="inlineStr">
        <is>
          <t>Whole visit</t>
        </is>
      </c>
      <c r="D362" s="68" t="inlineStr">
        <is>
          <t>14:00</t>
        </is>
      </c>
      <c r="E362" s="94" t="n">
        <v>0</v>
      </c>
      <c r="F362" s="94" t="n">
        <v>0</v>
      </c>
      <c r="G362" s="94" t="n">
        <v>0</v>
      </c>
      <c r="H362" s="94" t="n">
        <v>0</v>
      </c>
      <c r="I362" s="94" t="n">
        <v>33.0412</v>
      </c>
      <c r="J362" s="94" t="n">
        <v>0</v>
      </c>
      <c r="K362" s="94" t="n">
        <v>0</v>
      </c>
      <c r="L362" s="94" t="n">
        <v>0</v>
      </c>
    </row>
    <row r="363" ht="21.95" customHeight="1">
      <c r="A363" s="68" t="inlineStr">
        <is>
          <t>With Smart Scan screens</t>
        </is>
      </c>
      <c r="B363" s="68" t="inlineStr">
        <is>
          <t>Munch Mess</t>
        </is>
      </c>
      <c r="C363" s="68" t="inlineStr">
        <is>
          <t>Whole visit</t>
        </is>
      </c>
      <c r="D363" s="68" t="inlineStr">
        <is>
          <t>14:10</t>
        </is>
      </c>
      <c r="E363" s="94" t="n">
        <v>0</v>
      </c>
      <c r="F363" s="94" t="n">
        <v>0</v>
      </c>
      <c r="G363" s="94" t="n">
        <v>0</v>
      </c>
      <c r="H363" s="94" t="n">
        <v>0</v>
      </c>
      <c r="I363" s="94" t="n">
        <v>7.9294</v>
      </c>
      <c r="J363" s="94" t="n">
        <v>0</v>
      </c>
      <c r="K363" s="94" t="n">
        <v>0</v>
      </c>
      <c r="L363" s="94" t="n">
        <v>0</v>
      </c>
    </row>
    <row r="364" ht="21.95" customHeight="1">
      <c r="A364" s="68" t="inlineStr">
        <is>
          <t>With Smart Scan screens</t>
        </is>
      </c>
      <c r="B364" s="68" t="inlineStr">
        <is>
          <t>Munch Mess</t>
        </is>
      </c>
      <c r="C364" s="68" t="inlineStr">
        <is>
          <t>Whole visit</t>
        </is>
      </c>
      <c r="D364" s="68" t="inlineStr">
        <is>
          <t>14:20</t>
        </is>
      </c>
      <c r="E364" s="94" t="n">
        <v>0</v>
      </c>
      <c r="F364" s="94" t="n">
        <v>0</v>
      </c>
      <c r="G364" s="94" t="n">
        <v>0</v>
      </c>
      <c r="H364" s="94" t="n">
        <v>0</v>
      </c>
      <c r="I364" s="94" t="n">
        <v>0.0261</v>
      </c>
      <c r="J364" s="94" t="n">
        <v>0</v>
      </c>
      <c r="K364" s="94" t="n">
        <v>0</v>
      </c>
      <c r="L364" s="94" t="n">
        <v>0</v>
      </c>
    </row>
    <row r="365"/>
    <row r="366" ht="24.85" customHeight="1">
      <c r="A366" s="4" t="inlineStr">
        <is>
          <t>Per mess, whole lunch</t>
        </is>
      </c>
    </row>
    <row r="367" ht="37.9" customHeight="1">
      <c r="A367" s="7" t="inlineStr">
        <is>
          <t>Scenario</t>
        </is>
      </c>
      <c r="B367" s="7" t="inlineStr">
        <is>
          <t>Mess</t>
        </is>
      </c>
      <c r="C367" s="7" t="inlineStr">
        <is>
          <t>Students served</t>
        </is>
      </c>
      <c r="D367" s="7" t="inlineStr">
        <is>
          <t>Peak seats in use</t>
        </is>
      </c>
      <c r="E367" s="7" t="inlineStr">
        <is>
          <t>Stock-out minutes</t>
        </is>
      </c>
    </row>
    <row r="368" ht="21.95" customHeight="1">
      <c r="A368" s="68" t="inlineStr">
        <is>
          <t>Today (no screens)</t>
        </is>
      </c>
      <c r="B368" s="68" t="inlineStr">
        <is>
          <t>Central CT</t>
        </is>
      </c>
      <c r="C368" s="95" t="n">
        <v>2359.3</v>
      </c>
      <c r="D368" s="95" t="n">
        <v>340.8</v>
      </c>
      <c r="E368" s="75" t="n">
        <v>2.02</v>
      </c>
    </row>
    <row r="369" ht="21.95" customHeight="1">
      <c r="A369" s="68" t="inlineStr">
        <is>
          <t>Today (no screens)</t>
        </is>
      </c>
      <c r="B369" s="68" t="inlineStr">
        <is>
          <t>Munch Mess</t>
        </is>
      </c>
      <c r="C369" s="95" t="n">
        <v>598.6</v>
      </c>
      <c r="D369" s="95" t="n">
        <v>128</v>
      </c>
      <c r="E369" s="75" t="n">
        <v>0</v>
      </c>
    </row>
    <row r="370" ht="21.95" customHeight="1">
      <c r="A370" s="68" t="inlineStr">
        <is>
          <t>With Smart Scan screens</t>
        </is>
      </c>
      <c r="B370" s="68" t="inlineStr">
        <is>
          <t>Central CT</t>
        </is>
      </c>
      <c r="C370" s="95" t="n">
        <v>2098.3</v>
      </c>
      <c r="D370" s="95" t="n">
        <v>335.8</v>
      </c>
      <c r="E370" s="75" t="n">
        <v>1.67</v>
      </c>
    </row>
    <row r="371" ht="21.95" customHeight="1">
      <c r="A371" s="68" t="inlineStr">
        <is>
          <t>With Smart Scan screens</t>
        </is>
      </c>
      <c r="B371" s="68" t="inlineStr">
        <is>
          <t>Munch Mess</t>
        </is>
      </c>
      <c r="C371" s="95" t="n">
        <v>859.6</v>
      </c>
      <c r="D371" s="95" t="n">
        <v>263.9</v>
      </c>
      <c r="E371" s="75" t="n">
        <v>0</v>
      </c>
    </row>
  </sheetData>
  <autoFilter ref="A4:L364"/>
  <printOptions horizontalCentered="1"/>
  <pageMargins left="0.75" right="0.75" top="1" bottom="1" header="0.5" footer="0.5"/>
  <pageSetup orientation="landscape" fitToHeight="0" fitToWidth="1"/>
</worksheet>
</file>

<file path=xl/worksheets/sheet11.xml><?xml version="1.0" encoding="utf-8"?>
<worksheet xmlns="http://schemas.openxmlformats.org/spreadsheetml/2006/main">
  <sheetPr>
    <tabColor rgb="00A5A5A5"/>
    <outlinePr summaryBelow="1" summaryRight="1"/>
    <pageSetUpPr fitToPage="1"/>
  </sheetPr>
  <dimension ref="A1:C19"/>
  <sheetViews>
    <sheetView showGridLines="0" tabSelected="0" zoomScale="100" workbookViewId="0">
      <selection activeCell="A1" sqref="A1"/>
    </sheetView>
  </sheetViews>
  <sheetFormatPr baseColWidth="8" defaultRowHeight="15"/>
  <cols>
    <col width="74" customWidth="1" min="1" max="1"/>
    <col width="14" customWidth="1" min="2" max="2"/>
    <col width="12" customWidth="1" min="3" max="3"/>
  </cols>
  <sheetData>
    <row r="1" ht="36" customHeight="1">
      <c r="A1" s="1" t="inlineStr">
        <is>
          <t>Checks</t>
        </is>
      </c>
      <c r="B1" s="2" t="n"/>
      <c r="C1" s="2" t="n"/>
    </row>
    <row r="2" ht="22" customHeight="1">
      <c r="A2" s="3" t="inlineStr">
        <is>
          <t>Each check should read OK. Recalculate after changing an input.</t>
        </is>
      </c>
    </row>
    <row r="3" ht="8" customHeight="1"/>
    <row r="4" ht="21.95" customHeight="1">
      <c r="A4" s="7" t="inlineStr">
        <is>
          <t>Check</t>
        </is>
      </c>
      <c r="B4" s="7" t="inlineStr">
        <is>
          <t>Value</t>
        </is>
      </c>
      <c r="C4" s="7" t="inlineStr">
        <is>
          <t>Result</t>
        </is>
      </c>
    </row>
    <row r="5" ht="21.95" customHeight="1">
      <c r="A5" s="5" t="inlineStr">
        <is>
          <t>Simulated arrivals add up to the students per lunch (within 2%)</t>
        </is>
      </c>
      <c r="B5" s="96">
        <f>(SUMPRODUCT(('Sim Data'!$A$5:$A$364="Today (no screens)")*('Sim Data'!$B$5:$B$364="Central CT")*('Sim Data'!$C$5:$C$364="Whole visit")*'Sim Data'!$E$5:$E$364)*10+SUMPRODUCT(('Sim Data'!$A$5:$A$364="Today (no screens)")*('Sim Data'!$B$5:$B$364="Munch Mess")*('Sim Data'!$C$5:$C$364="Whole visit")*'Sim Data'!$E$5:$E$364)*10)/'Assumptions'!$B$6</f>
        <v/>
      </c>
      <c r="C5" s="44">
        <f>IF(ABS(B5-1)&lt;0.02,"OK","CHECK")</f>
        <v/>
      </c>
    </row>
    <row r="6" ht="21.95" customHeight="1">
      <c r="A6" s="5" t="inlineStr">
        <is>
          <t>No formula errors in Q1 Scanner</t>
        </is>
      </c>
      <c r="B6" s="97">
        <f>SUMPRODUCT(--ISERROR('Q1 Scanner'!$A$4:$P$99))</f>
        <v/>
      </c>
      <c r="C6" s="44">
        <f>IF(B6=0,"OK","CHECK")</f>
        <v/>
      </c>
    </row>
    <row r="7" ht="21.95" customHeight="1">
      <c r="A7" s="5" t="inlineStr">
        <is>
          <t>No formula errors in Q2 Serving stations</t>
        </is>
      </c>
      <c r="B7" s="97">
        <f>SUMPRODUCT(--ISERROR('Q2 Serving stations'!$A$4:$P$99))</f>
        <v/>
      </c>
      <c r="C7" s="44">
        <f>IF(B7=0,"OK","CHECK")</f>
        <v/>
      </c>
    </row>
    <row r="8" ht="21.95" customHeight="1">
      <c r="A8" s="5" t="inlineStr">
        <is>
          <t>No formula errors in Q3 Seats &amp; disposal</t>
        </is>
      </c>
      <c r="B8" s="97">
        <f>SUMPRODUCT(--ISERROR('Q3 Seats &amp; disposal'!$A$4:$L$92))</f>
        <v/>
      </c>
      <c r="C8" s="44">
        <f>IF(B8=0,"OK","CHECK")</f>
        <v/>
      </c>
    </row>
    <row r="9" ht="21.95" customHeight="1">
      <c r="A9" s="5" t="inlineStr">
        <is>
          <t>No formula errors in Capacity</t>
        </is>
      </c>
      <c r="B9" s="97">
        <f>SUMPRODUCT(--ISERROR('Capacity'!$B$5:$C$51))</f>
        <v/>
      </c>
      <c r="C9" s="44">
        <f>IF(B9=0,"OK","CHECK")</f>
        <v/>
      </c>
    </row>
    <row r="10" ht="37.9" customHeight="1">
      <c r="A10" s="5" t="inlineStr">
        <is>
          <t>Little's Law over the whole lunch (today, Central): Σ people-minutes inside ≈ Σ arrivals × visit time</t>
        </is>
      </c>
      <c r="B10" s="98">
        <f>SUMPRODUCT('Sim Data'!$I$77:$I$94)/SUMPRODUCT('Sim Data'!$E$77:$E$94,'Sim Data'!$G$77:$G$94)</f>
        <v/>
      </c>
      <c r="C10" s="44">
        <f>IF(ABS(B10-1)&lt;0.1,"OK","CHECK")</f>
        <v/>
      </c>
    </row>
    <row r="11" ht="21.95" customHeight="1">
      <c r="A11" s="5" t="inlineStr">
        <is>
          <t>Seats never the constraint: peak seat utilisation below 100% (both messes)</t>
        </is>
      </c>
      <c r="B11" s="70">
        <f>MAX('Capacity'!B29,'Capacity'!C29)</f>
        <v/>
      </c>
      <c r="C11" s="44">
        <f>IF(B11&lt;1,"OK","CHECK")</f>
        <v/>
      </c>
    </row>
    <row r="12" ht="37.9" customHeight="1">
      <c r="A12" s="5" t="inlineStr">
        <is>
          <t>Dynamic routing beats a fixed share at the same compliance on the average day</t>
        </is>
      </c>
      <c r="B12" s="98">
        <f>'Load Balancing'!B86</f>
        <v/>
      </c>
      <c r="C12" s="44">
        <f>IF(B12&gt;0,"OK","CHECK")</f>
        <v/>
      </c>
    </row>
    <row r="13" ht="37.9" customHeight="1">
      <c r="A13" s="5" t="inlineStr">
        <is>
          <t>The serving-capacity rule explains the queue: the rule applied to each lunch ÷ the simulated wait, Central today (within 25%)</t>
        </is>
      </c>
      <c r="B13" s="98">
        <f>'Q2 Serving stations'!I6/'Q2 Serving stations'!G6</f>
        <v/>
      </c>
      <c r="C13" s="44">
        <f>IF(ABS(B13-1)&lt;=0.25,"OK","CHECK")</f>
        <v/>
      </c>
    </row>
    <row r="14" ht="37.9" customHeight="1">
      <c r="A14" s="5" t="inlineStr">
        <is>
          <t>Load balancing narrows the gap between the messes at the busiest 10 minutes</t>
        </is>
      </c>
      <c r="B14" s="70">
        <f>'Load Balancing'!B171-'Load Balancing'!C171</f>
        <v/>
      </c>
      <c r="C14" s="44">
        <f>IF(B14&gt;0,"OK","CHECK")</f>
        <v/>
      </c>
    </row>
    <row r="15" ht="37.9" customHeight="1">
      <c r="A15" s="5" t="inlineStr">
        <is>
          <t>Every input on the Assumptions tab is a number (text such as '12-15' breaks the formulas)</t>
        </is>
      </c>
      <c r="B15" s="97">
        <f>SUMPRODUCT(--ISNUMBER('Assumptions'!$B$5:$B$47))</f>
        <v/>
      </c>
      <c r="C15" s="44">
        <f>IF(B15=28,"OK","CHECK: fix the yellow/blue inputs")</f>
        <v/>
      </c>
    </row>
    <row r="16" ht="21.95" customHeight="1">
      <c r="A16" s="5" t="inlineStr">
        <is>
          <t>No formula errors in Variables</t>
        </is>
      </c>
      <c r="B16" s="97">
        <f>SUMPRODUCT(--ISERROR('Variables'!$A$4:$G$80))</f>
        <v/>
      </c>
      <c r="C16" s="44">
        <f>IF(B16=0,"OK","CHECK")</f>
        <v/>
      </c>
    </row>
    <row r="17"/>
    <row r="18" ht="21.95" customHeight="1">
      <c r="A18" s="87" t="inlineStr">
        <is>
          <t>All checks</t>
        </is>
      </c>
      <c r="C18" s="18">
        <f>IF(COUNTIF(C5:C16,"OK")=12,"ALL OK","CHECK")</f>
        <v/>
      </c>
    </row>
    <row r="19" ht="53.85" customHeight="1">
      <c r="A19" s="52" t="inlineStr">
        <is>
          <t>Takeaway: Over a whole lunch, Σ(time-average people inside × 10 min) = Σ(arrivals × visit time) exactly; the check allows 10% because students who arrive late in a slot spill their minutes into the next one and the run ends when the last student has a seat.</t>
        </is>
      </c>
    </row>
  </sheetData>
  <mergeCells count="1">
    <mergeCell ref="A19:C19"/>
  </mergeCells>
  <printOptions horizontalCentered="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2026-10-25T17:35:33Z</dcterms:created>
  <dcterms:modified xmlns:dcterms="http://purl.org/dc/terms/" xmlns:xsi="http://www.w3.org/2001/XMLSchema-instance" xsi:type="dcterms:W3CDTF">2026-10-25T17:35:34Z</dcterms:modified>
</cp:coreProperties>
</file>