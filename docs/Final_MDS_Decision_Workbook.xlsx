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0.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vmlDrawing1.vml" ContentType="application/vnd.openxmlformats-officedocument.vmlDrawing"/>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Inputs" sheetId="2" state="visible" r:id="rId4"/>
    <sheet name="S2-3 Problem &amp; Root Cause" sheetId="3" state="visible" r:id="rId5"/>
    <sheet name="S4 Biases &amp; Ethics" sheetId="4" state="visible" r:id="rId6"/>
    <sheet name="S5-6 Priority Matrix" sheetId="5" state="visible" r:id="rId7"/>
    <sheet name="Arrival Curve" sheetId="6" state="visible" r:id="rId8"/>
    <sheet name="S15 Queuing" sheetId="7" state="visible" r:id="rId9"/>
    <sheet name="LP Student Flow" sheetId="8" state="visible" r:id="rId10"/>
    <sheet name="LP Food Allocation" sheetId="9" state="visible" r:id="rId11"/>
    <sheet name="S7 Payoff Matrix" sheetId="10" state="visible" r:id="rId12"/>
    <sheet name="S18 Heuristics" sheetId="11" state="visible" r:id="rId13"/>
    <sheet name="Decision Rule" sheetId="12" state="visible" r:id="rId14"/>
    <sheet name="Scenarios" sheetId="13" state="visible" r:id="rId15"/>
    <sheet name="Reconciliation" sheetId="14" state="visible" r:id="rId16"/>
    <sheet name="Simulation Method" sheetId="15" state="visible" r:id="rId17"/>
    <sheet name="Data Collection" sheetId="16" state="visible" r:id="rId18"/>
    <sheet name="Checks" sheetId="17" state="visible" r:id="rId19"/>
  </sheets>
  <calcPr iterateCount="100" refMode="A1" iterate="false" iterateDelta="0.0001"/>
  <extLst>
    <ext xmlns:loext="http://schemas.libreoffice.org/" uri="{7626C862-2A13-11E5-B345-FEFF819CDC9F}">
      <loext:extCalcPr stringRefSyntax="ExcelA1"/>
    </ext>
  </extLst>
</workbook>
</file>

<file path=xl/comments10.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Simulated: 20 lunches, ±0.13 (95% CI)</t>
        </r>
      </text>
    </comment>
    <comment ref="B8" authorId="0">
      <text>
        <r>
          <rPr>
            <sz val="10"/>
            <rFont val="Arial"/>
            <family val="2"/>
          </rPr>
          <t xml:space="preserve">Simulated: 20 lunches, ±0.05 (95% CI)</t>
        </r>
      </text>
    </comment>
    <comment ref="B9" authorId="0">
      <text>
        <r>
          <rPr>
            <sz val="10"/>
            <rFont val="Arial"/>
            <family val="2"/>
          </rPr>
          <t xml:space="preserve">Simulated: 20 lunches, ±0.05 (95% CI)</t>
        </r>
      </text>
    </comment>
    <comment ref="B10" authorId="0">
      <text>
        <r>
          <rPr>
            <sz val="10"/>
            <rFont val="Arial"/>
            <family val="2"/>
          </rPr>
          <t xml:space="preserve">Simulated: 20 lunches, ±0.02 (95% CI)</t>
        </r>
      </text>
    </comment>
    <comment ref="B11" authorId="0">
      <text>
        <r>
          <rPr>
            <sz val="10"/>
            <rFont val="Arial"/>
            <family val="2"/>
          </rPr>
          <t xml:space="preserve">Simulated: 20 lunches, ±0.01 (95% CI)</t>
        </r>
      </text>
    </comment>
    <comment ref="C7" authorId="0">
      <text>
        <r>
          <rPr>
            <sz val="10"/>
            <rFont val="Arial"/>
            <family val="2"/>
          </rPr>
          <t xml:space="preserve">Simulated: 20 lunches, ±0.63 (95% CI)</t>
        </r>
      </text>
    </comment>
    <comment ref="C8" authorId="0">
      <text>
        <r>
          <rPr>
            <sz val="10"/>
            <rFont val="Arial"/>
            <family val="2"/>
          </rPr>
          <t xml:space="preserve">Simulated: 20 lunches, ±0.33 (95% CI)</t>
        </r>
      </text>
    </comment>
    <comment ref="C9" authorId="0">
      <text>
        <r>
          <rPr>
            <sz val="10"/>
            <rFont val="Arial"/>
            <family val="2"/>
          </rPr>
          <t xml:space="preserve">Simulated: 20 lunches, ±0.10 (95% CI)</t>
        </r>
      </text>
    </comment>
    <comment ref="C10" authorId="0">
      <text>
        <r>
          <rPr>
            <sz val="10"/>
            <rFont val="Arial"/>
            <family val="2"/>
          </rPr>
          <t xml:space="preserve">Simulated: 20 lunches, ±0.38 (95% CI)</t>
        </r>
      </text>
    </comment>
    <comment ref="C11" authorId="0">
      <text>
        <r>
          <rPr>
            <sz val="10"/>
            <rFont val="Arial"/>
            <family val="2"/>
          </rPr>
          <t xml:space="preserve">Simulated: 20 lunches, ±0.16 (95% CI)</t>
        </r>
      </text>
    </comment>
    <comment ref="D7" authorId="0">
      <text>
        <r>
          <rPr>
            <sz val="10"/>
            <rFont val="Arial"/>
            <family val="2"/>
          </rPr>
          <t xml:space="preserve">Simulated: 20 lunches, ±0.55 (95% CI)</t>
        </r>
      </text>
    </comment>
    <comment ref="D8" authorId="0">
      <text>
        <r>
          <rPr>
            <sz val="10"/>
            <rFont val="Arial"/>
            <family val="2"/>
          </rPr>
          <t xml:space="preserve">Simulated: 20 lunches, ±0.24 (95% CI)</t>
        </r>
      </text>
    </comment>
    <comment ref="D9" authorId="0">
      <text>
        <r>
          <rPr>
            <sz val="10"/>
            <rFont val="Arial"/>
            <family val="2"/>
          </rPr>
          <t xml:space="preserve">Simulated: 20 lunches, ±0.31 (95% CI)</t>
        </r>
      </text>
    </comment>
    <comment ref="D10" authorId="0">
      <text>
        <r>
          <rPr>
            <sz val="10"/>
            <rFont val="Arial"/>
            <family val="2"/>
          </rPr>
          <t xml:space="preserve">Simulated: 20 lunches, ±0.45 (95% CI)</t>
        </r>
      </text>
    </comment>
    <comment ref="D11" authorId="0">
      <text>
        <r>
          <rPr>
            <sz val="10"/>
            <rFont val="Arial"/>
            <family val="2"/>
          </rPr>
          <t xml:space="preserve">Simulated: 20 lunches, ±0.26 (95% CI)</t>
        </r>
      </text>
    </comment>
  </commentList>
</comments>
</file>

<file path=xl/sharedStrings.xml><?xml version="1.0" encoding="utf-8"?>
<sst xmlns="http://schemas.openxmlformats.org/spreadsheetml/2006/main" count="1530" uniqueCount="1039">
  <si>
    <t xml:space="preserve">MDS decision workbook — Beyond the Bottleneck (Group WGB3)</t>
  </si>
  <si>
    <t xml:space="preserve">Enabling smarter lunch flow by optimising queue management and capacity utilisation across Chefs Touch centres (Central CT and Munch Mess, 11:30–14:30).</t>
  </si>
  <si>
    <t xml:space="preserve">How to use</t>
  </si>
  <si>
    <t xml:space="preserve">1. Change only BLUE cells, and almost all of them live on the Inputs tab. Black cells are formulas; GREEN cells pull values from another tab.</t>
  </si>
  <si>
    <t xml:space="preserve">2. YELLOW cells are not measured yet (assumed or group estimate). Replace them with measurements (Data Collection tab).</t>
  </si>
  <si>
    <t xml:space="preserve">3. Green-filled cells are the key results. The Checks tab must say ALL OK:</t>
  </si>
  <si>
    <t xml:space="preserve">How the parts fit together</t>
  </si>
  <si>
    <t xml:space="preserve">Inputs → S15 Queuing (the analytic model) → LP Student Flow (the primary decision: students per mess per slot) → LP Food Allocation (food supports the flow)</t>
  </si>
  <si>
    <t xml:space="preserve">Inputs → the simulator (python -m messq.scenarios) → Scenarios, S7 Payoff Matrix, Reconciliation (why the two models differ)</t>
  </si>
  <si>
    <t xml:space="preserve">Decision Rule = how the screens turn estimates into advice: when Central, when Munch, when no advice</t>
  </si>
  <si>
    <t xml:space="preserve">Status tags</t>
  </si>
  <si>
    <t xml:space="preserve">Tag</t>
  </si>
  <si>
    <t xml:space="preserve">Meaning</t>
  </si>
  <si>
    <t xml:space="preserve">Example</t>
  </si>
  <si>
    <t xml:space="preserve">Measured</t>
  </si>
  <si>
    <t xml:space="preserve">From field work, CT or the group</t>
  </si>
  <si>
    <t xml:space="preserve">2,960 students; seats 900 / 492; 2 stations + 1 scanner per mess</t>
  </si>
  <si>
    <t xml:space="preserve">Group estimate</t>
  </si>
  <si>
    <t xml:space="preserve">The group's figure, not yet timed</t>
  </si>
  <si>
    <t xml:space="preserve">Eating 14–18 min; disposal ≤ 2 min; food ready 70% of the time</t>
  </si>
  <si>
    <t xml:space="preserve">Assumed</t>
  </si>
  <si>
    <t xml:space="preserve">A placeholder until measured</t>
  </si>
  <si>
    <t xml:space="preserve">10 students/min per station; MIT lab share; DLHS/MILHS size</t>
  </si>
  <si>
    <t xml:space="preserve">Calibrated</t>
  </si>
  <si>
    <t xml:space="preserve">Not measured: chosen so the model reproduces what was observed</t>
  </si>
  <si>
    <t xml:space="preserve">Lag from the start of a lunch break to the mess door</t>
  </si>
  <si>
    <t xml:space="preserve">Simulated</t>
  </si>
  <si>
    <t xml:space="preserve">Output of the simulator, 20 lunches per row</t>
  </si>
  <si>
    <t xml:space="preserve">Average wait 4.3 → 0.8 min on a busy day</t>
  </si>
  <si>
    <t xml:space="preserve">Policy</t>
  </si>
  <si>
    <t xml:space="preserve">Our design choice</t>
  </si>
  <si>
    <t xml:space="preserve">Minimum saving 2 min before suggesting a switch</t>
  </si>
  <si>
    <t xml:space="preserve">Tabs</t>
  </si>
  <si>
    <t xml:space="preserve">Tab</t>
  </si>
  <si>
    <t xml:space="preserve">Session(s)</t>
  </si>
  <si>
    <t xml:space="preserve">What it does</t>
  </si>
  <si>
    <t xml:space="preserve">Inputs</t>
  </si>
  <si>
    <t xml:space="preserve">—</t>
  </si>
  <si>
    <t xml:space="preserve">One assumptions table: value, unit, status, source, date, where it is used</t>
  </si>
  <si>
    <t xml:space="preserve">S2-3 Problem &amp; Root Cause</t>
  </si>
  <si>
    <t xml:space="preserve">2–3</t>
  </si>
  <si>
    <t xml:space="preserve">Problem and decision; 5 Whys backtracked from the Phase 1 symptom; fishbone; issue tree</t>
  </si>
  <si>
    <t xml:space="preserve">S4 Biases &amp; Ethics</t>
  </si>
  <si>
    <t xml:space="preserve">4</t>
  </si>
  <si>
    <t xml:space="preserve">Status quo, herding, loss aversion, missing information (hypotheses vs findings); DPDP ethics</t>
  </si>
  <si>
    <t xml:space="preserve">S5-6 Priority Matrix</t>
  </si>
  <si>
    <t xml:space="preserve">5–6</t>
  </si>
  <si>
    <t xml:space="preserve">ABC/XYZ menu matrix; tray weights; impact–effort matrix; decision dilemmas</t>
  </si>
  <si>
    <t xml:space="preserve">Arrival Curve</t>
  </si>
  <si>
    <t xml:space="preserve">15</t>
  </si>
  <si>
    <t xml:space="preserve">Department lunch breaks added up: when students arrive, and the 13:10–13:30 overlap</t>
  </si>
  <si>
    <t xml:space="preserve">S15 Queuing</t>
  </si>
  <si>
    <t xml:space="preserve">M/M/1 check, utilisation curve, M/M/c + fluid queue by 10-min slot, four-stage throughput</t>
  </si>
  <si>
    <t xml:space="preserve">LP Student Flow</t>
  </si>
  <si>
    <t xml:space="preserve">10–11</t>
  </si>
  <si>
    <t xml:space="preserve">PRIMARY model: students to direct to each mess per slot; food as a constraint; shadow price</t>
  </si>
  <si>
    <t xml:space="preserve">LP Food Allocation</t>
  </si>
  <si>
    <t xml:space="preserve">SECONDARY model: the star dish split that supports the flow; graphical method</t>
  </si>
  <si>
    <t xml:space="preserve">S7 Payoff Matrix</t>
  </si>
  <si>
    <t xml:space="preserve">7</t>
  </si>
  <si>
    <t xml:space="preserve">Five alternatives × three kinds of day, every cell simulated: maximax, maximin, Hurwicz, Laplace, EMV, regret, EVPI</t>
  </si>
  <si>
    <t xml:space="preserve">S18 Heuristics</t>
  </si>
  <si>
    <t xml:space="preserve">18</t>
  </si>
  <si>
    <t xml:space="preserve">Door-screen rule, reorder point, heuristic vs full model vs LP bound, metaheuristics</t>
  </si>
  <si>
    <t xml:space="preserve">Decision Rule</t>
  </si>
  <si>
    <t xml:space="preserve">When the screen recommends Munch, Central, or gives no advice; worked situations</t>
  </si>
  <si>
    <t xml:space="preserve">Scenarios</t>
  </si>
  <si>
    <t xml:space="preserve">Current vs queue-only vs queue + food, with uncertainty; stress tests</t>
  </si>
  <si>
    <t xml:space="preserve">Reconciliation</t>
  </si>
  <si>
    <t xml:space="preserve">Why the spreadsheet and the simulator differ, step by step</t>
  </si>
  <si>
    <t xml:space="preserve">Simulation Method</t>
  </si>
  <si>
    <t xml:space="preserve">Arrivals, queues, service, food, routing, measures, runs</t>
  </si>
  <si>
    <t xml:space="preserve">Data Collection</t>
  </si>
  <si>
    <t xml:space="preserve">Stage 2 template: what to measure at both messes, with an automatic diagnosis</t>
  </si>
  <si>
    <t xml:space="preserve">Checks</t>
  </si>
  <si>
    <t xml:space="preserve">Validation: no errors, balances, constraints, calibration, response to inputs</t>
  </si>
  <si>
    <t xml:space="preserve">Inputs: every assumption the workbook and the simulator use</t>
  </si>
  <si>
    <t xml:space="preserve">Change BLUE cells only. Yellow = not measured yet (assumed or group estimate): replace with measured data. The simulator reads the same values from config/default.toml.</t>
  </si>
  <si>
    <t xml:space="preserve">Parameter</t>
  </si>
  <si>
    <t xml:space="preserve">Value</t>
  </si>
  <si>
    <t xml:space="preserve">Unit</t>
  </si>
  <si>
    <t xml:space="preserve">Status</t>
  </si>
  <si>
    <t xml:space="preserve">Source / how to measure</t>
  </si>
  <si>
    <t xml:space="preserve">Date</t>
  </si>
  <si>
    <t xml:space="preserve">Used in</t>
  </si>
  <si>
    <t xml:space="preserve">MEASURED (Phase 1 field work, CT, the group)</t>
  </si>
  <si>
    <t xml:space="preserve">Students per lunch at Central CT + Munch (= plates served)</t>
  </si>
  <si>
    <t xml:space="preserve">students</t>
  </si>
  <si>
    <t xml:space="preserve">Phase 1 deck: ~2,960 plates; one plate per student. Daily counts 2,810–3,465</t>
  </si>
  <si>
    <t xml:space="preserve">Sep 2026</t>
  </si>
  <si>
    <t xml:space="preserve">S15, LP Student Flow, all scenarios</t>
  </si>
  <si>
    <t xml:space="preserve">Lunch opens</t>
  </si>
  <si>
    <t xml:space="preserve">11:30</t>
  </si>
  <si>
    <t xml:space="preserve">time</t>
  </si>
  <si>
    <t xml:space="preserve">Mess timings 11:30–14:30</t>
  </si>
  <si>
    <t xml:space="preserve">Oct 2026</t>
  </si>
  <si>
    <t xml:space="preserve">S15, LP Student Flow</t>
  </si>
  <si>
    <t xml:space="preserve">Lunch window length</t>
  </si>
  <si>
    <t xml:space="preserve">minutes</t>
  </si>
  <si>
    <t xml:space="preserve">11:30–14:30</t>
  </si>
  <si>
    <t xml:space="preserve">S15</t>
  </si>
  <si>
    <t xml:space="preserve">Seats: Central CT</t>
  </si>
  <si>
    <t xml:space="preserve">seats</t>
  </si>
  <si>
    <t xml:space="preserve">Group measurement</t>
  </si>
  <si>
    <t xml:space="preserve">S15, simulator</t>
  </si>
  <si>
    <t xml:space="preserve">Seats: Munch Mess</t>
  </si>
  <si>
    <t xml:space="preserve">Serving stations: Central CT</t>
  </si>
  <si>
    <t xml:space="preserve">stations</t>
  </si>
  <si>
    <t xml:space="preserve">Group observation</t>
  </si>
  <si>
    <t xml:space="preserve">S15, LP, Decision Rule</t>
  </si>
  <si>
    <t xml:space="preserve">Serving stations: Munch Mess</t>
  </si>
  <si>
    <t xml:space="preserve">Face scanners at the entrance: Central CT</t>
  </si>
  <si>
    <t xml:space="preserve">scanners</t>
  </si>
  <si>
    <t xml:space="preserve">Face scanners at the entrance: Munch Mess</t>
  </si>
  <si>
    <t xml:space="preserve">Normal visit, scan to leaving (quiet times)</t>
  </si>
  <si>
    <t xml:space="preserve">Group: about 20 min on a normal day</t>
  </si>
  <si>
    <t xml:space="preserve">Checks (calibration)</t>
  </si>
  <si>
    <t xml:space="preserve">Throughput time range: low (quiet)</t>
  </si>
  <si>
    <t xml:space="preserve">Group: door to leaving takes 17–35 min depending on the rush</t>
  </si>
  <si>
    <t xml:space="preserve">Throughput time range: high (surge)</t>
  </si>
  <si>
    <t xml:space="preserve">As above</t>
  </si>
  <si>
    <t xml:space="preserve">Refill after the 'running low' call if the food must be made (make + send)</t>
  </si>
  <si>
    <t xml:space="preserve">Group: the 30 min starts when the mess calls the kitchen</t>
  </si>
  <si>
    <t xml:space="preserve">Decision Rule, S18, simulator</t>
  </si>
  <si>
    <t xml:space="preserve">Refill if the food is already made: sending only (low)</t>
  </si>
  <si>
    <t xml:space="preserve">Group: 10–14 min</t>
  </si>
  <si>
    <t xml:space="preserve">Decision Rule, simulator</t>
  </si>
  <si>
    <t xml:space="preserve">Refill if the food is already made: sending only (high)</t>
  </si>
  <si>
    <t xml:space="preserve">Delay faced by students at the peak (observed)</t>
  </si>
  <si>
    <t xml:space="preserve">Phase 1 deck: ~15 min</t>
  </si>
  <si>
    <t xml:space="preserve">THE FOUR STAGES OF A VISIT (group estimates where given, else assumed)</t>
  </si>
  <si>
    <t xml:space="preserve">Stage 1: one face scan</t>
  </si>
  <si>
    <t xml:space="preserve">seconds</t>
  </si>
  <si>
    <t xml:space="preserve">Stopwatch at the scanner, or gaps between scans in the logs</t>
  </si>
  <si>
    <t xml:space="preserve">Stage 1: collect a plate after the scan (low)</t>
  </si>
  <si>
    <t xml:space="preserve">Group: scan + plate takes 30–45 s</t>
  </si>
  <si>
    <t xml:space="preserve">Stage 1: collect a plate after the scan (high)</t>
  </si>
  <si>
    <t xml:space="preserve">Stage 2: service rate per serving station</t>
  </si>
  <si>
    <t xml:space="preserve">students/min</t>
  </si>
  <si>
    <t xml:space="preserve">≈6 s per student. Must be about this fast for 2 stations to serve ~2,360 Central students, mostly within two hours. Stopwatch 20–30 students</t>
  </si>
  <si>
    <t xml:space="preserve">S15, LP, Decision Rule, simulator</t>
  </si>
  <si>
    <t xml:space="preserve">Stage 2: rest of food collection after the station (low)</t>
  </si>
  <si>
    <t xml:space="preserve">Group: collecting food takes 1–2 min without a queue, incl. ~6 s at the station</t>
  </si>
  <si>
    <t xml:space="preserve">Stage 2: rest of food collection (high)</t>
  </si>
  <si>
    <t xml:space="preserve">Stage 3: eating at a table (low)</t>
  </si>
  <si>
    <t xml:space="preserve">Group: 14–18 min</t>
  </si>
  <si>
    <t xml:space="preserve">Stage 3: eating at a table (high)</t>
  </si>
  <si>
    <t xml:space="preserve">Stage 3: staying at the table after eating (the seat stays taken)</t>
  </si>
  <si>
    <t xml:space="preserve">Chatting, waiting for friends: a seat is held ~25 min, which is why the hall looks full</t>
  </si>
  <si>
    <t xml:space="preserve">Stage 4: dispose of leftovers and the plate (low)</t>
  </si>
  <si>
    <t xml:space="preserve">Group: 2 min at most</t>
  </si>
  <si>
    <t xml:space="preserve">Stage 4: dispose of leftovers and the plate (high)</t>
  </si>
  <si>
    <t xml:space="preserve">BEHAVIOUR AND DEMAND</t>
  </si>
  <si>
    <t xml:space="preserve">Share who go to Central CT by habit (no screens)</t>
  </si>
  <si>
    <t xml:space="preserve">share</t>
  </si>
  <si>
    <t xml:space="preserve">Group: ~2,360 eat at Central and ~600 at Munch of ~2,960. A day of biometric logs confirms it (Data Collection tab)</t>
  </si>
  <si>
    <t xml:space="preserve">S15, LP, scenarios</t>
  </si>
  <si>
    <t xml:space="preserve">Share of students who follow the screen</t>
  </si>
  <si>
    <t xml:space="preserve">The pilot measures it; stress-tested at 30% and 100%</t>
  </si>
  <si>
    <t xml:space="preserve">Walk between the two mess doors</t>
  </si>
  <si>
    <t xml:space="preserve">30 s; walk it with a stopwatch</t>
  </si>
  <si>
    <t xml:space="preserve">LP, Decision Rule, simulator</t>
  </si>
  <si>
    <t xml:space="preserve">Minutes from the start of a department's lunch break to the mess door: mean</t>
  </si>
  <si>
    <t xml:space="preserve">Chosen so the no-screen simulation fits the 17–35 min visit and ~15 min peak delay. Logs + timetable measure it</t>
  </si>
  <si>
    <t xml:space="preserve">Arrival Curve, simulator</t>
  </si>
  <si>
    <t xml:space="preserve">Same lag: spread (standard deviation); cut off at the end of the break</t>
  </si>
  <si>
    <t xml:space="preserve">Stress-tested at 15 ± 10 min (everyone rushes at the bell)</t>
  </si>
  <si>
    <t xml:space="preserve">DEPARTMENT LUNCH BREAKS (sizes are rough counts, used as shares and scaled to the plates served)</t>
  </si>
  <si>
    <t xml:space="preserve">MIT: students (rough)</t>
  </si>
  <si>
    <t xml:space="preserve">Group: ~1,100 (rough)</t>
  </si>
  <si>
    <t xml:space="preserve">MIT: lunch break starts</t>
  </si>
  <si>
    <t xml:space="preserve">Department timetable</t>
  </si>
  <si>
    <t xml:space="preserve">MIT: lunch break ends</t>
  </si>
  <si>
    <t xml:space="preserve">MIT: share eating in the lab-day break (average weekday)</t>
  </si>
  <si>
    <t xml:space="preserve">Labs: electrical 3 days/week, other branches 2. Assumed 5-day week, ~25% electrical: 0.75×2/5 + 0.25×3/5</t>
  </si>
  <si>
    <t xml:space="preserve">MIT: lab-day break starts</t>
  </si>
  <si>
    <t xml:space="preserve">Group: 13:00–14:00 if there is a lab</t>
  </si>
  <si>
    <t xml:space="preserve">MIT: lab-day break ends</t>
  </si>
  <si>
    <t xml:space="preserve">TAPMI: students (rough)</t>
  </si>
  <si>
    <t xml:space="preserve">Group: ~850 (rough)</t>
  </si>
  <si>
    <t xml:space="preserve">TAPMI: lunch break starts</t>
  </si>
  <si>
    <t xml:space="preserve">TAPMI: lunch break ends</t>
  </si>
  <si>
    <t xml:space="preserve">DOC/MICFE: students (rough)</t>
  </si>
  <si>
    <t xml:space="preserve">Group: ~550 (rough)</t>
  </si>
  <si>
    <t xml:space="preserve">DOC/MICFE: lunch break starts</t>
  </si>
  <si>
    <t xml:space="preserve">DOC/MICFE: lunch break ends</t>
  </si>
  <si>
    <t xml:space="preserve">SMI: students (rough)</t>
  </si>
  <si>
    <t xml:space="preserve">Group: ~450 (rough)</t>
  </si>
  <si>
    <t xml:space="preserve">SMI: lunch break starts</t>
  </si>
  <si>
    <t xml:space="preserve">SMI: lunch break ends</t>
  </si>
  <si>
    <t xml:space="preserve">DLHS/MILHS: students (rough)</t>
  </si>
  <si>
    <t xml:space="preserve">Size not known yet: taken as similar to MLS + MIRM</t>
  </si>
  <si>
    <t xml:space="preserve">DLHS/MILHS: lunch break starts</t>
  </si>
  <si>
    <t xml:space="preserve">DLHS/MILHS: lunch break ends</t>
  </si>
  <si>
    <t xml:space="preserve">MLS: students (rough)</t>
  </si>
  <si>
    <t xml:space="preserve">Group: MLS + MIRM ~100 together; half each assumed</t>
  </si>
  <si>
    <t xml:space="preserve">MLS: lunch break starts</t>
  </si>
  <si>
    <t xml:space="preserve">MLS: lunch break ends</t>
  </si>
  <si>
    <t xml:space="preserve">MIRM: students (rough)</t>
  </si>
  <si>
    <t xml:space="preserve">As MLS</t>
  </si>
  <si>
    <t xml:space="preserve">MIRM: lunch break starts</t>
  </si>
  <si>
    <t xml:space="preserve">Timing not known: placed in the middle of the other breaks</t>
  </si>
  <si>
    <t xml:space="preserve">MIRM: lunch break ends</t>
  </si>
  <si>
    <t xml:space="preserve">FOOD</t>
  </si>
  <si>
    <t xml:space="preserve">Chance the next batch is already made when the mess calls</t>
  </si>
  <si>
    <t xml:space="preserve">Group: about 70% of the time</t>
  </si>
  <si>
    <t xml:space="preserve">Food left when the manager taps 'running low' (= calls the kitchen)</t>
  </si>
  <si>
    <t xml:space="preserve">Protocol for the manager. Record tap times and run-out times to check it</t>
  </si>
  <si>
    <t xml:space="preserve">Star-dish servings per student</t>
  </si>
  <si>
    <t xml:space="preserve">servings</t>
  </si>
  <si>
    <t xml:space="preserve">Star dish is refillable: measure portions issued ÷ plates</t>
  </si>
  <si>
    <t xml:space="preserve">Star-dish portions Munch can serve this lunch (plan)</t>
  </si>
  <si>
    <t xml:space="preserve">portions</t>
  </si>
  <si>
    <t xml:space="preserve">Ask CT: batches planned for Munch</t>
  </si>
  <si>
    <t xml:space="preserve">LP Student Flow (food constraint)</t>
  </si>
  <si>
    <t xml:space="preserve">Star-dish portions the kitchen can have ready before the peak</t>
  </si>
  <si>
    <t xml:space="preserve">Ask CT</t>
  </si>
  <si>
    <t xml:space="preserve">KINDS OF DAY (for the payoff matrix; from the biometric logs once available)</t>
  </si>
  <si>
    <t xml:space="preserve">Share of lunches that are normal (−20% students)</t>
  </si>
  <si>
    <t xml:space="preserve">Count days by arrivals in the logs</t>
  </si>
  <si>
    <t xml:space="preserve">Share of lunches that are busy (~2,960 students)</t>
  </si>
  <si>
    <t xml:space="preserve">Share of lunches with a surge and late refills</t>
  </si>
  <si>
    <t xml:space="preserve">POLICY SETTINGS (our choice)</t>
  </si>
  <si>
    <t xml:space="preserve">Target maximum utilisation per station</t>
  </si>
  <si>
    <t xml:space="preserve">Above ~85% waits rise steeply (S15)</t>
  </si>
  <si>
    <t xml:space="preserve">Minimum saving before a screen suggests switching</t>
  </si>
  <si>
    <t xml:space="preserve">Prototype setting (config: layout.min_saving_min)</t>
  </si>
  <si>
    <t xml:space="preserve">Extra margin for estimate uncertainty</t>
  </si>
  <si>
    <t xml:space="preserve">Added to the minimum saving in the decision rule</t>
  </si>
  <si>
    <t xml:space="preserve">No advice if a scanner has sent nothing for</t>
  </si>
  <si>
    <t xml:space="preserve">Data check: a silent scanner means the estimate is stale</t>
  </si>
  <si>
    <t xml:space="preserve">DERIVED (formulas: do not type here)</t>
  </si>
  <si>
    <t xml:space="preserve">Serving capacity: Central CT (stations × service rate)</t>
  </si>
  <si>
    <t xml:space="preserve">Derived</t>
  </si>
  <si>
    <t xml:space="preserve">Serving capacity: Munch Mess</t>
  </si>
  <si>
    <t xml:space="preserve">Scanner capacity: Central (scanners × 60 ÷ seconds per scan)</t>
  </si>
  <si>
    <t xml:space="preserve">Scanner capacity: Munch</t>
  </si>
  <si>
    <t xml:space="preserve">Stage 1 time with no queue: scan + collect a plate</t>
  </si>
  <si>
    <t xml:space="preserve">Stage 2 time after the station: walk the food line</t>
  </si>
  <si>
    <t xml:space="preserve">Stage 3 seat held: mean eating time + staying at the table</t>
  </si>
  <si>
    <t xml:space="preserve">Stage 4 mean disposal time</t>
  </si>
  <si>
    <t xml:space="preserve">Throughput with no queues: stage 1 + serving + food line + eating + disposal</t>
  </si>
  <si>
    <t xml:space="preserve">Expected refill time from the call: ready × (10–14 mean) + not ready × 30</t>
  </si>
  <si>
    <t xml:space="preserve">Arrivals the seats can absorb: Central (Little's Law: seats ÷ seat time)</t>
  </si>
  <si>
    <t xml:space="preserve">Arrivals the seats can absorb: Munch</t>
  </si>
  <si>
    <t xml:space="preserve">Problem definition, decision context and root causes</t>
  </si>
  <si>
    <t xml:space="preserve">Sessions 2–3: Nature of business decisions · Problem identification, structuring, root cause analysis</t>
  </si>
  <si>
    <t xml:space="preserve">Problem statement (Phase 2: Beyond the Bottleneck)</t>
  </si>
  <si>
    <t xml:space="preserve">During the 11:30–14:30 lunch window, Chefs Touch serves about 2,960 students at Central CT and Munch Mess, which serve the same menu 30 seconds apart. Total serving capacity is enough on average but is used unevenly: one mess saturates while the other has spare capacity, so students wait (~15 min observed), and star-dish run-outs at the busy mess make it worse.</t>
  </si>
  <si>
    <t xml:space="preserve">Primary decision (LP Student Flow): how many students should be directed to each mess in each 10-minute slot, so that waiting falls without adding staff or space? Constraints: serving capacity, food availability, walking time, compliance, demand uncertainty. Secondary decision (LP Food Allocation): how should the star dish be allocated and replenished to support that flow?</t>
  </si>
  <si>
    <t xml:space="preserve">Session 2: nature of the decision</t>
  </si>
  <si>
    <t xml:space="preserve">Dimension</t>
  </si>
  <si>
    <t xml:space="preserve">Classification</t>
  </si>
  <si>
    <t xml:space="preserve">Why</t>
  </si>
  <si>
    <t xml:space="preserve">Level</t>
  </si>
  <si>
    <t xml:space="preserve">Operational</t>
  </si>
  <si>
    <t xml:space="preserve">Made every lunch, minute by minute, at the mess door and in the kitchen</t>
  </si>
  <si>
    <t xml:space="preserve">Structure</t>
  </si>
  <si>
    <t xml:space="preserve">Structured / programmable</t>
  </si>
  <si>
    <t xml:space="preserve">The same choice repeats daily; inputs can be measured (scans, stock, stations)</t>
  </si>
  <si>
    <t xml:space="preserve">Certainty</t>
  </si>
  <si>
    <t xml:space="preserve">Under risk / uncertainty</t>
  </si>
  <si>
    <t xml:space="preserve">Daily demand varies; probabilities come from the biometric logs</t>
  </si>
  <si>
    <t xml:space="preserve">Frequency</t>
  </si>
  <si>
    <t xml:space="preserve">Recurring (daily)</t>
  </si>
  <si>
    <t xml:space="preserve">Justifies a model and a decision rule instead of ad-hoc judgement</t>
  </si>
  <si>
    <t xml:space="preserve">Decision makers</t>
  </si>
  <si>
    <t xml:space="preserve">Mess manager (food status), students (which mess)</t>
  </si>
  <si>
    <t xml:space="preserve">Students' choice of mess is itself a decision we can inform</t>
  </si>
  <si>
    <t xml:space="preserve">Session 3: 5 Whys, backtracked. Phase 1 stopped at a symptom; Phase 2 follows the chain to the root cause</t>
  </si>
  <si>
    <t xml:space="preserve">Why?</t>
  </si>
  <si>
    <t xml:space="preserve">Phase 1 answer (symptom)</t>
  </si>
  <si>
    <t xml:space="preserve">Phase 2 answer (after backtracking)</t>
  </si>
  <si>
    <t xml:space="preserve">Evidence</t>
  </si>
  <si>
    <t xml:space="preserve">1. Why do students wait ~15 min?</t>
  </si>
  <si>
    <t xml:space="preserve">Food runs out at peak</t>
  </si>
  <si>
    <t xml:space="preserve">Central's serving stations are overloaded at peak</t>
  </si>
  <si>
    <t xml:space="preserve">Line was at the stations; trays and seats free (field visit)</t>
  </si>
  <si>
    <t xml:space="preserve">Observed</t>
  </si>
  <si>
    <t xml:space="preserve">2. Why are they overloaded?</t>
  </si>
  <si>
    <t xml:space="preserve">~30 arrive/min against 20/min capacity at the 13:10 overlap, while Munch gets ~8</t>
  </si>
  <si>
    <t xml:space="preserve">S15 Queuing, Scenarios (simulated)</t>
  </si>
  <si>
    <t xml:space="preserve">Simulated; logs will confirm</t>
  </si>
  <si>
    <t xml:space="preserve">3. Why so uneven?</t>
  </si>
  <si>
    <t xml:space="preserve">About 80% go to Central by habit (~2,360 of ~2,960)</t>
  </si>
  <si>
    <t xml:space="preserve">Inputs: habit share</t>
  </si>
  <si>
    <t xml:space="preserve">Measured (group)</t>
  </si>
  <si>
    <t xml:space="preserve">4. Why habit?</t>
  </si>
  <si>
    <t xml:space="preserve">At the moment of choosing, nobody can see how busy either mess is</t>
  </si>
  <si>
    <t xml:space="preserve">S4 Biases</t>
  </si>
  <si>
    <t xml:space="preserve">Hypothesis (survey)</t>
  </si>
  <si>
    <t xml:space="preserve">5. Why not?</t>
  </si>
  <si>
    <t xml:space="preserve">Every entry is already scanned, but the data is never used live</t>
  </si>
  <si>
    <t xml:space="preserve">Biometric system exists (COSEC)</t>
  </si>
  <si>
    <t xml:space="preserve">Food chain: star dishes run out mid-peak → refills start only at a 'running low' call → 30 min if not already made → no forecast from live arrivals. Both chains end at the same gap: live demand data exists but nobody acts on it.</t>
  </si>
  <si>
    <t xml:space="preserve">Session 3: fishbone (cause-and-effect) for 'long wait at lunch'</t>
  </si>
  <si>
    <t xml:space="preserve">People</t>
  </si>
  <si>
    <t xml:space="preserve">Process</t>
  </si>
  <si>
    <t xml:space="preserve">Information</t>
  </si>
  <si>
    <t xml:space="preserve">Logistics / place</t>
  </si>
  <si>
    <t xml:space="preserve">Students arrive together at peak</t>
  </si>
  <si>
    <t xml:space="preserve">2 serving stations and 1 face scanner per mess</t>
  </si>
  <si>
    <t xml:space="preserve">Replenishment is reactive</t>
  </si>
  <si>
    <t xml:space="preserve">No live view of demand</t>
  </si>
  <si>
    <t xml:space="preserve">Delivery shares the student walkway</t>
  </si>
  <si>
    <t xml:space="preserve">Habit: same mess every day</t>
  </si>
  <si>
    <t xml:space="preserve">Refilling at the counter stops the line</t>
  </si>
  <si>
    <t xml:space="preserve">Base foods under-buffered</t>
  </si>
  <si>
    <t xml:space="preserve">Published menu ≠ served menu</t>
  </si>
  <si>
    <t xml:space="preserve">Return station not measured</t>
  </si>
  <si>
    <t xml:space="preserve">Herding: a long line looks better</t>
  </si>
  <si>
    <t xml:space="preserve">Serving rate not measured</t>
  </si>
  <si>
    <t xml:space="preserve">No reorder point</t>
  </si>
  <si>
    <t xml:space="preserve">No per-mess forecast</t>
  </si>
  <si>
    <t xml:space="preserve">One kitchen supplies five centres</t>
  </si>
  <si>
    <t xml:space="preserve">Issue tree (problem structuring)</t>
  </si>
  <si>
    <t xml:space="preserve">Branch</t>
  </si>
  <si>
    <t xml:space="preserve">Sub-question</t>
  </si>
  <si>
    <t xml:space="preserve">Tool in this workbook</t>
  </si>
  <si>
    <t xml:space="preserve">Demand</t>
  </si>
  <si>
    <t xml:space="preserve">When and where do students arrive? Is Central really busier?</t>
  </si>
  <si>
    <t xml:space="preserve">Data Collection, S15 Queuing</t>
  </si>
  <si>
    <t xml:space="preserve">Capacity</t>
  </si>
  <si>
    <t xml:space="preserve">How many stations, how fast, how much spare at Munch?</t>
  </si>
  <si>
    <t xml:space="preserve">S15 Queuing, Scenarios (stress tests)</t>
  </si>
  <si>
    <t xml:space="preserve">Allocation of students</t>
  </si>
  <si>
    <t xml:space="preserve">How many to send to each mess, when?</t>
  </si>
  <si>
    <t xml:space="preserve">LP Student Flow (primary model), Decision Rule</t>
  </si>
  <si>
    <t xml:space="preserve">Allocation of food</t>
  </si>
  <si>
    <t xml:space="preserve">How much of the star dish to each mess, and when to refill?</t>
  </si>
  <si>
    <t xml:space="preserve">LP Food Allocation, Decision Rule (refill clock), S18</t>
  </si>
  <si>
    <t xml:space="preserve">Choice of intervention</t>
  </si>
  <si>
    <t xml:space="preserve">Which option is best on normal, busy and surge days?</t>
  </si>
  <si>
    <t xml:space="preserve">S7 Payoff Matrix, Scenarios</t>
  </si>
  <si>
    <t xml:space="preserve">Model trust</t>
  </si>
  <si>
    <t xml:space="preserve">Do the spreadsheet and the simulator agree?</t>
  </si>
  <si>
    <t xml:space="preserve">Reconciliation, Simulation Method, Checks</t>
  </si>
  <si>
    <t xml:space="preserve">Decision biases and ethical decision making</t>
  </si>
  <si>
    <t xml:space="preserve">Session 4: Decision-making frameworks, decision biases, ethical decision making</t>
  </si>
  <si>
    <t xml:space="preserve">Bias</t>
  </si>
  <si>
    <t xml:space="preserve">Where it shows up in the mess problem</t>
  </si>
  <si>
    <t xml:space="preserve">How the project counters it</t>
  </si>
  <si>
    <t xml:space="preserve">Status quo / habit</t>
  </si>
  <si>
    <t xml:space="preserve">Students go to the same mess daily even when the other is faster</t>
  </si>
  <si>
    <t xml:space="preserve">Door screens show the faster option at the moment of choice</t>
  </si>
  <si>
    <t xml:space="preserve">Hypothesis: survey + logs</t>
  </si>
  <si>
    <t xml:space="preserve">Herding</t>
  </si>
  <si>
    <t xml:space="preserve">A long line reads as a sign the food is better; if everyone follows one signal, the 'empty' mess becomes the busy one</t>
  </si>
  <si>
    <t xml:space="preserve">Equal-wait split + 2-minute minimum saving (Decision Rule)</t>
  </si>
  <si>
    <t xml:space="preserve">Shown in simulation (Scenarios: naive vs proposal)</t>
  </si>
  <si>
    <t xml:space="preserve">Loss aversion</t>
  </si>
  <si>
    <t xml:space="preserve">The 30-second walk feels like a cost; minutes in line don't</t>
  </si>
  <si>
    <t xml:space="preserve">Show the saving in minutes ('save ~8 min')</t>
  </si>
  <si>
    <t xml:space="preserve">Hypothesis: survey</t>
  </si>
  <si>
    <t xml:space="preserve">No information (bounded rationality)</t>
  </si>
  <si>
    <t xml:space="preserve">From the door you can't see the other mess's queue</t>
  </si>
  <si>
    <t xml:space="preserve">Live estimates on screens and phones</t>
  </si>
  <si>
    <t xml:space="preserve">Anchoring (planning)</t>
  </si>
  <si>
    <t xml:space="preserve">Kitchen plans from the published menu; the served menu differed</t>
  </si>
  <si>
    <t xml:space="preserve">Record the actual menu; forecast from observed arrivals</t>
  </si>
  <si>
    <t xml:space="preserve">Observed (field visit)</t>
  </si>
  <si>
    <t xml:space="preserve">Confirmation (our team)</t>
  </si>
  <si>
    <t xml:space="preserve">We want the screens to look good</t>
  </si>
  <si>
    <t xml:space="preserve">Report observed / assumed / simulated separately; if the logs show Munch is not underused, revise the diagnosis</t>
  </si>
  <si>
    <t xml:space="preserve">Built into this workbook</t>
  </si>
  <si>
    <t xml:space="preserve">Ethics checklist</t>
  </si>
  <si>
    <t xml:space="preserve">Principle</t>
  </si>
  <si>
    <t xml:space="preserve">What we do</t>
  </si>
  <si>
    <t xml:space="preserve">Data minimisation (DPDP Act 2023)</t>
  </si>
  <si>
    <t xml:space="preserve">Request only scan time + mess + pseudonymous ID; no face data or templates</t>
  </si>
  <si>
    <t xml:space="preserve">Built into data request</t>
  </si>
  <si>
    <t xml:space="preserve">Pseudonymisation</t>
  </si>
  <si>
    <t xml:space="preserve">IDs hashed on reading; names hidden by default</t>
  </si>
  <si>
    <t xml:space="preserve">Built into prototype</t>
  </si>
  <si>
    <t xml:space="preserve">Purpose limitation &amp; retention</t>
  </si>
  <si>
    <t xml:space="preserve">Use for this project only; delete at semester end</t>
  </si>
  <si>
    <t xml:space="preserve">Committed in email</t>
  </si>
  <si>
    <t xml:space="preserve">Honesty to students</t>
  </si>
  <si>
    <t xml:space="preserve">Suggest switching only if it saves ≥ 2 min; no advice when data is stale</t>
  </si>
  <si>
    <t xml:space="preserve">Consent / approval</t>
  </si>
  <si>
    <t xml:space="preserve">Written approval from college and vendor before any live connection</t>
  </si>
  <si>
    <t xml:space="preserve">Pending</t>
  </si>
  <si>
    <t xml:space="preserve">Fairness</t>
  </si>
  <si>
    <t xml:space="preserve">Advice is the same for everyone; no priority for any group</t>
  </si>
  <si>
    <t xml:space="preserve">Decision dilemma and priority matrices</t>
  </si>
  <si>
    <t xml:space="preserve">Sessions 5–6: Decision dilemma and project priority matrix</t>
  </si>
  <si>
    <t xml:space="preserve">1. Menu criticality × predictability (ABC/XYZ), MDS_dataset.xlsx 'Priority Matrix', menu week 31 Aug–6 Sep</t>
  </si>
  <si>
    <t xml:space="preserve">Class</t>
  </si>
  <si>
    <t xml:space="preserve">Menu entries</t>
  </si>
  <si>
    <t xml:space="preserve">Share</t>
  </si>
  <si>
    <t xml:space="preserve">What to do</t>
  </si>
  <si>
    <t xml:space="preserve">Tight Control</t>
  </si>
  <si>
    <t xml:space="preserve">AZ</t>
  </si>
  <si>
    <t xml:space="preserve">Measure and model: star dishes, chapattis, curd/raitha</t>
  </si>
  <si>
    <t xml:space="preserve">The dataset's field notes label curd AX while its menu ratings give AZ; we follow the ratings.</t>
  </si>
  <si>
    <t xml:space="preserve">Calculated Issue</t>
  </si>
  <si>
    <t xml:space="preserve">AX</t>
  </si>
  <si>
    <t xml:space="preserve">Derive from plate count: one-per-plate sweets</t>
  </si>
  <si>
    <t xml:space="preserve">Buffered Issue</t>
  </si>
  <si>
    <t xml:space="preserve">CZ</t>
  </si>
  <si>
    <t xml:space="preserve">Issue with a safety margin: rice, dal, sambar, rasam, dry veg</t>
  </si>
  <si>
    <t xml:space="preserve">Free Issue</t>
  </si>
  <si>
    <t xml:space="preserve">CX</t>
  </si>
  <si>
    <t xml:space="preserve">Issue without control: pickle, salt, sugar, fryums</t>
  </si>
  <si>
    <t xml:space="preserve">Total</t>
  </si>
  <si>
    <t xml:space="preserve">2. Tray weights used by the live system (config/default.toml [[tray]]): how much a tray running low or out changes the advice</t>
  </si>
  <si>
    <t xml:space="preserve">Tray</t>
  </si>
  <si>
    <t xml:space="preserve">Item type (matrix)</t>
  </si>
  <si>
    <t xml:space="preserve">Weight</t>
  </si>
  <si>
    <t xml:space="preserve">When OUT</t>
  </si>
  <si>
    <t xml:space="preserve">Why this weight</t>
  </si>
  <si>
    <t xml:space="preserve">Gravy sabji, Special rice</t>
  </si>
  <si>
    <t xml:space="preserve">Star dish</t>
  </si>
  <si>
    <t xml:space="preserve">★ 1.0</t>
  </si>
  <si>
    <t xml:space="preserve">Outage: that mess serves nobody until the refill</t>
  </si>
  <si>
    <t xml:space="preserve">'The one item everyone notices when it is gone'</t>
  </si>
  <si>
    <t xml:space="preserve">Roti</t>
  </si>
  <si>
    <t xml:space="preserve">Made fresh in batches</t>
  </si>
  <si>
    <t xml:space="preserve">Adds 0.5 × expected refill time</t>
  </si>
  <si>
    <t xml:space="preserve">Running out is a speed problem; another tawa fixes it</t>
  </si>
  <si>
    <t xml:space="preserve">Dessert</t>
  </si>
  <si>
    <t xml:space="preserve">One per plate</t>
  </si>
  <si>
    <t xml:space="preserve">Adds 0.3 × expected refill time</t>
  </si>
  <si>
    <t xml:space="preserve">Demand = plate count; errors are headcount errors</t>
  </si>
  <si>
    <t xml:space="preserve">Curd / raita</t>
  </si>
  <si>
    <t xml:space="preserve">Fresh side</t>
  </si>
  <si>
    <t xml:space="preserve">Risk is surplus more than shortage</t>
  </si>
  <si>
    <t xml:space="preserve">Dry sabji, Dal, Rice, Sambar / rasam</t>
  </si>
  <si>
    <t xml:space="preserve">Base food</t>
  </si>
  <si>
    <t xml:space="preserve">Adds 0.1 × expected refill time</t>
  </si>
  <si>
    <t xml:space="preserve">Interchangeable: 'quietly absorbed by another'</t>
  </si>
  <si>
    <t xml:space="preserve">Salt, pickle, fryums</t>
  </si>
  <si>
    <t xml:space="preserve">Table item</t>
  </si>
  <si>
    <t xml:space="preserve">Not tracked</t>
  </si>
  <si>
    <t xml:space="preserve">Free issue</t>
  </si>
  <si>
    <t xml:space="preserve">Running low: a tray costs a student time only if they reach the counter after it empties and before its refill (Decision Rule). Weights are the group's reading of the matrix; confirm them with the CT manager.</t>
  </si>
  <si>
    <t xml:space="preserve">3. Intervention priority matrix (impact vs effort). Impact from the Scenarios tab; effort scores are the group's judgement.</t>
  </si>
  <si>
    <t xml:space="preserve">Quadrant threshold (score above this = high)</t>
  </si>
  <si>
    <t xml:space="preserve">Intervention</t>
  </si>
  <si>
    <t xml:space="preserve">Impact (1–5)</t>
  </si>
  <si>
    <t xml:space="preserve">Effort (1–5)</t>
  </si>
  <si>
    <t xml:space="preserve">Quadrant</t>
  </si>
  <si>
    <t xml:space="preserve">Reason (impact)</t>
  </si>
  <si>
    <t xml:space="preserve">Reason (effort)</t>
  </si>
  <si>
    <t xml:space="preserve">A2 Door screens, queue information only</t>
  </si>
  <si>
    <t xml:space="preserve">Busy day: wait 4.3 → 1.2 min (simulated)</t>
  </si>
  <si>
    <t xml:space="preserve">Two screens + a laptop; needs data access</t>
  </si>
  <si>
    <t xml:space="preserve">A3 Screens + food status (proposal)</t>
  </si>
  <si>
    <t xml:space="preserve">Busy day: wait 4.3 → 0.8 min (simulated)</t>
  </si>
  <si>
    <t xml:space="preserve">Same as A2 + manager taps food status</t>
  </si>
  <si>
    <t xml:space="preserve">A4 3rd serving station at Central</t>
  </si>
  <si>
    <t xml:space="preserve">Busy day: 4.3 → 0.6 min; best on normal days</t>
  </si>
  <si>
    <t xml:space="preserve">Staff cost every day; space at counter</t>
  </si>
  <si>
    <t xml:space="preserve">A6 Larger buffers for base foods (CZ)</t>
  </si>
  <si>
    <t xml:space="preserve">Base foods ran dry in the field visit</t>
  </si>
  <si>
    <t xml:space="preserve">Just send more rice/dal/sambar</t>
  </si>
  <si>
    <t xml:space="preserve">A7 Stagger class end times</t>
  </si>
  <si>
    <t xml:space="preserve">SMI 15 min earlier: today's wait 4.3 → 3.3 min; TAPMI 15 min later: → 1.7 (simulated)</t>
  </si>
  <si>
    <t xml:space="preserve">Needs academic administration</t>
  </si>
  <si>
    <t xml:space="preserve">4. Decision dilemmas</t>
  </si>
  <si>
    <t xml:space="preserve">Dilemma</t>
  </si>
  <si>
    <t xml:space="preserve">Option 1</t>
  </si>
  <si>
    <t xml:space="preserve">Option 2</t>
  </si>
  <si>
    <t xml:space="preserve">Trade-off</t>
  </si>
  <si>
    <t xml:space="preserve">How we resolve it</t>
  </si>
  <si>
    <t xml:space="preserve">Send students to the other mess?</t>
  </si>
  <si>
    <t xml:space="preserve">Strong advice (risk herding)</t>
  </si>
  <si>
    <t xml:space="preserve">No advice (uneven load)</t>
  </si>
  <si>
    <t xml:space="preserve">Balance vs trust</t>
  </si>
  <si>
    <t xml:space="preserve">Equal-wait split + 2-min threshold (Decision Rule, S18)</t>
  </si>
  <si>
    <t xml:space="preserve">React to 'running low'?</t>
  </si>
  <si>
    <t xml:space="preserve">Redirect early (needless walks)</t>
  </si>
  <si>
    <t xml:space="preserve">Wait for 'out' (late)</t>
  </si>
  <si>
    <t xml:space="preserve">Walks vs waits</t>
  </si>
  <si>
    <t xml:space="preserve">Delay only for students who would reach an empty tray (Decision Rule)</t>
  </si>
  <si>
    <t xml:space="preserve">Add a serving station?</t>
  </si>
  <si>
    <t xml:space="preserve">Yes (staff every day)</t>
  </si>
  <si>
    <t xml:space="preserve">No (long peak waits)</t>
  </si>
  <si>
    <t xml:space="preserve">Staff cost vs waiting</t>
  </si>
  <si>
    <t xml:space="preserve">S7 Payoff Matrix (A4, A5) and Scenarios</t>
  </si>
  <si>
    <t xml:space="preserve">When students arrive: department lunch breaks added up</t>
  </si>
  <si>
    <t xml:space="preserve">Feeds S15 Queuing and the LP. The simulator uses the same curve (config/default.toml)</t>
  </si>
  <si>
    <t xml:space="preserve">Scale: plates served ÷ sum of the rough department sizes</t>
  </si>
  <si>
    <t xml:space="preserve">Cohort</t>
  </si>
  <si>
    <t xml:space="preserve">Students (scaled)</t>
  </si>
  <si>
    <t xml:space="preserve">Break starts (min after opening)</t>
  </si>
  <si>
    <t xml:space="preserve">Break ends (min)</t>
  </si>
  <si>
    <t xml:space="preserve">Mean arrival (min)</t>
  </si>
  <si>
    <t xml:space="preserve">Share of the curve inside the break</t>
  </si>
  <si>
    <t xml:space="preserve">MIT</t>
  </si>
  <si>
    <t xml:space="preserve">MIT (lab day)</t>
  </si>
  <si>
    <t xml:space="preserve">TAPMI</t>
  </si>
  <si>
    <t xml:space="preserve">DOC/MICFE</t>
  </si>
  <si>
    <t xml:space="preserve">SMI</t>
  </si>
  <si>
    <t xml:space="preserve">DLHS/MILHS</t>
  </si>
  <si>
    <t xml:space="preserve">MLS</t>
  </si>
  <si>
    <t xml:space="preserve">MIRM</t>
  </si>
  <si>
    <t xml:space="preserve">Each department starts arriving when its lunch break starts. A student's lag after the break starts is Normal(mean, spread) from the Inputs tab, cut off at the end of the break, so each cohort's arrivals add up to its size. MIT eats 13:00–14:00 on lab days. The sizes are rough and add up to more than the plates served, so they are used as shares. The biometric logs replace this whole tab once available.</t>
  </si>
  <si>
    <t xml:space="preserve">Arrivals per 10-minute slot</t>
  </si>
  <si>
    <t xml:space="preserve">Slot</t>
  </si>
  <si>
    <t xml:space="preserve">Minute</t>
  </si>
  <si>
    <t xml:space="preserve">11:40</t>
  </si>
  <si>
    <t xml:space="preserve">11:50</t>
  </si>
  <si>
    <t xml:space="preserve">12:00</t>
  </si>
  <si>
    <t xml:space="preserve">12:10</t>
  </si>
  <si>
    <t xml:space="preserve">12:20</t>
  </si>
  <si>
    <t xml:space="preserve">12:30</t>
  </si>
  <si>
    <t xml:space="preserve">12:40</t>
  </si>
  <si>
    <t xml:space="preserve">12:50</t>
  </si>
  <si>
    <t xml:space="preserve">13:00</t>
  </si>
  <si>
    <t xml:space="preserve">13:10</t>
  </si>
  <si>
    <t xml:space="preserve">13:20</t>
  </si>
  <si>
    <t xml:space="preserve">13:30</t>
  </si>
  <si>
    <t xml:space="preserve">13:40</t>
  </si>
  <si>
    <t xml:space="preserve">13:50</t>
  </si>
  <si>
    <t xml:space="preserve">14:00</t>
  </si>
  <si>
    <t xml:space="preserve">14:10</t>
  </si>
  <si>
    <t xml:space="preserve">14:20</t>
  </si>
  <si>
    <t xml:space="preserve">Busiest 10-minute slot</t>
  </si>
  <si>
    <t xml:space="preserve">Students arriving in it (both messes)</t>
  </si>
  <si>
    <t xml:space="preserve">Capacity of both messes in 10 min (4 stations)</t>
  </si>
  <si>
    <t xml:space="preserve">Two surges: about 12:10 (MIT and SMI) and a larger one about 13:10–13:30, when MIT's lab-day batch, TAPMI, DOC/MICFE, DLHS/MILHS and MLS overlap. In the busiest slot arrivals reach about 94% of what both messes together can serve, and 80% of them head to Central, which alone can serve only 200. Balancing uses Munch's spare capacity; staggering one department's break by 15 minutes is the demand-side fix (Scenarios: stagger tests).</t>
  </si>
  <si>
    <t xml:space="preserve">Queuing analysis: M/M/1, M/M/c and lunch-peak overload, without vs with the screens</t>
  </si>
  <si>
    <t xml:space="preserve">Session 15: Introduction to queuing theory and waiting-line models</t>
  </si>
  <si>
    <t xml:space="preserve">1. Check against the lecture example (Hatti Kaapi, M/M/1)</t>
  </si>
  <si>
    <t xml:space="preserve">2. Why waits explode near 100% busy (M/M/1, one serving station)</t>
  </si>
  <si>
    <t xml:space="preserve">λ /hour</t>
  </si>
  <si>
    <t xml:space="preserve">μ /hour</t>
  </si>
  <si>
    <t xml:space="preserve">ρ</t>
  </si>
  <si>
    <t xml:space="preserve">Wq (hours)</t>
  </si>
  <si>
    <t xml:space="preserve">Wq (min)</t>
  </si>
  <si>
    <t xml:space="preserve">W (min)</t>
  </si>
  <si>
    <t xml:space="preserve">Lq</t>
  </si>
  <si>
    <t xml:space="preserve">L</t>
  </si>
  <si>
    <t xml:space="preserve">μ per hour</t>
  </si>
  <si>
    <t xml:space="preserve">Lecture answers: ρ = 75%, Wq = 7.5 min, W = 10 min, Lq = 2.25. If these match, the formulas below are right.</t>
  </si>
  <si>
    <t xml:space="preserve">3. Lunch by 10-minute slot: without vs with the door screens (M/M/c, plus a fluid queue for overload)</t>
  </si>
  <si>
    <t xml:space="preserve">Arrivals = the department lunch breaks added up (Arrival Curve tab; shape ASSUMED until the biometric logs replace column C). Backlog (end of slot) = max(0, backlog at the start + arrivals − capacity × 10): the line carried from slot to slot. Queue wait = (backlog at the start + backlog at the end) ÷ 2 ÷ capacity (the line a student meets half-way through the slot) + the M/M/c wait with ρ capped at 95% for the randomness a smooth average misses (P(wait) and Wq random use the capped rate; the live engine uses the same rule). Throughput = stage 1 + queue wait + serving + food line + eating + disposal. 'With screens' moves the share who comply toward equal utilisation in every slot, with perfect knowledge (see Reconciliation).</t>
  </si>
  <si>
    <t xml:space="preserve">Equal-utilisation share for Central</t>
  </si>
  <si>
    <t xml:space="preserve">Formula: capacity of Central ÷ (capacity of Central + capacity of Munch)</t>
  </si>
  <si>
    <t xml:space="preserve">Realised share for Central with screens</t>
  </si>
  <si>
    <t xml:space="preserve">Formula: habit + compliance × (target − habit). Only students who follow the screen move</t>
  </si>
  <si>
    <t xml:space="preserve">Without screens — Central CT</t>
  </si>
  <si>
    <t xml:space="preserve">Without screens — Munch</t>
  </si>
  <si>
    <t xml:space="preserve">With screens — Central CT</t>
  </si>
  <si>
    <t xml:space="preserve">With screens — Munch</t>
  </si>
  <si>
    <t xml:space="preserve">Slot start</t>
  </si>
  <si>
    <t xml:space="preserve">Curve share</t>
  </si>
  <si>
    <t xml:space="preserve">Arrivals (both messes)</t>
  </si>
  <si>
    <t xml:space="preserve">λ total /min</t>
  </si>
  <si>
    <t xml:space="preserve">λ /min</t>
  </si>
  <si>
    <t xml:space="preserve">Scanner ρ</t>
  </si>
  <si>
    <t xml:space="preserve">P(wait)</t>
  </si>
  <si>
    <t xml:space="preserve">Wq random (min)</t>
  </si>
  <si>
    <t xml:space="preserve">Backlog end</t>
  </si>
  <si>
    <t xml:space="preserve">Queue wait (min)</t>
  </si>
  <si>
    <t xml:space="preserve">Throughput (min)</t>
  </si>
  <si>
    <t xml:space="preserve">People inside</t>
  </si>
  <si>
    <t xml:space="preserve">Summary</t>
  </si>
  <si>
    <t xml:space="preserve">Measure</t>
  </si>
  <si>
    <t xml:space="preserve">Without: Central</t>
  </si>
  <si>
    <t xml:space="preserve">Without: Munch</t>
  </si>
  <si>
    <t xml:space="preserve">With: Central</t>
  </si>
  <si>
    <t xml:space="preserve">With: Munch</t>
  </si>
  <si>
    <t xml:space="preserve">Without: both</t>
  </si>
  <si>
    <t xml:space="preserve">With: both</t>
  </si>
  <si>
    <t xml:space="preserve">Average queue wait per student (min)</t>
  </si>
  <si>
    <t xml:space="preserve">Average throughput, door to leaving (min)</t>
  </si>
  <si>
    <t xml:space="preserve">Peak utilisation ρ (serving)</t>
  </si>
  <si>
    <t xml:space="preserve">Peak scanner utilisation</t>
  </si>
  <si>
    <t xml:space="preserve">Largest queue (students)</t>
  </si>
  <si>
    <t xml:space="preserve">Longest queue wait (min)</t>
  </si>
  <si>
    <t xml:space="preserve">Peak people inside (Little's Law L = λW, includes the queue)</t>
  </si>
  <si>
    <t xml:space="preserve">Peak seats needed (served per min × seat time; the stations cap the served rate)</t>
  </si>
  <si>
    <t xml:space="preserve">Seats</t>
  </si>
  <si>
    <t xml:space="preserve">Reading it: above ~85–90% utilisation waits climb steeply; above 100% the queue grows every minute (backlog column). The screens lower the peak utilisation of Central by moving some students to Munch. This spreadsheet measures the queue at the serving stations only; the simulator also counts the scanner queue and any wait for a seat, and adds run-outs (Reconciliation tab).</t>
  </si>
  <si>
    <t xml:space="preserve">Linear programming (primary model): how many students to direct to each mess in each 10-minute slot</t>
  </si>
  <si>
    <t xml:space="preserve">Sessions 10–11: LP formulation, constraints, Solver/simplex, shadow prices · solved with SciPy (HiGHS); re-solve in Excel with Solver</t>
  </si>
  <si>
    <t xml:space="preserve">Formulation (a fluid queue: each slot's queue = last slot's queue + arrivals − what the stations serve)</t>
  </si>
  <si>
    <t xml:space="preserve">Decision variables: y(t) = students redirected from Central to Munch in slot t; QA(t), QB(t) = students still queueing at Central / Munch at the end of slot t</t>
  </si>
  <si>
    <t xml:space="preserve">Objective: minimise total student-minutes of waiting = 10 × Σ [QA(t) + QB(t)] + walk × Σ y(t)   (queue × 10-minute slot, plus 0.5 min per redirected student)</t>
  </si>
  <si>
    <t xml:space="preserve">Subject to: QA(t) ≥ QA(t−1) + h·D(t) − y(t) − 10·capA;   QB(t) ≥ QB(t−1) + (1−h)·D(t) + y(t) − 10·capB   (queues carry over; capacity per slot = 10 min × students/min)</t>
  </si>
  <si>
    <t xml:space="preserve">            0 ≤ y(t) ≤ κ·h·D(t)  (only students at Central's door who follow the screen can move);   Σ [(1−h)·D(t) + y(t)] ≤ F_B  (Munch's star-dish portions)</t>
  </si>
  <si>
    <t xml:space="preserve">            QA, QB ≥ 0.   Data: D(t) arrivals (S15), h habit share, κ compliance, cap = stations × service rate (Inputs). Food is the operational constraint.</t>
  </si>
  <si>
    <t xml:space="preserve">Parameters (from Inputs)</t>
  </si>
  <si>
    <t xml:space="preserve">h: share heading to Central by habit</t>
  </si>
  <si>
    <t xml:space="preserve">κ: share who follow the screen</t>
  </si>
  <si>
    <t xml:space="preserve">capA: Central serving capacity (/min)</t>
  </si>
  <si>
    <t xml:space="preserve">capB: Munch serving capacity (/min)</t>
  </si>
  <si>
    <t xml:space="preserve">Walk between doors (min)</t>
  </si>
  <si>
    <t xml:space="preserve">F_B: Munch star-dish portions</t>
  </si>
  <si>
    <t xml:space="preserve">Arrivals D(t)</t>
  </si>
  <si>
    <t xml:space="preserve">At Central by habit h·D</t>
  </si>
  <si>
    <t xml:space="preserve">At Munch by habit</t>
  </si>
  <si>
    <t xml:space="preserve">Max redirect κ·h·D</t>
  </si>
  <si>
    <t xml:space="preserve">y(t) redirect (decision)</t>
  </si>
  <si>
    <t xml:space="preserve">QA(t) (decision)</t>
  </si>
  <si>
    <t xml:space="preserve">QB(t) (decision)</t>
  </si>
  <si>
    <t xml:space="preserve">Central constraint slack ≥ 0</t>
  </si>
  <si>
    <t xml:space="preserve">Munch constraint slack ≥ 0</t>
  </si>
  <si>
    <t xml:space="preserve">Today: QA (no redirect)</t>
  </si>
  <si>
    <t xml:space="preserve">Today: QB</t>
  </si>
  <si>
    <t xml:space="preserve">Central arrivals after</t>
  </si>
  <si>
    <t xml:space="preserve">Munch arrivals after</t>
  </si>
  <si>
    <t xml:space="preserve">Results</t>
  </si>
  <si>
    <t xml:space="preserve">Objective: student-minutes waiting + walking (LP optimum)</t>
  </si>
  <si>
    <t xml:space="preserve">Today (no redirection): student-minutes waiting</t>
  </si>
  <si>
    <t xml:space="preserve">Average per student, LP optimum (min)</t>
  </si>
  <si>
    <t xml:space="preserve">Average per student, today (min)</t>
  </si>
  <si>
    <t xml:space="preserve">Students redirected to Munch</t>
  </si>
  <si>
    <t xml:space="preserve">Share of all students redirected</t>
  </si>
  <si>
    <t xml:space="preserve">Munch star-dish portions used (must be ≤ F_B)</t>
  </si>
  <si>
    <t xml:space="preserve">Food constraint satisfied?</t>
  </si>
  <si>
    <t xml:space="preserve">Smallest constraint slack (must be ≥ 0)</t>
  </si>
  <si>
    <t xml:space="preserve">Every y(t) within 0 and κ·h·D(t)?</t>
  </si>
  <si>
    <t xml:space="preserve">Sensitivity: how Munch's star-dish portions limit the plan (LP re-solved for each value)</t>
  </si>
  <si>
    <t xml:space="preserve">Munch portions F_B</t>
  </si>
  <si>
    <t xml:space="preserve">Student-minutes</t>
  </si>
  <si>
    <t xml:space="preserve">Avg per student (min)</t>
  </si>
  <si>
    <t xml:space="preserve">Redirected</t>
  </si>
  <si>
    <t xml:space="preserve">Shadow price: student-min saved per extra portion</t>
  </si>
  <si>
    <t xml:space="preserve">Reading it: Munch needs about 862 star-dish portions to carry the optimal flow. Below that, food becomes the binding constraint and every extra portion saves the student-minutes shown (the shadow price): routing and food allocation must be planned together. The LP is a fluid model with no randomness, so its optimum is a lower bound on waiting; the simulator adds random arrivals and service, live estimates with a delay, and run-outs (Scenarios, Reconciliation).</t>
  </si>
  <si>
    <t xml:space="preserve">Re-solve in Excel</t>
  </si>
  <si>
    <t xml:space="preserve">Data → Solver. Set objective B41 to Min. By changing F20:H37. Constraints: I20:J37 ≥ 0; F20:F37 ≤ E20:E37; N38 ≤ $D$17; F20:H37 ≥ 0. Method: Simplex LP. If you change any input, re-run Solver: the yellow decision cells hold the optimum for the current Inputs.</t>
  </si>
  <si>
    <t xml:space="preserve">Linear programming (secondary model): splitting the star dish between the messes to support the student flow</t>
  </si>
  <si>
    <t xml:space="preserve">Sessions 10–11: LP formulation, graphical method (corner points), Solver/simplex</t>
  </si>
  <si>
    <t xml:space="preserve">Formulation</t>
  </si>
  <si>
    <t xml:space="preserve">Decision variables: x1 = star-dish portions ready at Central before the peak, x2 = portions ready at Munch</t>
  </si>
  <si>
    <t xml:space="preserve">Objective: maximise Σ vᵢ·xᵢ, where vᵢ = students per minute who would meet an empty tray at mess i (its peak arrival rate under the flow plan)</t>
  </si>
  <si>
    <t xml:space="preserve">Subject to: x1 + x2 ≤ K (portions the kitchen can have ready);  xᵢ ≤ dᵢ (no point sending more than that mess's demand under the flow plan);  x ≥ 0</t>
  </si>
  <si>
    <t xml:space="preserve">Data (all linked: change Inputs or the flow plan, not these)</t>
  </si>
  <si>
    <t xml:space="preserve">K: portions the kitchen can have ready before the peak</t>
  </si>
  <si>
    <t xml:space="preserve">d1: Central demand under the flow plan (students × servings)</t>
  </si>
  <si>
    <t xml:space="preserve">d2: Munch demand under the flow plan</t>
  </si>
  <si>
    <t xml:space="preserve">v1: students/min at Central's peak under the plan</t>
  </si>
  <si>
    <t xml:space="preserve">v2: students/min at Munch's peak under the plan</t>
  </si>
  <si>
    <t xml:space="preserve">Decision cells (Solver changes these)</t>
  </si>
  <si>
    <t xml:space="preserve">x1 (Central)</t>
  </si>
  <si>
    <t xml:space="preserve">Filled by the greedy rule that solves this LP exactly (fill the mess with the larger v first, then the other). Solver gives the same answer.</t>
  </si>
  <si>
    <t xml:space="preserve">x2 (Munch)</t>
  </si>
  <si>
    <t xml:space="preserve">Objective Σ v·x (student-minutes of run-out exposure avoided per minute)</t>
  </si>
  <si>
    <t xml:space="preserve">Constraints</t>
  </si>
  <si>
    <t xml:space="preserve">Constraint</t>
  </si>
  <si>
    <t xml:space="preserve">Left side</t>
  </si>
  <si>
    <t xml:space="preserve">Sign</t>
  </si>
  <si>
    <t xml:space="preserve">Right side</t>
  </si>
  <si>
    <t xml:space="preserve">OK?</t>
  </si>
  <si>
    <t xml:space="preserve">Kitchen batch: x1 + x2 ≤ K</t>
  </si>
  <si>
    <t xml:space="preserve">≤</t>
  </si>
  <si>
    <t xml:space="preserve">Central demand: x1 ≤ d1</t>
  </si>
  <si>
    <t xml:space="preserve">Munch demand: x2 ≤ d2</t>
  </si>
  <si>
    <t xml:space="preserve">Non-negativity</t>
  </si>
  <si>
    <t xml:space="preserve">≥</t>
  </si>
  <si>
    <t xml:space="preserve">0</t>
  </si>
  <si>
    <t xml:space="preserve">Graphical method: evaluate every corner point of the feasible region</t>
  </si>
  <si>
    <t xml:space="preserve">Corner point</t>
  </si>
  <si>
    <t xml:space="preserve">x1</t>
  </si>
  <si>
    <t xml:space="preserve">x2</t>
  </si>
  <si>
    <t xml:space="preserve">Feasible?</t>
  </si>
  <si>
    <t xml:space="preserve">Objective</t>
  </si>
  <si>
    <t xml:space="preserve">Origin</t>
  </si>
  <si>
    <t xml:space="preserve">Central at demand, Munch 0</t>
  </si>
  <si>
    <t xml:space="preserve">Central at demand, rest to Munch</t>
  </si>
  <si>
    <t xml:space="preserve">Munch at demand, rest to Central</t>
  </si>
  <si>
    <t xml:space="preserve">Munch at demand, Central 0</t>
  </si>
  <si>
    <t xml:space="preserve">Optimal corner (graphical method)</t>
  </si>
  <si>
    <t xml:space="preserve">How this connects to the primary model: the flow plan (LP Student Flow) decides where students go; this tab then decides where the limited star dish should be before the peak. If K covers both demands, the constraint is slack and both messes are fully stocked. If not, the mess whose queue grows faster gets priority. Refills during service are handled by the Decision Rule (refill clock from the 'running low' call).</t>
  </si>
  <si>
    <t xml:space="preserve">Decision making under uncertainty and risk: payoff matrix, with and without the system</t>
  </si>
  <si>
    <t xml:space="preserve">Session 7: maximax, maximin, minimax regret, Hurwicz, Laplace, EMV, EVPI · every wait below is simulated, not estimated</t>
  </si>
  <si>
    <t xml:space="preserve">Average queue wait per student (minutes). Simulated: python -m messq.scenarios, 20 lunches per row (seeds 0–19, the same students in every scenario); ± = 95% confidence interval. Kinds of day: S1 = 20% fewer students; S2 = 2,960; S3 = 20% more students and the next batch never ready.</t>
  </si>
  <si>
    <t xml:space="preserve">Average wait (minutes)  [lower is better]</t>
  </si>
  <si>
    <t xml:space="preserve">S1 Normal day</t>
  </si>
  <si>
    <t xml:space="preserve">S2 Busy day</t>
  </si>
  <si>
    <t xml:space="preserve">S3 Surge + late refills</t>
  </si>
  <si>
    <t xml:space="preserve">S1 Normal day (±95% CI)</t>
  </si>
  <si>
    <t xml:space="preserve">S2 Busy day (±95% CI)</t>
  </si>
  <si>
    <t xml:space="preserve">S3 Surge + late refills (±95% CI)</t>
  </si>
  <si>
    <t xml:space="preserve">A1 No system (today)</t>
  </si>
  <si>
    <t xml:space="preserve">±0.13</t>
  </si>
  <si>
    <t xml:space="preserve">±0.63</t>
  </si>
  <si>
    <t xml:space="preserve">±0.55</t>
  </si>
  <si>
    <t xml:space="preserve">±0.05</t>
  </si>
  <si>
    <t xml:space="preserve">±0.33</t>
  </si>
  <si>
    <t xml:space="preserve">±0.24</t>
  </si>
  <si>
    <t xml:space="preserve">A3 Door screens + food status (proposal)</t>
  </si>
  <si>
    <t xml:space="preserve">±0.10</t>
  </si>
  <si>
    <t xml:space="preserve">±0.31</t>
  </si>
  <si>
    <t xml:space="preserve">A4 3rd serving station at Central (no screens)</t>
  </si>
  <si>
    <t xml:space="preserve">±0.02</t>
  </si>
  <si>
    <t xml:space="preserve">±0.38</t>
  </si>
  <si>
    <t xml:space="preserve">±0.45</t>
  </si>
  <si>
    <t xml:space="preserve">A5 Proposal + 3rd serving station</t>
  </si>
  <si>
    <t xml:space="preserve">±0.01</t>
  </si>
  <si>
    <t xml:space="preserve">±0.16</t>
  </si>
  <si>
    <t xml:space="preserve">±0.26</t>
  </si>
  <si>
    <t xml:space="preserve">Probability of each kind of day (Inputs)</t>
  </si>
  <si>
    <t xml:space="preserve">P(kind of day): from the biometric logs once available</t>
  </si>
  <si>
    <t xml:space="preserve">← must be 100%</t>
  </si>
  <si>
    <t xml:space="preserve">Students per lunch (busy day)</t>
  </si>
  <si>
    <t xml:space="preserve">Payoff = minutes saved per student compared with today = wait(A1) − wait(alternative)   [higher is better]</t>
  </si>
  <si>
    <t xml:space="preserve">Alternative</t>
  </si>
  <si>
    <t xml:space="preserve">Maximax (optimistic)</t>
  </si>
  <si>
    <t xml:space="preserve">Maximin (pessimistic)</t>
  </si>
  <si>
    <t xml:space="preserve">Hurwicz</t>
  </si>
  <si>
    <t xml:space="preserve">Laplace (equal likelihood)</t>
  </si>
  <si>
    <t xml:space="preserve">EMV (with probabilities)</t>
  </si>
  <si>
    <t xml:space="preserve">Student-hours saved per lunch (EMV)</t>
  </si>
  <si>
    <t xml:space="preserve">Best alternative by criterion</t>
  </si>
  <si>
    <t xml:space="preserve">Best without an extra station's staff (A1–A3 only)</t>
  </si>
  <si>
    <t xml:space="preserve">Hurwicz α (degree of optimism, analyst's choice)</t>
  </si>
  <si>
    <t xml:space="preserve">Regret (opportunity loss, minutes) = best payoff on that kind of day − this payoff</t>
  </si>
  <si>
    <t xml:space="preserve">Maximum regret</t>
  </si>
  <si>
    <t xml:space="preserve">Expected regret (EOL)</t>
  </si>
  <si>
    <t xml:space="preserve">Minimax regret choice</t>
  </si>
  <si>
    <t xml:space="preserve">Minimum expected regret (= EMV choice)</t>
  </si>
  <si>
    <t xml:space="preserve">Value of perfect information (minutes per student)</t>
  </si>
  <si>
    <t xml:space="preserve">Expected payoff WITH perfect information (best alternative for each kind of day)</t>
  </si>
  <si>
    <t xml:space="preserve">Best EMV without perfect information</t>
  </si>
  <si>
    <t xml:space="preserve">EVPI = extra minutes per student if we knew the kind of day in advance</t>
  </si>
  <si>
    <t xml:space="preserve">Check: EVPI equals the minimum expected regret</t>
  </si>
  <si>
    <t xml:space="preserve">Reading it: the payoff is waiting time only, so the objective stays explicit. A5 has the lowest wait on every kind of day, so EVPI is 0: knowing the kind of day in advance would not change the choice. Staff cost is not in these minutes: A4 and A5 need a third station's staff every day, while A3 needs two screens and the manager's taps. Without extra staff, the proposal (A3) is the best choice (row 25). On normal days a third station alone does a little better (0.1 vs 0.4 min). A1 and A4 are without the system; A2, A3 and A5 are with it. For a table of waits (lower is better) the criteria would be minimin and minimax; turning waits into minutes saved makes higher better, so the maximax / maximin names apply.</t>
  </si>
  <si>
    <t xml:space="preserve">Heuristics: simple rules that give good answers fast</t>
  </si>
  <si>
    <t xml:space="preserve">Session 18: Heuristics and metaheuristics — concepts and business applications</t>
  </si>
  <si>
    <t xml:space="preserve">1. Door-screen switching rule (used in the prototype)</t>
  </si>
  <si>
    <t xml:space="preserve">Predicted wait if you stay (min)</t>
  </si>
  <si>
    <t xml:space="preserve">Predicted wait at the other mess (min)</t>
  </si>
  <si>
    <t xml:space="preserve">Minimum saving to suggest a switch (min)</t>
  </si>
  <si>
    <t xml:space="preserve">Saving after the walk (min)</t>
  </si>
  <si>
    <t xml:space="preserve">Screen says</t>
  </si>
  <si>
    <t xml:space="preserve">2. When should the manager tap 'running low' (call the kitchen)? A reorder point</t>
  </si>
  <si>
    <t xml:space="preserve">Star dish served per minute at peak (= Central's serving capacity)</t>
  </si>
  <si>
    <t xml:space="preserve">Lead time from the call (worst case: has to be made, then sent)</t>
  </si>
  <si>
    <t xml:space="preserve">Lead time from the call (expected: 70% already made)</t>
  </si>
  <si>
    <t xml:space="preserve">Reorder point, worst case (portions left when the call must go)</t>
  </si>
  <si>
    <t xml:space="preserve">The protocol (20 min of food) covers the expected refill but not the worst case (30 min): in that case a gap opens, and the Decision Rule charges it only to students who would reach the empty tray.</t>
  </si>
  <si>
    <t xml:space="preserve">Reorder point, expected case</t>
  </si>
  <si>
    <t xml:space="preserve">Our protocol: tap 'running low' with this many minutes of food left</t>
  </si>
  <si>
    <t xml:space="preserve">Portions left at the tap (at peak)</t>
  </si>
  <si>
    <t xml:space="preserve">3. Heuristic vs full model (busy day, 60% follow the screens)</t>
  </si>
  <si>
    <t xml:space="preserve">Average wait (min)</t>
  </si>
  <si>
    <t xml:space="preserve">90th pct wait (min)</t>
  </si>
  <si>
    <t xml:space="preserve">Comment</t>
  </si>
  <si>
    <t xml:space="preserve">No advice (today)</t>
  </si>
  <si>
    <t xml:space="preserve">Baseline (simulated)</t>
  </si>
  <si>
    <t xml:space="preserve">Naive heuristic: send people to the shorter queue (≥ 2 min saving)</t>
  </si>
  <si>
    <t xml:space="preserve">Simple rule; works at the doors because feedback is fast (30 s walk)</t>
  </si>
  <si>
    <t xml:space="preserve">Equal-wait split, queues only</t>
  </si>
  <si>
    <t xml:space="preserve">Ignores food status</t>
  </si>
  <si>
    <t xml:space="preserve">Equal-wait split + food status (proposal)</t>
  </si>
  <si>
    <t xml:space="preserve">Bisection search for the split; food delays only for students who would meet an empty tray</t>
  </si>
  <si>
    <t xml:space="preserve">LP lower bound (fluid model, perfect foresight)</t>
  </si>
  <si>
    <t xml:space="preserve">Not achievable live: no randomness, no estimation delay</t>
  </si>
  <si>
    <t xml:space="preserve">4. Metaheuristics (next step)</t>
  </si>
  <si>
    <t xml:space="preserve">A replenishment schedule that minimises waiting + waste over a whole lunch has no closed-form answer because of the queues. A metaheuristic (simulated annealing or a genetic algorithm) can search over schedules, scoring each candidate by running our simulator: 'simulation-optimisation'.</t>
  </si>
  <si>
    <t xml:space="preserve">Decision rule: when the screen outside Central recommends Munch, and when it gives no advice</t>
  </si>
  <si>
    <t xml:space="preserve">The objective stays explicit: minimise each student's expected time to food (queue + walk + any food delay), without overloading the other mess</t>
  </si>
  <si>
    <t xml:space="preserve">The rule (the same logic the prototype runs; config/default.toml)</t>
  </si>
  <si>
    <t xml:space="preserve">1. No advice if the data are stale: a scanner silent for longer than the limit on the Inputs tab.</t>
  </si>
  <si>
    <t xml:space="preserve">2. No advice if the star dish is out at both messes (no better option).</t>
  </si>
  <si>
    <t xml:space="preserve">3. Time if you stay = queue wait here + food delay here. Time if you switch = walk + queue wait there + food delay there.</t>
  </si>
  <si>
    <t xml:space="preserve">4. Food delay for a tray marked 'running low' or 'out': only if you would reach the counter after it empties and before its refill (refill clock runs from the call).</t>
  </si>
  <si>
    <t xml:space="preserve">5. Recommend switching only if it saves at least the minimum saving + an uncertainty margin, AND the other mess still has spare capacity after the move.</t>
  </si>
  <si>
    <t xml:space="preserve">6. Never send everyone: move only enough students to equalise utilisation (capacity-weighted), so the other mess doesn't become the new bottleneck.</t>
  </si>
  <si>
    <t xml:space="preserve">Situation</t>
  </si>
  <si>
    <t xml:space="preserve">Wait at Central (min)</t>
  </si>
  <si>
    <t xml:space="preserve">Wait at Munch (min)</t>
  </si>
  <si>
    <t xml:space="preserve">Central star dish</t>
  </si>
  <si>
    <t xml:space="preserve">Min since Central called kitchen</t>
  </si>
  <si>
    <t xml:space="preserve">Munch star dish</t>
  </si>
  <si>
    <t xml:space="preserve">Min since Munch called kitchen</t>
  </si>
  <si>
    <t xml:space="preserve">Arrivals Central (/min)</t>
  </si>
  <si>
    <t xml:space="preserve">Arrivals Munch (/min)</t>
  </si>
  <si>
    <t xml:space="preserve">Min since last scan</t>
  </si>
  <si>
    <t xml:space="preserve">Central refill due in (min)</t>
  </si>
  <si>
    <t xml:space="preserve">Central food delay (min)</t>
  </si>
  <si>
    <t xml:space="preserve">Munch refill due in (min)</t>
  </si>
  <si>
    <t xml:space="preserve">Munch food delay (min)</t>
  </si>
  <si>
    <t xml:space="preserve">Time if you stay</t>
  </si>
  <si>
    <t xml:space="preserve">Time if you switch</t>
  </si>
  <si>
    <t xml:space="preserve">Saving (min)</t>
  </si>
  <si>
    <t xml:space="preserve">Move /min to equalise</t>
  </si>
  <si>
    <t xml:space="preserve">Munch ρ after the move</t>
  </si>
  <si>
    <t xml:space="preserve">Screen outside Central says</t>
  </si>
  <si>
    <t xml:space="preserve">Quiet start of lunch</t>
  </si>
  <si>
    <t xml:space="preserve">OK</t>
  </si>
  <si>
    <t xml:space="preserve">Peak: Central queue, Munch quiet</t>
  </si>
  <si>
    <t xml:space="preserve">Peak, but Munch is nearly full too</t>
  </si>
  <si>
    <t xml:space="preserve">Central star dish OUT, kitchen just called</t>
  </si>
  <si>
    <t xml:space="preserve">OUT</t>
  </si>
  <si>
    <t xml:space="preserve">Central star dish OUT, called 16 min ago (late batch)</t>
  </si>
  <si>
    <t xml:space="preserve">Central running low, called 2 min ago</t>
  </si>
  <si>
    <t xml:space="preserve">LOW</t>
  </si>
  <si>
    <t xml:space="preserve">Central running low, called 18 min ago, 4-min queue</t>
  </si>
  <si>
    <t xml:space="preserve">Central scanner silent for 5 minutes</t>
  </si>
  <si>
    <t xml:space="preserve">Star dish out at both messes</t>
  </si>
  <si>
    <t xml:space="preserve">Blue cells are example situations: change them to test the rule. 'Refill due in' is the expected time still to wait given the minutes since the call and no refill yet: if 15 minutes have passed, the 10–14 minute 'already made' case is ruled out, so only the 30-minute case remains. 'Move /min to equalise' is how many students per minute would make both messes equally busy; the screen asks only that share (never everyone). The simulator applies the same rule through an equal-wait split (bisection), which also accounts for the walk and the queues the moved students create.</t>
  </si>
  <si>
    <t xml:space="preserve">Baseline vs intervention: four scenarios and stress tests (simulated, same students in every scenario)</t>
  </si>
  <si>
    <t xml:space="preserve">Simulated: python -m messq.scenarios, 20 lunches per row (seeds 0–19, the same students in every scenario); ± = 95% confidence interval</t>
  </si>
  <si>
    <t xml:space="preserve">1. The four scenarios on a busy day (2,960 students, 60% follow the screens)</t>
  </si>
  <si>
    <t xml:space="preserve">Scenario</t>
  </si>
  <si>
    <t xml:space="preserve">Avg queue wait (min)</t>
  </si>
  <si>
    <t xml:space="preserve">±95% CI</t>
  </si>
  <si>
    <t xml:space="preserve">Avg throughput, door to leaving (min)</t>
  </si>
  <si>
    <t xml:space="preserve">90th pct throughput (min)</t>
  </si>
  <si>
    <t xml:space="preserve">Total incl. walk, decision to leaving (min)</t>
  </si>
  <si>
    <t xml:space="preserve">Central stations busy</t>
  </si>
  <si>
    <t xml:space="preserve">Munch stations busy</t>
  </si>
  <si>
    <t xml:space="preserve">Central peak load (30 min)</t>
  </si>
  <si>
    <t xml:space="preserve">Munch peak load (30 min)</t>
  </si>
  <si>
    <t xml:space="preserve">Run-outs per lunch</t>
  </si>
  <si>
    <t xml:space="preserve">Redirected students</t>
  </si>
  <si>
    <t xml:space="preserve">Followed the advice</t>
  </si>
  <si>
    <t xml:space="preserve">Unsuccessful redirects</t>
  </si>
  <si>
    <t xml:space="preserve">1 Current system</t>
  </si>
  <si>
    <t xml:space="preserve">–</t>
  </si>
  <si>
    <t xml:space="preserve">2 Queue information only</t>
  </si>
  <si>
    <t xml:space="preserve">3 Queue + food (proposal)</t>
  </si>
  <si>
    <t xml:space="preserve">N Naive: go to the shorter queue</t>
  </si>
  <si>
    <t xml:space="preserve">Change vs today (proposal)</t>
  </si>
  <si>
    <t xml:space="preserve">Definitions. Queue wait = minutes queueing for the scanner, a serving station and a seat (eating, the food line and disposal are activity time, not waiting). Throughput = door to leaving, all four stages. 90th percentile = the wait that 1 in 10 students exceed, per lunch, then averaged. Stations busy = share of 11:30–14:30 the serving stations were in use; peak load = arrivals ÷ capacity in the busiest 30 minutes (above 100% the queue grows). Unsuccessful redirect = a redirected student whose wait + walk exceeded the average wait of students who stayed at the mess they left and arrived within 2 minutes. Scenario 2 = the screens use queues but never hear about food; N = a naive 'go to the shorter queue' rule, shown for the herding point.</t>
  </si>
  <si>
    <t xml:space="preserve">2. Stress tests: does the benefit persist? One input changed at a time</t>
  </si>
  <si>
    <t xml:space="preserve">Stress test</t>
  </si>
  <si>
    <t xml:space="preserve">1 Current: wait</t>
  </si>
  <si>
    <t xml:space="preserve">2 Queue only: wait</t>
  </si>
  <si>
    <t xml:space="preserve">3 Proposal: wait</t>
  </si>
  <si>
    <t xml:space="preserve">3 Proposal: ±95% CI</t>
  </si>
  <si>
    <t xml:space="preserve">1 Current: p90</t>
  </si>
  <si>
    <t xml:space="preserve">3 Proposal: p90</t>
  </si>
  <si>
    <t xml:space="preserve">Reduction (3 vs 1)</t>
  </si>
  <si>
    <t xml:space="preserve">3 beats 2?</t>
  </si>
  <si>
    <t xml:space="preserve">Run-outs: 1</t>
  </si>
  <si>
    <t xml:space="preserve">Run-outs: 3</t>
  </si>
  <si>
    <t xml:space="preserve">Unsuccessful: 2</t>
  </si>
  <si>
    <t xml:space="preserve">Unsuccessful: 3</t>
  </si>
  <si>
    <t xml:space="preserve">Demand +20% (3,552 students)</t>
  </si>
  <si>
    <t xml:space="preserve">±0.47</t>
  </si>
  <si>
    <t xml:space="preserve">Students rush at the bell (lag 15 +/- 10 min, not 20 +/- 20)</t>
  </si>
  <si>
    <t xml:space="preserve">±0.14</t>
  </si>
  <si>
    <t xml:space="preserve">Heavy lab day: 70% of MIT eat 13:00-14:00</t>
  </si>
  <si>
    <t xml:space="preserve">±0.36</t>
  </si>
  <si>
    <t xml:space="preserve">No MIT labs: all MIT eat 12:00-13:00</t>
  </si>
  <si>
    <t xml:space="preserve">±0.17</t>
  </si>
  <si>
    <t xml:space="preserve">Stagger: SMI lunch 15 min earlier (11:45-12:45)</t>
  </si>
  <si>
    <t xml:space="preserve">±0.07</t>
  </si>
  <si>
    <t xml:space="preserve">Stagger: TAPMI lunch 15 min later (13:20-14:15)</t>
  </si>
  <si>
    <t xml:space="preserve">±0.06</t>
  </si>
  <si>
    <t xml:space="preserve">One bell curve (old assumption: peak 13:05, spread 35)</t>
  </si>
  <si>
    <t xml:space="preserve">±0.23</t>
  </si>
  <si>
    <t xml:space="preserve">Only 30% follow the screens</t>
  </si>
  <si>
    <t xml:space="preserve">Everyone follows the screens</t>
  </si>
  <si>
    <t xml:space="preserve">Slower serving: 8 students/min per station</t>
  </si>
  <si>
    <t xml:space="preserve">Faster serving: 12 students/min per station</t>
  </si>
  <si>
    <t xml:space="preserve">More stock-outs: next batch never ready</t>
  </si>
  <si>
    <t xml:space="preserve">±0.12</t>
  </si>
  <si>
    <t xml:space="preserve">No stock-outs: next batch always ready</t>
  </si>
  <si>
    <t xml:space="preserve">±0.09</t>
  </si>
  <si>
    <t xml:space="preserve">Slower eating: 17-21 min</t>
  </si>
  <si>
    <t xml:space="preserve">Smallest reduction across all stress tests</t>
  </si>
  <si>
    <t xml:space="preserve">Reading it: the proposal cuts the average wait in every stress test and beats or ties 'queue information only' in every one. With no stock-outs the food signal adds nothing (2 and 3 converge); with more stock-outs it matters most. The timetable matters as much as any operational input: the stagger rows show what moving one department's lunch by 15 minutes does with no screens at all. One limitation: everything here rests on the assumed 10 students/min per station, the rough department sizes and the calibrated arrival lag until the biometric logs and a stopwatch replace them (Data Collection).</t>
  </si>
  <si>
    <t xml:space="preserve">Why the spreadsheet (S15) and the simulator give different numbers</t>
  </si>
  <si>
    <t xml:space="preserve">Start the simulator with the spreadsheet's simplifications, then add one real-world feature at a time. Same students in every row.</t>
  </si>
  <si>
    <t xml:space="preserve">Model</t>
  </si>
  <si>
    <t xml:space="preserve">Without screens: avg wait</t>
  </si>
  <si>
    <t xml:space="preserve">With screens: avg wait</t>
  </si>
  <si>
    <t xml:space="preserve">Without: 90th pct</t>
  </si>
  <si>
    <t xml:space="preserve">With: 90th pct</t>
  </si>
  <si>
    <t xml:space="preserve">What changes</t>
  </si>
  <si>
    <t xml:space="preserve">S15 spreadsheet (analytic: M/M/c + fluid queue per 10-min slot)</t>
  </si>
  <si>
    <t xml:space="preserve">Deterministic slots; 'with screens' moves the complying share toward equal utilisation with perfect knowledge, every slot</t>
  </si>
  <si>
    <t xml:space="preserve">Simulator 1 Spreadsheet-like: exponential serving, no run-outs, no scanner or seat limits</t>
  </si>
  <si>
    <t xml:space="preserve">Same assumptions as S15 except that arrivals and service are random and routing uses live estimates (with a delay and the 2-min rule). Without screens it matches S15; with screens it is worse than S15's perfect routing</t>
  </si>
  <si>
    <t xml:space="preserve">Simulator 2 + realistic serving variability (cv 0.6)</t>
  </si>
  <si>
    <t xml:space="preserve">Real serving is more regular than exponential: slightly shorter queues</t>
  </si>
  <si>
    <t xml:space="preserve">Simulator 3 + one face scanner per mess (2 s each)</t>
  </si>
  <si>
    <t xml:space="preserve">A single 2 s scanner rarely limits flow: almost no change</t>
  </si>
  <si>
    <t xml:space="preserve">Simulator 4 + seat limits</t>
  </si>
  <si>
    <t xml:space="preserve">Seats rarely fill (eating 14–18 min): no change</t>
  </si>
  <si>
    <t xml:space="preserve">Simulator 5 + food run-outs and refills (full model)</t>
  </si>
  <si>
    <t xml:space="preserve">Run-outs stop service until the refill: today's waits rise; the screens absorb most of it</t>
  </si>
  <si>
    <t xml:space="preserve">LP Student Flow: fluid optimum (perfect foresight, no randomness)</t>
  </si>
  <si>
    <t xml:space="preserve">A lower bound: the best any routing could do in a smooth-flow world</t>
  </si>
  <si>
    <t xml:space="preserve">Gap without screens: spreadsheet vs spreadsheet-like simulator (should be small)</t>
  </si>
  <si>
    <t xml:space="preserve">Gap as a share of the simulator's figure (the check allows 15%)</t>
  </si>
  <si>
    <t xml:space="preserve">Conclusion: the two models agree when they make the same assumptions (first two rows, without screens), within 15%. The spreadsheet is a little higher because it adds the steady-state M/M/c wait in every 10-minute slot; near 100% busy a slot is too short for the queue to reach steady state, and the department surge passes through several such slots. The headline numbers come from the full simulator (last simulator row) because it includes the things the spreadsheet cannot: randomness, live estimation, the scanner, seats and run-outs. The spreadsheet's 'with screens' figure is optimistic because it routes with perfect knowledge; the LP is the theoretical best case. 20 lunches per simulator row.</t>
  </si>
  <si>
    <t xml:space="preserve">How the simulator works (messq/simulation.py, messq/engine.py)</t>
  </si>
  <si>
    <t xml:space="preserve">Reproduce every number: python -m messq.scenarios [--payoff | --reconcile] --runs 20</t>
  </si>
  <si>
    <t xml:space="preserve">Component</t>
  </si>
  <si>
    <t xml:space="preserve">How it is modelled</t>
  </si>
  <si>
    <t xml:space="preserve">Parameters (Inputs / config)</t>
  </si>
  <si>
    <t xml:space="preserve">Time</t>
  </si>
  <si>
    <t xml:space="preserve">Discrete steps of 5 seconds (the scanner poll interval), 11:30–14:30; the run continues until everyone has food</t>
  </si>
  <si>
    <t xml:space="preserve">step_s = 5</t>
  </si>
  <si>
    <t xml:space="preserve">Design</t>
  </si>
  <si>
    <t xml:space="preserve">Arrivals</t>
  </si>
  <si>
    <t xml:space="preserve">Random (Poisson) arrivals; the rate is the department lunch breaks added up (Arrival Curve tab): each department starts arriving when its break starts, lag Normal(20, 20) min cut off at the end of the break; total = students per lunch</t>
  </si>
  <si>
    <t xml:space="preserve">students, department breaks, lag_m, lag_sd</t>
  </si>
  <si>
    <t xml:space="preserve">Total and timetable measured; sizes rough; lag calibrated</t>
  </si>
  <si>
    <t xml:space="preserve">Where students head</t>
  </si>
  <si>
    <t xml:space="preserve">Each student heads to Central with probability h (habit), else Munch</t>
  </si>
  <si>
    <t xml:space="preserve">habit share h</t>
  </si>
  <si>
    <t xml:space="preserve">Advice at the door</t>
  </si>
  <si>
    <t xml:space="preserve">The screen at the mess they reach asks a share of students to walk to the other mess (none in scenario 1)</t>
  </si>
  <si>
    <t xml:space="preserve">Decision Rule; min saving 2 min</t>
  </si>
  <si>
    <t xml:space="preserve">Compliance</t>
  </si>
  <si>
    <t xml:space="preserve">Each advised student follows with probability κ; followers walk 30 s to the other door</t>
  </si>
  <si>
    <t xml:space="preserve">comply κ, walk</t>
  </si>
  <si>
    <t xml:space="preserve">Stage 1: entrance</t>
  </si>
  <si>
    <t xml:space="preserve">FCFS queue for the face scanner (2 s each, cv 0.3), then collecting a plate (uniform 28–43 s; 30–45 s with the scan). The scan time is what the biometric log records</t>
  </si>
  <si>
    <t xml:space="preserve">scan_s, plate_lo/hi</t>
  </si>
  <si>
    <t xml:space="preserve">Stage 2: food</t>
  </si>
  <si>
    <t xml:space="preserve">FCFS queue for 2 serving stations; service time gamma with mean 6 s and cv 0.6 (M/G/c); then the rest of food collection (uniform 54–114 s; 1–2 min in all)</t>
  </si>
  <si>
    <t xml:space="preserve">mu, line_lo/hi, service_cv</t>
  </si>
  <si>
    <t xml:space="preserve">Stations measured; times assumed</t>
  </si>
  <si>
    <t xml:space="preserve">Food stock</t>
  </si>
  <si>
    <t xml:space="preserve">Star dish in batches (Central 900, Munch 500). At the call level the mess calls the kitchen; refill arrives in 10–14 min (70%) or 30 min. At zero stock nobody is served until the refill</t>
  </si>
  <si>
    <t xml:space="preserve">food_batch, refill trigger, ready_p, lead times</t>
  </si>
  <si>
    <t xml:space="preserve">Lead times measured; batches assumed</t>
  </si>
  <si>
    <t xml:space="preserve">Manager taps</t>
  </si>
  <si>
    <t xml:space="preserve">'Running low' at the call, 'out' at zero, 'refilled' on arrival; each tap made 90% of the time (forgotten taps expire)</t>
  </si>
  <si>
    <t xml:space="preserve">staff_signal_prob 0.9</t>
  </si>
  <si>
    <t xml:space="preserve">Stage 3: eating</t>
  </si>
  <si>
    <t xml:space="preserve">Take a seat if free (900 / 492), else wait; eat for uniform 14–18 min, then stay at the table ~9 min (seat held ~25 min)</t>
  </si>
  <si>
    <t xml:space="preserve">seats, eat_lo/hi, linger</t>
  </si>
  <si>
    <t xml:space="preserve">Seats measured; eating group estimate</t>
  </si>
  <si>
    <t xml:space="preserve">Stage 4: disposal</t>
  </si>
  <si>
    <t xml:space="preserve">Dispose of plate and leftovers, uniform 1–2 min (the seat is already free)</t>
  </si>
  <si>
    <t xml:space="preserve">disp_lo/hi</t>
  </si>
  <si>
    <t xml:space="preserve">What the system sees</t>
  </si>
  <si>
    <t xml:space="preserve">Only scans and the manager's taps. Arrival rate from the last 5 min of scans; queue by a fluid model; wait by M/M/c + fluid growth + food delay</t>
  </si>
  <si>
    <t xml:space="preserve">rate window 5 min, horizon 5 min</t>
  </si>
  <si>
    <t xml:space="preserve">Routing</t>
  </si>
  <si>
    <t xml:space="preserve">Equal-wait (Wardrop) split found by bisection; at each door ask (h − p)/(h·κ) of students to switch, only if it saves ≥ 2 min after the walk</t>
  </si>
  <si>
    <t xml:space="preserve">min_save</t>
  </si>
  <si>
    <t xml:space="preserve">Food in the advice</t>
  </si>
  <si>
    <t xml:space="preserve">Star dish out = outage; other trays and 'running low' add delay only for students who would reach an empty tray; refill clock from the call</t>
  </si>
  <si>
    <t xml:space="preserve">tray weights, low_left</t>
  </si>
  <si>
    <t xml:space="preserve">Design (weights: group judgement)</t>
  </si>
  <si>
    <t xml:space="preserve">Measures</t>
  </si>
  <si>
    <t xml:space="preserve">Per student: queue wait (scanner + station + seat), throughput (door to leaving), total incl. walk. Per lunch: mean and 90th percentile</t>
  </si>
  <si>
    <t xml:space="preserve">Runs</t>
  </si>
  <si>
    <t xml:space="preserve">20 lunches per scenario, seeds 0–19; the same seeds in every scenario (paired comparison). ± = 1.96 × sd ÷ √20 across lunches</t>
  </si>
  <si>
    <t xml:space="preserve">--runs</t>
  </si>
  <si>
    <t xml:space="preserve">Validation so far: the simulated normal visit and peak throughput fall in the group's 17–35 min range (Checks), the no-screen 90th percentile wait is close to the ~15 min observed, and the spreadsheet-like simulator reproduces S15 without screens (Reconciliation). Not yet validated: the arrival curve, the habit split and the service rate (Data Collection).</t>
  </si>
  <si>
    <t xml:space="preserve">Stage 2: collect the minimum data to prove (or disprove) the bottleneck</t>
  </si>
  <si>
    <t xml:space="preserve">Fill the blue grid from logs or a manual pilot at BOTH messes over the same lunch. The diagnosis below updates itself.</t>
  </si>
  <si>
    <t xml:space="preserve">Data</t>
  </si>
  <si>
    <t xml:space="preserve">How to capture it</t>
  </si>
  <si>
    <t xml:space="preserve">Why it matters</t>
  </si>
  <si>
    <t xml:space="preserve">Who / when</t>
  </si>
  <si>
    <t xml:space="preserve">Arrivals per 10 min</t>
  </si>
  <si>
    <t xml:space="preserve">Biometric logs (aggregated), or a tally counter at each door</t>
  </si>
  <si>
    <t xml:space="preserve">Demand distribution and the habit split</t>
  </si>
  <si>
    <t xml:space="preserve">IT logs / 2 volunteers per mess</t>
  </si>
  <si>
    <t xml:space="preserve">Queue length</t>
  </si>
  <si>
    <t xml:space="preserve">Count people queueing at the stations every 10 min</t>
  </si>
  <si>
    <t xml:space="preserve">Validates congestion</t>
  </si>
  <si>
    <t xml:space="preserve">1 volunteer per mess</t>
  </si>
  <si>
    <t xml:space="preserve">Sampled waiting time</t>
  </si>
  <si>
    <t xml:space="preserve">Note time joining the queue and reaching the station for ~20 students per hour</t>
  </si>
  <si>
    <t xml:space="preserve">Measures actual delay</t>
  </si>
  <si>
    <t xml:space="preserve">Service rate</t>
  </si>
  <si>
    <t xml:space="preserve">Count plates completed per station per minute while there is a queue</t>
  </si>
  <si>
    <t xml:space="preserve">Usable capacity (μ)</t>
  </si>
  <si>
    <t xml:space="preserve">Stopwatch, 3 × 5 min at peak</t>
  </si>
  <si>
    <t xml:space="preserve">Food availability</t>
  </si>
  <si>
    <t xml:space="preserve">Time-stamped 'running low' / 'out' / 'refilled' taps (or notes)</t>
  </si>
  <si>
    <t xml:space="preserve">Tests whether food drives routing</t>
  </si>
  <si>
    <t xml:space="preserve">Mess manager</t>
  </si>
  <si>
    <t xml:space="preserve">Replenishment time</t>
  </si>
  <si>
    <t xml:space="preserve">Time of the call and time the refill arrives</t>
  </si>
  <si>
    <t xml:space="preserve">Lead time (30 vs 10–14 min)</t>
  </si>
  <si>
    <t xml:space="preserve">Destination preference</t>
  </si>
  <si>
    <t xml:space="preserve">Short neutral survey at the door: 'why this mess today?'</t>
  </si>
  <si>
    <t xml:space="preserve">Tests the bias hypotheses (S4)</t>
  </si>
  <si>
    <t xml:space="preserve">Survey, 50+ students</t>
  </si>
  <si>
    <t xml:space="preserve">Measure arrivals and service capacity separately: a mess can be quiet because demand is low, because it cannot serve faster, or because its food is less attractive. Each points to a different intervention. If live logs are not available, run a structured manual pilot and label its limits.</t>
  </si>
  <si>
    <t xml:space="preserve">Central: arrivals</t>
  </si>
  <si>
    <t xml:space="preserve">Central: served</t>
  </si>
  <si>
    <t xml:space="preserve">Central: queue at slot start</t>
  </si>
  <si>
    <t xml:space="preserve">Central: sampled avg wait (min)</t>
  </si>
  <si>
    <t xml:space="preserve">Munch: arrivals</t>
  </si>
  <si>
    <t xml:space="preserve">Munch: served</t>
  </si>
  <si>
    <t xml:space="preserve">Munch: queue at slot start</t>
  </si>
  <si>
    <t xml:space="preserve">Munch: sampled avg wait (min)</t>
  </si>
  <si>
    <t xml:space="preserve">Central share of arrivals</t>
  </si>
  <si>
    <t xml:space="preserve">Central ρ (assumed μ)</t>
  </si>
  <si>
    <t xml:space="preserve">Munch ρ (assumed μ)</t>
  </si>
  <si>
    <t xml:space="preserve">Example (not counted)</t>
  </si>
  <si>
    <t xml:space="preserve">Automatic diagnosis (blank until data are entered)</t>
  </si>
  <si>
    <t xml:space="preserve">Slots with data</t>
  </si>
  <si>
    <t xml:space="preserve">Central share of all arrivals (measured habit split)</t>
  </si>
  <si>
    <t xml:space="preserve">Central's share of the seats (900 ÷ 1,400) for comparison</t>
  </si>
  <si>
    <t xml:space="preserve">Peak Central ρ (busiest slot)</t>
  </si>
  <si>
    <t xml:space="preserve">Peak Munch ρ in the same lunch</t>
  </si>
  <si>
    <t xml:space="preserve">Measured service rate at Central (served ÷ stations ÷ 10, busiest slot with a queue)</t>
  </si>
  <si>
    <t xml:space="preserve">Is Central disproportionately busy?</t>
  </si>
  <si>
    <t xml:space="preserve">Does Munch have usable spare capacity at Central's peak?</t>
  </si>
  <si>
    <t xml:space="preserve">If the answers are 'No', don't force the original hypothesis: update the Inputs (habit split, service rate) and let the scenarios show what the evidence implies. Changing course on evidence is a strength in an MDS project.</t>
  </si>
  <si>
    <t xml:space="preserve">Validation checks: every one should say OK</t>
  </si>
  <si>
    <t xml:space="preserve">Recalculate (F9) after changing inputs; a CHECK means something needs a look</t>
  </si>
  <si>
    <t xml:space="preserve">Check</t>
  </si>
  <si>
    <t xml:space="preserve">Result</t>
  </si>
  <si>
    <t xml:space="preserve">What it tests</t>
  </si>
  <si>
    <t xml:space="preserve">Every numeric input is a number (no text such as '14-15')</t>
  </si>
  <si>
    <t xml:space="preserve">67 numeric inputs expected</t>
  </si>
  <si>
    <t xml:space="preserve">No formula errors in S15 Queuing</t>
  </si>
  <si>
    <t xml:space="preserve">The earlier errors came from a text input ('14-15')</t>
  </si>
  <si>
    <t xml:space="preserve">No formula errors in LP Student Flow</t>
  </si>
  <si>
    <t xml:space="preserve">No formula errors in Decision Rule</t>
  </si>
  <si>
    <t xml:space="preserve">Arrival curve shares sum to 100%</t>
  </si>
  <si>
    <t xml:space="preserve">Demand balance</t>
  </si>
  <si>
    <t xml:space="preserve">S15 arrivals add up to students per lunch</t>
  </si>
  <si>
    <t xml:space="preserve">Habit share and compliance are between 0 and 1</t>
  </si>
  <si>
    <t xml:space="preserve">Kinds of day sum to 100%</t>
  </si>
  <si>
    <t xml:space="preserve">Payoff matrix probabilities</t>
  </si>
  <si>
    <t xml:space="preserve">LP: every constraint holds (smallest slack ≥ 0)</t>
  </si>
  <si>
    <t xml:space="preserve">Fluid queue recursions</t>
  </si>
  <si>
    <t xml:space="preserve">LP: redirects within compliance limits</t>
  </si>
  <si>
    <t xml:space="preserve">0 ≤ y ≤ κ·h·D</t>
  </si>
  <si>
    <t xml:space="preserve">LP: Munch's food constraint holds</t>
  </si>
  <si>
    <t xml:space="preserve">Food as the operational constraint</t>
  </si>
  <si>
    <t xml:space="preserve">LP improves on today</t>
  </si>
  <si>
    <t xml:space="preserve">Response: a faster serving rate lowers the M/M/c wait (λ = 17/min, c = 2)</t>
  </si>
  <si>
    <t xml:space="preserve">Outputs move in the right direction</t>
  </si>
  <si>
    <t xml:space="preserve">With screens, Munch's peak utilisation stays below 100% (S15)</t>
  </si>
  <si>
    <t xml:space="preserve">Redistribution must not overload Munch</t>
  </si>
  <si>
    <t xml:space="preserve">Throughput with no queues is within the measured range</t>
  </si>
  <si>
    <t xml:space="preserve">17–35 min (group); quiet visit ~18</t>
  </si>
  <si>
    <t xml:space="preserve">Simulated throughput for students who met no queue (today)</t>
  </si>
  <si>
    <t xml:space="preserve">Simulator calibration</t>
  </si>
  <si>
    <t xml:space="preserve">Simulated throughput at the peak (today)</t>
  </si>
  <si>
    <t xml:space="preserve">Group: up to ~25 min in a surge</t>
  </si>
  <si>
    <t xml:space="preserve">Spreadsheet vs spreadsheet-like simulator, without screens</t>
  </si>
  <si>
    <t xml:space="preserve">The two models agree within 15% under the same assumptions</t>
  </si>
  <si>
    <t xml:space="preserve">Payoff matrix: no errors</t>
  </si>
  <si>
    <t xml:space="preserve">Arrival Curve: no errors</t>
  </si>
  <si>
    <t xml:space="preserve">Department cohorts add up to students per lunch</t>
  </si>
  <si>
    <t xml:space="preserve">Rough sizes scaled to the plates served</t>
  </si>
  <si>
    <t xml:space="preserve">All checks</t>
  </si>
</sst>
</file>

<file path=xl/styles.xml><?xml version="1.0" encoding="utf-8"?>
<styleSheet xmlns="http://schemas.openxmlformats.org/spreadsheetml/2006/main">
  <numFmts count="15">
    <numFmt numFmtId="164" formatCode="General"/>
    <numFmt numFmtId="165" formatCode="#,##0"/>
    <numFmt numFmtId="166" formatCode="@"/>
    <numFmt numFmtId="167" formatCode="0"/>
    <numFmt numFmtId="168" formatCode="0.0"/>
    <numFmt numFmtId="169" formatCode="0.0%"/>
    <numFmt numFmtId="170" formatCode="0%"/>
    <numFmt numFmtId="171" formatCode="hh:mm"/>
    <numFmt numFmtId="172" formatCode="0.00"/>
    <numFmt numFmtId="173" formatCode="0.000"/>
    <numFmt numFmtId="174" formatCode="0.0;\-0.0;0.0"/>
    <numFmt numFmtId="175" formatCode="\+0.00;\-0.00"/>
    <numFmt numFmtId="176" formatCode="0%&quot; shorter&quot;"/>
    <numFmt numFmtId="177" formatCode="\+0.0;\-0.0"/>
    <numFmt numFmtId="178" formatCode="\+0%;\-0%"/>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95959"/>
      <name val="Arial"/>
      <family val="0"/>
      <charset val="1"/>
    </font>
    <font>
      <b val="true"/>
      <sz val="10"/>
      <color rgb="FF000000"/>
      <name val="Arial"/>
      <family val="0"/>
      <charset val="1"/>
    </font>
    <font>
      <sz val="10"/>
      <color rgb="FF000000"/>
      <name val="Arial"/>
      <family val="0"/>
      <charset val="1"/>
    </font>
    <font>
      <sz val="10"/>
      <color rgb="FF008000"/>
      <name val="Arial"/>
      <family val="0"/>
      <charset val="1"/>
    </font>
    <font>
      <u val="single"/>
      <sz val="10"/>
      <color rgb="FF0563C1"/>
      <name val="Arial"/>
      <family val="0"/>
      <charset val="1"/>
    </font>
    <font>
      <i val="true"/>
      <sz val="10"/>
      <color rgb="FF595959"/>
      <name val="Arial"/>
      <family val="0"/>
      <charset val="1"/>
    </font>
    <font>
      <b val="true"/>
      <sz val="10"/>
      <color rgb="FF1F3A5F"/>
      <name val="Arial"/>
      <family val="0"/>
      <charset val="1"/>
    </font>
    <font>
      <sz val="10"/>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
      <sz val="10"/>
      <name val="Arial"/>
      <family val="2"/>
    </font>
  </fonts>
  <fills count="6">
    <fill>
      <patternFill patternType="none"/>
    </fill>
    <fill>
      <patternFill patternType="gray125"/>
    </fill>
    <fill>
      <patternFill patternType="solid">
        <fgColor rgb="FF1F3A5F"/>
        <bgColor rgb="FF333300"/>
      </patternFill>
    </fill>
    <fill>
      <patternFill patternType="solid">
        <fgColor rgb="FFE8F3E8"/>
        <bgColor rgb="FFE7E6E1"/>
      </patternFill>
    </fill>
    <fill>
      <patternFill patternType="solid">
        <fgColor rgb="FFE7E6E1"/>
        <bgColor rgb="FFE8F3E8"/>
      </patternFill>
    </fill>
    <fill>
      <patternFill patternType="solid">
        <fgColor rgb="FFFFFF00"/>
        <bgColor rgb="FFFFFF00"/>
      </patternFill>
    </fill>
  </fills>
  <borders count="3">
    <border diagonalUp="false" diagonalDown="false">
      <left/>
      <right/>
      <top/>
      <bottom/>
      <diagonal/>
    </border>
    <border diagonalUp="false" diagonalDown="false">
      <left style="thin">
        <color rgb="FFC9C8C3"/>
      </left>
      <right style="thin">
        <color rgb="FFC9C8C3"/>
      </right>
      <top style="thin">
        <color rgb="FFC9C8C3"/>
      </top>
      <bottom style="thin">
        <color rgb="FFC9C8C3"/>
      </bottom>
      <diagonal/>
    </border>
    <border diagonalUp="false" diagonalDown="false">
      <left style="thin">
        <color rgb="FFC9C8C3"/>
      </left>
      <right/>
      <top style="thin">
        <color rgb="FFC9C8C3"/>
      </top>
      <bottom style="thin">
        <color rgb="FFC9C8C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7" fontId="12" fillId="5" borderId="1" xfId="0" applyFont="true" applyBorder="true" applyAlignment="false" applyProtection="false">
      <alignment horizontal="general" vertical="bottom" textRotation="0" wrapText="false" indent="0" shrinkToFit="false"/>
      <protection locked="true" hidden="false"/>
    </xf>
    <xf numFmtId="168" fontId="12" fillId="5" borderId="1" xfId="0" applyFont="true" applyBorder="true" applyAlignment="false" applyProtection="false">
      <alignment horizontal="general" vertical="bottom" textRotation="0" wrapText="fals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70" fontId="12" fillId="5" borderId="1" xfId="0" applyFont="true" applyBorder="true" applyAlignment="false" applyProtection="false">
      <alignment horizontal="general" vertical="bottom" textRotation="0" wrapText="false" indent="0" shrinkToFit="false"/>
      <protection locked="true" hidden="false"/>
    </xf>
    <xf numFmtId="165" fontId="12" fillId="5" borderId="1" xfId="0" applyFont="true" applyBorder="true" applyAlignment="false" applyProtection="false">
      <alignment horizontal="general" vertical="bottom" textRotation="0" wrapText="false" indent="0" shrinkToFit="false"/>
      <protection locked="true" hidden="false"/>
    </xf>
    <xf numFmtId="171" fontId="12" fillId="0" borderId="1" xfId="0" applyFont="true" applyBorder="true" applyAlignment="false" applyProtection="false">
      <alignment horizontal="general" vertical="bottom" textRotation="0" wrapText="false" indent="0" shrinkToFit="false"/>
      <protection locked="true" hidden="false"/>
    </xf>
    <xf numFmtId="171" fontId="12" fillId="5" borderId="1" xfId="0" applyFont="true" applyBorder="true" applyAlignment="false" applyProtection="false">
      <alignment horizontal="general" vertical="bottom" textRotation="0" wrapText="false" indent="0" shrinkToFit="false"/>
      <protection locked="true" hidden="false"/>
    </xf>
    <xf numFmtId="170" fontId="12"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7" fillId="3"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72" fontId="7" fillId="3"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74" fontId="7" fillId="0"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72" fontId="12" fillId="0"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5" fontId="7" fillId="0" borderId="1" xfId="0" applyFont="true" applyBorder="true" applyAlignment="false" applyProtection="false">
      <alignment horizontal="general" vertical="bottom" textRotation="0" wrapText="false" indent="0" shrinkToFit="false"/>
      <protection locked="true" hidden="false"/>
    </xf>
    <xf numFmtId="176" fontId="7" fillId="0" borderId="1" xfId="0" applyFont="true" applyBorder="true" applyAlignment="false" applyProtection="false">
      <alignment horizontal="general" vertical="bottom" textRotation="0" wrapText="false" indent="0" shrinkToFit="false"/>
      <protection locked="true" hidden="false"/>
    </xf>
    <xf numFmtId="177" fontId="7" fillId="0" borderId="1" xfId="0" applyFont="true" applyBorder="tru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top" textRotation="0" wrapText="true" indent="0" shrinkToFit="false"/>
      <protection locked="true" hidden="false"/>
    </xf>
    <xf numFmtId="170" fontId="7" fillId="3" borderId="1" xfId="0" applyFont="true" applyBorder="true" applyAlignment="false" applyProtection="false">
      <alignment horizontal="general" vertical="bottom" textRotation="0" wrapText="false" indent="0" shrinkToFit="false"/>
      <protection locked="true" hidden="false"/>
    </xf>
    <xf numFmtId="175" fontId="7" fillId="3" borderId="1" xfId="0" applyFont="true" applyBorder="true" applyAlignment="false" applyProtection="false">
      <alignment horizontal="general" vertical="bottom" textRotation="0" wrapText="false" indent="0" shrinkToFit="false"/>
      <protection locked="true" hidden="false"/>
    </xf>
    <xf numFmtId="178" fontId="7"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672A8"/>
      <rgbColor rgb="FFC9C8C3"/>
      <rgbColor rgb="FF878787"/>
      <rgbColor rgb="FF93A9CE"/>
      <rgbColor rgb="FFAB4744"/>
      <rgbColor rgb="FFE8F3E8"/>
      <rgbColor rgb="FFCCFFFF"/>
      <rgbColor rgb="FF660066"/>
      <rgbColor rgb="FFDC853E"/>
      <rgbColor rgb="FF0563C1"/>
      <rgbColor rgb="FFD9D9D9"/>
      <rgbColor rgb="FF000080"/>
      <rgbColor rgb="FFFF00FF"/>
      <rgbColor rgb="FFFFFF00"/>
      <rgbColor rgb="FF00FFFF"/>
      <rgbColor rgb="FF800080"/>
      <rgbColor rgb="FF800000"/>
      <rgbColor rgb="FF4F81BD"/>
      <rgbColor rgb="FF0000FF"/>
      <rgbColor rgb="FF00CCFF"/>
      <rgbColor rgb="FFCCFFFF"/>
      <rgbColor rgb="FFE7E6E1"/>
      <rgbColor rgb="FFFFFF99"/>
      <rgbColor rgb="FF99CCFF"/>
      <rgbColor rgb="FFD09493"/>
      <rgbColor rgb="FFCC99FF"/>
      <rgbColor rgb="FFFFCC99"/>
      <rgbColor rgb="FF4A7EBB"/>
      <rgbColor rgb="FF33CCCC"/>
      <rgbColor rgb="FF98B855"/>
      <rgbColor rgb="FFFFCC00"/>
      <rgbColor rgb="FFFF9900"/>
      <rgbColor rgb="FFFF6600"/>
      <rgbColor rgb="FF725990"/>
      <rgbColor rgb="FF8AA64F"/>
      <rgbColor rgb="FF1F3A5F"/>
      <rgbColor rgb="FF4299B0"/>
      <rgbColor rgb="FF003300"/>
      <rgbColor rgb="FF333300"/>
      <rgbColor rgb="FF993300"/>
      <rgbColor rgb="FFBE4B48"/>
      <rgbColor rgb="FF7D5FA0"/>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Arrivals per 10 minutes, by department</a:t>
            </a:r>
          </a:p>
        </c:rich>
      </c:tx>
      <c:overlay val="0"/>
      <c:spPr>
        <a:noFill/>
        <a:ln w="0">
          <a:noFill/>
        </a:ln>
      </c:spPr>
    </c:title>
    <c:autoTitleDeleted val="0"/>
    <c:plotArea>
      <c:barChart>
        <c:barDir val="col"/>
        <c:grouping val="stacked"/>
        <c:varyColors val="0"/>
        <c:ser>
          <c:idx val="0"/>
          <c:order val="0"/>
          <c:tx>
            <c:strRef>
              <c:f>'Arrival Curve'!C18</c:f>
              <c:strCache>
                <c:ptCount val="1"/>
                <c:pt idx="0">
                  <c:v>MIT</c:v>
                </c:pt>
              </c:strCache>
            </c:strRef>
          </c:tx>
          <c:spPr>
            <a:solidFill>
              <a:srgbClr val="4672a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'Arrival Curve'!$A$19:$A$36</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'Arrival Curve'!$C$19:$C$36</c:f>
              <c:numCache>
                <c:formatCode>0</c:formatCode>
                <c:ptCount val="18"/>
                <c:pt idx="0">
                  <c:v>0</c:v>
                </c:pt>
                <c:pt idx="1">
                  <c:v>0</c:v>
                </c:pt>
                <c:pt idx="2">
                  <c:v>0</c:v>
                </c:pt>
                <c:pt idx="3">
                  <c:v>104.092143996325</c:v>
                </c:pt>
                <c:pt idx="4">
                  <c:v>132.969270625589</c:v>
                </c:pt>
                <c:pt idx="5">
                  <c:v>132.969270625589</c:v>
                </c:pt>
                <c:pt idx="6">
                  <c:v>104.092143996325</c:v>
                </c:pt>
                <c:pt idx="7">
                  <c:v>63.7877967809456</c:v>
                </c:pt>
                <c:pt idx="8">
                  <c:v>30.5973104831636</c:v>
                </c:pt>
                <c:pt idx="9">
                  <c:v>0</c:v>
                </c:pt>
                <c:pt idx="10">
                  <c:v>0</c:v>
                </c:pt>
                <c:pt idx="11">
                  <c:v>0</c:v>
                </c:pt>
                <c:pt idx="12">
                  <c:v>0</c:v>
                </c:pt>
                <c:pt idx="13">
                  <c:v>0</c:v>
                </c:pt>
                <c:pt idx="14">
                  <c:v>0</c:v>
                </c:pt>
                <c:pt idx="15">
                  <c:v>0</c:v>
                </c:pt>
                <c:pt idx="16">
                  <c:v>0</c:v>
                </c:pt>
                <c:pt idx="17">
                  <c:v>0</c:v>
                </c:pt>
              </c:numCache>
            </c:numRef>
          </c:val>
        </c:ser>
        <c:ser>
          <c:idx val="1"/>
          <c:order val="1"/>
          <c:tx>
            <c:strRef>
              <c:f>'Arrival Curve'!D18</c:f>
              <c:strCache>
                <c:ptCount val="1"/>
                <c:pt idx="0">
                  <c:v>MIT (lab day)</c:v>
                </c:pt>
              </c:strCache>
            </c:strRef>
          </c:tx>
          <c:spPr>
            <a:solidFill>
              <a:srgbClr val="ab474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'Arrival Curve'!$A$19:$A$36</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'Arrival Curve'!$D$19:$D$36</c:f>
              <c:numCache>
                <c:formatCode>0</c:formatCode>
                <c:ptCount val="18"/>
                <c:pt idx="0">
                  <c:v>0</c:v>
                </c:pt>
                <c:pt idx="1">
                  <c:v>0</c:v>
                </c:pt>
                <c:pt idx="2">
                  <c:v>0</c:v>
                </c:pt>
                <c:pt idx="3">
                  <c:v>0</c:v>
                </c:pt>
                <c:pt idx="4">
                  <c:v>0</c:v>
                </c:pt>
                <c:pt idx="5">
                  <c:v>0</c:v>
                </c:pt>
                <c:pt idx="6">
                  <c:v>0</c:v>
                </c:pt>
                <c:pt idx="7">
                  <c:v>0</c:v>
                </c:pt>
                <c:pt idx="8">
                  <c:v>0</c:v>
                </c:pt>
                <c:pt idx="9">
                  <c:v>85.1662996333569</c:v>
                </c:pt>
                <c:pt idx="10">
                  <c:v>108.793039602754</c:v>
                </c:pt>
                <c:pt idx="11">
                  <c:v>108.793039602754</c:v>
                </c:pt>
                <c:pt idx="12">
                  <c:v>85.1662996333569</c:v>
                </c:pt>
                <c:pt idx="13">
                  <c:v>52.1900155480464</c:v>
                </c:pt>
                <c:pt idx="14">
                  <c:v>25.0341631225884</c:v>
                </c:pt>
                <c:pt idx="15">
                  <c:v>0</c:v>
                </c:pt>
                <c:pt idx="16">
                  <c:v>0</c:v>
                </c:pt>
                <c:pt idx="17">
                  <c:v>0</c:v>
                </c:pt>
              </c:numCache>
            </c:numRef>
          </c:val>
        </c:ser>
        <c:ser>
          <c:idx val="2"/>
          <c:order val="2"/>
          <c:tx>
            <c:strRef>
              <c:f>'Arrival Curve'!E18</c:f>
              <c:strCache>
                <c:ptCount val="1"/>
                <c:pt idx="0">
                  <c:v>TAPMI</c:v>
                </c:pt>
              </c:strCache>
            </c:strRef>
          </c:tx>
          <c:spPr>
            <a:solidFill>
              <a:srgbClr val="8aa64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'Arrival Curve'!$A$19:$A$36</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'Arrival Curve'!$E$19:$E$36</c:f>
              <c:numCache>
                <c:formatCode>0</c:formatCode>
                <c:ptCount val="18"/>
                <c:pt idx="0">
                  <c:v>0</c:v>
                </c:pt>
                <c:pt idx="1">
                  <c:v>0</c:v>
                </c:pt>
                <c:pt idx="2">
                  <c:v>0</c:v>
                </c:pt>
                <c:pt idx="3">
                  <c:v>0</c:v>
                </c:pt>
                <c:pt idx="4">
                  <c:v>0</c:v>
                </c:pt>
                <c:pt idx="5">
                  <c:v>0</c:v>
                </c:pt>
                <c:pt idx="6">
                  <c:v>0</c:v>
                </c:pt>
                <c:pt idx="7">
                  <c:v>0</c:v>
                </c:pt>
                <c:pt idx="8">
                  <c:v>0</c:v>
                </c:pt>
                <c:pt idx="9">
                  <c:v>67.7553243337488</c:v>
                </c:pt>
                <c:pt idx="10">
                  <c:v>174.109282542545</c:v>
                </c:pt>
                <c:pt idx="11">
                  <c:v>196.783070212558</c:v>
                </c:pt>
                <c:pt idx="12">
                  <c:v>174.109282542545</c:v>
                </c:pt>
                <c:pt idx="13">
                  <c:v>120.591761473886</c:v>
                </c:pt>
                <c:pt idx="14">
                  <c:v>65.3814376248746</c:v>
                </c:pt>
                <c:pt idx="15">
                  <c:v>0</c:v>
                </c:pt>
                <c:pt idx="16">
                  <c:v>0</c:v>
                </c:pt>
                <c:pt idx="17">
                  <c:v>0</c:v>
                </c:pt>
              </c:numCache>
            </c:numRef>
          </c:val>
        </c:ser>
        <c:ser>
          <c:idx val="3"/>
          <c:order val="3"/>
          <c:tx>
            <c:strRef>
              <c:f>'Arrival Curve'!F18</c:f>
              <c:strCache>
                <c:ptCount val="1"/>
                <c:pt idx="0">
                  <c:v>DOC/MICFE</c:v>
                </c:pt>
              </c:strCache>
            </c:strRef>
          </c:tx>
          <c:spPr>
            <a:solidFill>
              <a:srgbClr val="72599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'Arrival Curve'!$A$19:$A$36</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'Arrival Curve'!$F$19:$F$36</c:f>
              <c:numCache>
                <c:formatCode>0</c:formatCode>
                <c:ptCount val="18"/>
                <c:pt idx="0">
                  <c:v>0</c:v>
                </c:pt>
                <c:pt idx="1">
                  <c:v>0</c:v>
                </c:pt>
                <c:pt idx="2">
                  <c:v>0</c:v>
                </c:pt>
                <c:pt idx="3">
                  <c:v>0</c:v>
                </c:pt>
                <c:pt idx="4">
                  <c:v>0</c:v>
                </c:pt>
                <c:pt idx="5">
                  <c:v>0</c:v>
                </c:pt>
                <c:pt idx="6">
                  <c:v>94.629221814841</c:v>
                </c:pt>
                <c:pt idx="7">
                  <c:v>120.881155114171</c:v>
                </c:pt>
                <c:pt idx="8">
                  <c:v>120.881155114171</c:v>
                </c:pt>
                <c:pt idx="9">
                  <c:v>94.629221814841</c:v>
                </c:pt>
                <c:pt idx="10">
                  <c:v>57.988906164496</c:v>
                </c:pt>
                <c:pt idx="11">
                  <c:v>27.815736802876</c:v>
                </c:pt>
                <c:pt idx="12">
                  <c:v>0</c:v>
                </c:pt>
                <c:pt idx="13">
                  <c:v>0</c:v>
                </c:pt>
                <c:pt idx="14">
                  <c:v>0</c:v>
                </c:pt>
                <c:pt idx="15">
                  <c:v>0</c:v>
                </c:pt>
                <c:pt idx="16">
                  <c:v>0</c:v>
                </c:pt>
                <c:pt idx="17">
                  <c:v>0</c:v>
                </c:pt>
              </c:numCache>
            </c:numRef>
          </c:val>
        </c:ser>
        <c:ser>
          <c:idx val="4"/>
          <c:order val="4"/>
          <c:tx>
            <c:strRef>
              <c:f>'Arrival Curve'!G18</c:f>
              <c:strCache>
                <c:ptCount val="1"/>
                <c:pt idx="0">
                  <c:v>SMI</c:v>
                </c:pt>
              </c:strCache>
            </c:strRef>
          </c:tx>
          <c:spPr>
            <a:solidFill>
              <a:srgbClr val="4299b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'Arrival Curve'!$A$19:$A$36</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'Arrival Curve'!$G$19:$G$36</c:f>
              <c:numCache>
                <c:formatCode>0</c:formatCode>
                <c:ptCount val="18"/>
                <c:pt idx="0">
                  <c:v>0</c:v>
                </c:pt>
                <c:pt idx="1">
                  <c:v>0</c:v>
                </c:pt>
                <c:pt idx="2">
                  <c:v>0</c:v>
                </c:pt>
                <c:pt idx="3">
                  <c:v>77.4239087575972</c:v>
                </c:pt>
                <c:pt idx="4">
                  <c:v>98.9027632752312</c:v>
                </c:pt>
                <c:pt idx="5">
                  <c:v>98.9027632752312</c:v>
                </c:pt>
                <c:pt idx="6">
                  <c:v>77.4239087575972</c:v>
                </c:pt>
                <c:pt idx="7">
                  <c:v>47.4454686800422</c:v>
                </c:pt>
                <c:pt idx="8">
                  <c:v>22.758330111444</c:v>
                </c:pt>
                <c:pt idx="9">
                  <c:v>0</c:v>
                </c:pt>
                <c:pt idx="10">
                  <c:v>0</c:v>
                </c:pt>
                <c:pt idx="11">
                  <c:v>0</c:v>
                </c:pt>
                <c:pt idx="12">
                  <c:v>0</c:v>
                </c:pt>
                <c:pt idx="13">
                  <c:v>0</c:v>
                </c:pt>
                <c:pt idx="14">
                  <c:v>0</c:v>
                </c:pt>
                <c:pt idx="15">
                  <c:v>0</c:v>
                </c:pt>
                <c:pt idx="16">
                  <c:v>0</c:v>
                </c:pt>
                <c:pt idx="17">
                  <c:v>0</c:v>
                </c:pt>
              </c:numCache>
            </c:numRef>
          </c:val>
        </c:ser>
        <c:ser>
          <c:idx val="5"/>
          <c:order val="5"/>
          <c:tx>
            <c:strRef>
              <c:f>'Arrival Curve'!H18</c:f>
              <c:strCache>
                <c:ptCount val="1"/>
                <c:pt idx="0">
                  <c:v>DLHS/MILHS</c:v>
                </c:pt>
              </c:strCache>
            </c:strRef>
          </c:tx>
          <c:spPr>
            <a:solidFill>
              <a:srgbClr val="dc853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'Arrival Curve'!$A$19:$A$36</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'Arrival Curve'!$H$19:$H$36</c:f>
              <c:numCache>
                <c:formatCode>0</c:formatCode>
                <c:ptCount val="18"/>
                <c:pt idx="0">
                  <c:v>0</c:v>
                </c:pt>
                <c:pt idx="1">
                  <c:v>0</c:v>
                </c:pt>
                <c:pt idx="2">
                  <c:v>0</c:v>
                </c:pt>
                <c:pt idx="3">
                  <c:v>0</c:v>
                </c:pt>
                <c:pt idx="4">
                  <c:v>0</c:v>
                </c:pt>
                <c:pt idx="5">
                  <c:v>0</c:v>
                </c:pt>
                <c:pt idx="6">
                  <c:v>0</c:v>
                </c:pt>
                <c:pt idx="7">
                  <c:v>17.2053130572438</c:v>
                </c:pt>
                <c:pt idx="8">
                  <c:v>21.9783918389403</c:v>
                </c:pt>
                <c:pt idx="9">
                  <c:v>21.9783918389403</c:v>
                </c:pt>
                <c:pt idx="10">
                  <c:v>17.2053130572438</c:v>
                </c:pt>
                <c:pt idx="11">
                  <c:v>10.5434374844538</c:v>
                </c:pt>
                <c:pt idx="12">
                  <c:v>5.057406691432</c:v>
                </c:pt>
                <c:pt idx="13">
                  <c:v>0</c:v>
                </c:pt>
                <c:pt idx="14">
                  <c:v>0</c:v>
                </c:pt>
                <c:pt idx="15">
                  <c:v>0</c:v>
                </c:pt>
                <c:pt idx="16">
                  <c:v>0</c:v>
                </c:pt>
                <c:pt idx="17">
                  <c:v>0</c:v>
                </c:pt>
              </c:numCache>
            </c:numRef>
          </c:val>
        </c:ser>
        <c:ser>
          <c:idx val="6"/>
          <c:order val="6"/>
          <c:tx>
            <c:strRef>
              <c:f>'Arrival Curve'!I18</c:f>
              <c:strCache>
                <c:ptCount val="1"/>
                <c:pt idx="0">
                  <c:v>MLS</c:v>
                </c:pt>
              </c:strCache>
            </c:strRef>
          </c:tx>
          <c:spPr>
            <a:solidFill>
              <a:srgbClr val="93a9c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'Arrival Curve'!$A$19:$A$36</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'Arrival Curve'!$I$19:$I$36</c:f>
              <c:numCache>
                <c:formatCode>0</c:formatCode>
                <c:ptCount val="18"/>
                <c:pt idx="0">
                  <c:v>0</c:v>
                </c:pt>
                <c:pt idx="1">
                  <c:v>0</c:v>
                </c:pt>
                <c:pt idx="2">
                  <c:v>0</c:v>
                </c:pt>
                <c:pt idx="3">
                  <c:v>0</c:v>
                </c:pt>
                <c:pt idx="4">
                  <c:v>0</c:v>
                </c:pt>
                <c:pt idx="5">
                  <c:v>0</c:v>
                </c:pt>
                <c:pt idx="6">
                  <c:v>0</c:v>
                </c:pt>
                <c:pt idx="7">
                  <c:v>0</c:v>
                </c:pt>
                <c:pt idx="8">
                  <c:v>8.60265652862191</c:v>
                </c:pt>
                <c:pt idx="9">
                  <c:v>10.9891959194701</c:v>
                </c:pt>
                <c:pt idx="10">
                  <c:v>10.9891959194701</c:v>
                </c:pt>
                <c:pt idx="11">
                  <c:v>8.60265652862191</c:v>
                </c:pt>
                <c:pt idx="12">
                  <c:v>5.27171874222691</c:v>
                </c:pt>
                <c:pt idx="13">
                  <c:v>2.528703345716</c:v>
                </c:pt>
                <c:pt idx="14">
                  <c:v>0</c:v>
                </c:pt>
                <c:pt idx="15">
                  <c:v>0</c:v>
                </c:pt>
                <c:pt idx="16">
                  <c:v>0</c:v>
                </c:pt>
                <c:pt idx="17">
                  <c:v>0</c:v>
                </c:pt>
              </c:numCache>
            </c:numRef>
          </c:val>
        </c:ser>
        <c:ser>
          <c:idx val="7"/>
          <c:order val="7"/>
          <c:tx>
            <c:strRef>
              <c:f>'Arrival Curve'!J18</c:f>
              <c:strCache>
                <c:ptCount val="1"/>
                <c:pt idx="0">
                  <c:v>MIRM</c:v>
                </c:pt>
              </c:strCache>
            </c:strRef>
          </c:tx>
          <c:spPr>
            <a:solidFill>
              <a:srgbClr val="d09493"/>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'Arrival Curve'!$A$19:$A$36</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'Arrival Curve'!$J$19:$J$36</c:f>
              <c:numCache>
                <c:formatCode>0</c:formatCode>
                <c:ptCount val="18"/>
                <c:pt idx="0">
                  <c:v>0</c:v>
                </c:pt>
                <c:pt idx="1">
                  <c:v>0</c:v>
                </c:pt>
                <c:pt idx="2">
                  <c:v>0</c:v>
                </c:pt>
                <c:pt idx="3">
                  <c:v>0</c:v>
                </c:pt>
                <c:pt idx="4">
                  <c:v>0</c:v>
                </c:pt>
                <c:pt idx="5">
                  <c:v>0</c:v>
                </c:pt>
                <c:pt idx="6">
                  <c:v>8.60265652862191</c:v>
                </c:pt>
                <c:pt idx="7">
                  <c:v>10.9891959194701</c:v>
                </c:pt>
                <c:pt idx="8">
                  <c:v>10.9891959194701</c:v>
                </c:pt>
                <c:pt idx="9">
                  <c:v>8.60265652862191</c:v>
                </c:pt>
                <c:pt idx="10">
                  <c:v>5.27171874222691</c:v>
                </c:pt>
                <c:pt idx="11">
                  <c:v>2.528703345716</c:v>
                </c:pt>
                <c:pt idx="12">
                  <c:v>0</c:v>
                </c:pt>
                <c:pt idx="13">
                  <c:v>0</c:v>
                </c:pt>
                <c:pt idx="14">
                  <c:v>0</c:v>
                </c:pt>
                <c:pt idx="15">
                  <c:v>0</c:v>
                </c:pt>
                <c:pt idx="16">
                  <c:v>0</c:v>
                </c:pt>
                <c:pt idx="17">
                  <c:v>0</c:v>
                </c:pt>
              </c:numCache>
            </c:numRef>
          </c:val>
        </c:ser>
        <c:gapWidth val="150"/>
        <c:overlap val="100"/>
        <c:axId val="57798282"/>
        <c:axId val="43203443"/>
      </c:barChart>
      <c:catAx>
        <c:axId val="5779828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203443"/>
        <c:crosses val="autoZero"/>
        <c:auto val="1"/>
        <c:lblAlgn val="ctr"/>
        <c:lblOffset val="100"/>
        <c:noMultiLvlLbl val="0"/>
      </c:catAx>
      <c:valAx>
        <c:axId val="4320344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Students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79828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wait vs utilisation (M/M/1)</a:t>
            </a:r>
          </a:p>
        </c:rich>
      </c:tx>
      <c:overlay val="0"/>
      <c:spPr>
        <a:noFill/>
        <a:ln w="0">
          <a:noFill/>
        </a:ln>
      </c:spPr>
    </c:title>
    <c:autoTitleDeleted val="0"/>
    <c:plotArea>
      <c:lineChart>
        <c:grouping val="standard"/>
        <c:varyColors val="0"/>
        <c:ser>
          <c:idx val="0"/>
          <c:order val="0"/>
          <c:tx>
            <c:strRef>
              <c:f>'S15 Queuing'!L6</c:f>
              <c:strCache>
                <c:ptCount val="1"/>
                <c:pt idx="0">
                  <c:v>Wq (min)</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'S15 Queuing'!$J$7:$J$18</c:f>
              <c:strCache>
                <c:ptCount val="12"/>
                <c:pt idx="0">
                  <c:v>50%</c:v>
                </c:pt>
                <c:pt idx="1">
                  <c:v>60%</c:v>
                </c:pt>
                <c:pt idx="2">
                  <c:v>70%</c:v>
                </c:pt>
                <c:pt idx="3">
                  <c:v>75%</c:v>
                </c:pt>
                <c:pt idx="4">
                  <c:v>80%</c:v>
                </c:pt>
                <c:pt idx="5">
                  <c:v>85%</c:v>
                </c:pt>
                <c:pt idx="6">
                  <c:v>90%</c:v>
                </c:pt>
                <c:pt idx="7">
                  <c:v>93%</c:v>
                </c:pt>
                <c:pt idx="8">
                  <c:v>95%</c:v>
                </c:pt>
                <c:pt idx="9">
                  <c:v>96%</c:v>
                </c:pt>
                <c:pt idx="10">
                  <c:v>97%</c:v>
                </c:pt>
                <c:pt idx="11">
                  <c:v>98%</c:v>
                </c:pt>
              </c:strCache>
            </c:strRef>
          </c:cat>
          <c:val>
            <c:numRef>
              <c:f>'S15 Queuing'!$L$7:$L$18</c:f>
              <c:numCache>
                <c:formatCode>0.00</c:formatCode>
                <c:ptCount val="12"/>
                <c:pt idx="0">
                  <c:v>0.1</c:v>
                </c:pt>
                <c:pt idx="1">
                  <c:v>0.15</c:v>
                </c:pt>
                <c:pt idx="2">
                  <c:v>0.233333333333333</c:v>
                </c:pt>
                <c:pt idx="3">
                  <c:v>0.3</c:v>
                </c:pt>
                <c:pt idx="4">
                  <c:v>0.4</c:v>
                </c:pt>
                <c:pt idx="5">
                  <c:v>0.566666666666667</c:v>
                </c:pt>
                <c:pt idx="6">
                  <c:v>0.9</c:v>
                </c:pt>
                <c:pt idx="7">
                  <c:v>1.32857142857143</c:v>
                </c:pt>
                <c:pt idx="8">
                  <c:v>1.9</c:v>
                </c:pt>
                <c:pt idx="9">
                  <c:v>2.4</c:v>
                </c:pt>
                <c:pt idx="10">
                  <c:v>3.23333333333333</c:v>
                </c:pt>
                <c:pt idx="11">
                  <c:v>4.9</c:v>
                </c:pt>
              </c:numCache>
            </c:numRef>
          </c:val>
          <c:smooth val="1"/>
        </c:ser>
        <c:hiLowLines>
          <c:spPr>
            <a:ln w="0">
              <a:noFill/>
            </a:ln>
          </c:spPr>
        </c:hiLowLines>
        <c:marker val="0"/>
        <c:axId val="81644086"/>
        <c:axId val="92850657"/>
      </c:lineChart>
      <c:catAx>
        <c:axId val="8164408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Utilisation ρ</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850657"/>
        <c:crosses val="autoZero"/>
        <c:auto val="1"/>
        <c:lblAlgn val="ctr"/>
        <c:lblOffset val="100"/>
        <c:noMultiLvlLbl val="0"/>
      </c:catAx>
      <c:valAx>
        <c:axId val="9285065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Wq (minutes)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64408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Queue wait per 10-min slot</a:t>
            </a:r>
          </a:p>
        </c:rich>
      </c:tx>
      <c:overlay val="0"/>
      <c:spPr>
        <a:noFill/>
        <a:ln w="0">
          <a:noFill/>
        </a:ln>
      </c:spPr>
    </c:title>
    <c:autoTitleDeleted val="0"/>
    <c:plotArea>
      <c:lineChart>
        <c:grouping val="standard"/>
        <c:varyColors val="0"/>
        <c:ser>
          <c:idx val="0"/>
          <c:order val="0"/>
          <c:tx>
            <c:strRef>
              <c:f>"Central, without"</c:f>
              <c:strCache>
                <c:ptCount val="1"/>
                <c:pt idx="0">
                  <c:v>Central, without</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'S15 Queuing'!$A$30:$A$47</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'S15 Queuing'!$K$30:$K$47</c:f>
              <c:numCache>
                <c:formatCode>0.0</c:formatCode>
                <c:ptCount val="18"/>
                <c:pt idx="0">
                  <c:v>0</c:v>
                </c:pt>
                <c:pt idx="1">
                  <c:v>0</c:v>
                </c:pt>
                <c:pt idx="2">
                  <c:v>0</c:v>
                </c:pt>
                <c:pt idx="3">
                  <c:v>0.109741609526227</c:v>
                </c:pt>
                <c:pt idx="4">
                  <c:v>0.58396918055873</c:v>
                </c:pt>
                <c:pt idx="5">
                  <c:v>0.58396918055873</c:v>
                </c:pt>
                <c:pt idx="6">
                  <c:v>1.59924355275642</c:v>
                </c:pt>
                <c:pt idx="7">
                  <c:v>2.4595015011929</c:v>
                </c:pt>
                <c:pt idx="8">
                  <c:v>1.30447305665726</c:v>
                </c:pt>
                <c:pt idx="9">
                  <c:v>2.00680518597146</c:v>
                </c:pt>
                <c:pt idx="10">
                  <c:v>5.22661521696844</c:v>
                </c:pt>
                <c:pt idx="11">
                  <c:v>9.76039040958235</c:v>
                </c:pt>
                <c:pt idx="12">
                  <c:v>12.2069670899442</c:v>
                </c:pt>
                <c:pt idx="13">
                  <c:v>10.241596230603</c:v>
                </c:pt>
                <c:pt idx="14">
                  <c:v>5.45577217411691</c:v>
                </c:pt>
                <c:pt idx="15">
                  <c:v>1.12119209793044</c:v>
                </c:pt>
                <c:pt idx="16">
                  <c:v>0</c:v>
                </c:pt>
                <c:pt idx="17">
                  <c:v>0</c:v>
                </c:pt>
              </c:numCache>
            </c:numRef>
          </c:val>
          <c:smooth val="1"/>
        </c:ser>
        <c:ser>
          <c:idx val="1"/>
          <c:order val="1"/>
          <c:tx>
            <c:strRef>
              <c:f>"Central, with"</c:f>
              <c:strCache>
                <c:ptCount val="1"/>
                <c:pt idx="0">
                  <c:v>Central, with</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'S15 Queuing'!$A$30:$A$47</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'S15 Queuing'!$AC$30:$AC$47</c:f>
              <c:numCache>
                <c:formatCode>0.0</c:formatCode>
                <c:ptCount val="18"/>
                <c:pt idx="0">
                  <c:v>0</c:v>
                </c:pt>
                <c:pt idx="1">
                  <c:v>0</c:v>
                </c:pt>
                <c:pt idx="2">
                  <c:v>0</c:v>
                </c:pt>
                <c:pt idx="3">
                  <c:v>0.0460720939758434</c:v>
                </c:pt>
                <c:pt idx="4">
                  <c:v>0.106049651700873</c:v>
                </c:pt>
                <c:pt idx="5">
                  <c:v>0.106049651700873</c:v>
                </c:pt>
                <c:pt idx="6">
                  <c:v>0.346785190210542</c:v>
                </c:pt>
                <c:pt idx="7">
                  <c:v>0.184626556713695</c:v>
                </c:pt>
                <c:pt idx="8">
                  <c:v>0.0804508934147856</c:v>
                </c:pt>
                <c:pt idx="9">
                  <c:v>0.400507963744064</c:v>
                </c:pt>
                <c:pt idx="10">
                  <c:v>1.71695087040558</c:v>
                </c:pt>
                <c:pt idx="11">
                  <c:v>3.00114169749402</c:v>
                </c:pt>
                <c:pt idx="12">
                  <c:v>1.96791686169158</c:v>
                </c:pt>
                <c:pt idx="13">
                  <c:v>0.496660714585837</c:v>
                </c:pt>
                <c:pt idx="14">
                  <c:v>0.00849019898479689</c:v>
                </c:pt>
                <c:pt idx="15">
                  <c:v>0</c:v>
                </c:pt>
                <c:pt idx="16">
                  <c:v>0</c:v>
                </c:pt>
                <c:pt idx="17">
                  <c:v>0</c:v>
                </c:pt>
              </c:numCache>
            </c:numRef>
          </c:val>
          <c:smooth val="1"/>
        </c:ser>
        <c:ser>
          <c:idx val="2"/>
          <c:order val="2"/>
          <c:tx>
            <c:strRef>
              <c:f>"Munch, without"</c:f>
              <c:strCache>
                <c:ptCount val="1"/>
                <c:pt idx="0">
                  <c:v>Munch, without</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'S15 Queuing'!$A$30:$A$47</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'S15 Queuing'!$T$30:$T$47</c:f>
              <c:numCache>
                <c:formatCode>0.0</c:formatCode>
                <c:ptCount val="18"/>
                <c:pt idx="0">
                  <c:v>0</c:v>
                </c:pt>
                <c:pt idx="1">
                  <c:v>0</c:v>
                </c:pt>
                <c:pt idx="2">
                  <c:v>0</c:v>
                </c:pt>
                <c:pt idx="3">
                  <c:v>0.00351366077064901</c:v>
                </c:pt>
                <c:pt idx="4">
                  <c:v>0.00586375936890084</c:v>
                </c:pt>
                <c:pt idx="5">
                  <c:v>0.00586375936890084</c:v>
                </c:pt>
                <c:pt idx="6">
                  <c:v>0.00911456541877329</c:v>
                </c:pt>
                <c:pt idx="7">
                  <c:v>0.00750478048709318</c:v>
                </c:pt>
                <c:pt idx="8">
                  <c:v>0.00503984734988051</c:v>
                </c:pt>
                <c:pt idx="9">
                  <c:v>0.00942326249571279</c:v>
                </c:pt>
                <c:pt idx="10">
                  <c:v>0.0168742235269099</c:v>
                </c:pt>
                <c:pt idx="11">
                  <c:v>0.0149270542156281</c:v>
                </c:pt>
                <c:pt idx="12">
                  <c:v>0.00809451201817001</c:v>
                </c:pt>
                <c:pt idx="13">
                  <c:v>0.00326979992573546</c:v>
                </c:pt>
                <c:pt idx="14">
                  <c:v>0.000849360337421287</c:v>
                </c:pt>
                <c:pt idx="15">
                  <c:v>0</c:v>
                </c:pt>
                <c:pt idx="16">
                  <c:v>0</c:v>
                </c:pt>
                <c:pt idx="17">
                  <c:v>0</c:v>
                </c:pt>
              </c:numCache>
            </c:numRef>
          </c:val>
          <c:smooth val="1"/>
        </c:ser>
        <c:ser>
          <c:idx val="3"/>
          <c:order val="3"/>
          <c:tx>
            <c:strRef>
              <c:f>"Munch, with"</c:f>
              <c:strCache>
                <c:ptCount val="1"/>
                <c:pt idx="0">
                  <c:v>Munch, with</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'S15 Queuing'!$A$30:$A$47</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'S15 Queuing'!$AL$30:$AL$47</c:f>
              <c:numCache>
                <c:formatCode>0.0</c:formatCode>
                <c:ptCount val="18"/>
                <c:pt idx="0">
                  <c:v>0</c:v>
                </c:pt>
                <c:pt idx="1">
                  <c:v>0</c:v>
                </c:pt>
                <c:pt idx="2">
                  <c:v>0</c:v>
                </c:pt>
                <c:pt idx="3">
                  <c:v>0.0135969870139946</c:v>
                </c:pt>
                <c:pt idx="4">
                  <c:v>0.0242727126061601</c:v>
                </c:pt>
                <c:pt idx="5">
                  <c:v>0.0242727126061601</c:v>
                </c:pt>
                <c:pt idx="6">
                  <c:v>0.0417545700771045</c:v>
                </c:pt>
                <c:pt idx="7">
                  <c:v>0.0326547866449936</c:v>
                </c:pt>
                <c:pt idx="8">
                  <c:v>0.0203645944354802</c:v>
                </c:pt>
                <c:pt idx="9">
                  <c:v>0.0436105672288945</c:v>
                </c:pt>
                <c:pt idx="10">
                  <c:v>0.103715099179612</c:v>
                </c:pt>
                <c:pt idx="11">
                  <c:v>0.0845018684210713</c:v>
                </c:pt>
                <c:pt idx="12">
                  <c:v>0.0358804309518767</c:v>
                </c:pt>
                <c:pt idx="13">
                  <c:v>0.0125683365180426</c:v>
                </c:pt>
                <c:pt idx="14">
                  <c:v>0.00306073530988943</c:v>
                </c:pt>
                <c:pt idx="15">
                  <c:v>0</c:v>
                </c:pt>
                <c:pt idx="16">
                  <c:v>0</c:v>
                </c:pt>
                <c:pt idx="17">
                  <c:v>0</c:v>
                </c:pt>
              </c:numCache>
            </c:numRef>
          </c:val>
          <c:smooth val="1"/>
        </c:ser>
        <c:hiLowLines>
          <c:spPr>
            <a:ln w="0">
              <a:noFill/>
            </a:ln>
          </c:spPr>
        </c:hiLowLines>
        <c:marker val="0"/>
        <c:axId val="70511216"/>
        <c:axId val="34166358"/>
      </c:lineChart>
      <c:catAx>
        <c:axId val="7051121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166358"/>
        <c:crosses val="autoZero"/>
        <c:auto val="1"/>
        <c:lblAlgn val="ctr"/>
        <c:lblOffset val="100"/>
        <c:noMultiLvlLbl val="0"/>
      </c:catAx>
      <c:valAx>
        <c:axId val="3416635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Minutes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51121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Queue at Central: today vs LP optimum</a:t>
            </a:r>
          </a:p>
        </c:rich>
      </c:tx>
      <c:overlay val="0"/>
      <c:spPr>
        <a:noFill/>
        <a:ln w="0">
          <a:noFill/>
        </a:ln>
      </c:spPr>
    </c:title>
    <c:autoTitleDeleted val="0"/>
    <c:plotArea>
      <c:lineChart>
        <c:grouping val="standard"/>
        <c:varyColors val="0"/>
        <c:ser>
          <c:idx val="0"/>
          <c:order val="0"/>
          <c:tx>
            <c:strRef>
              <c:f>'LP Student Flow'!K19</c:f>
              <c:strCache>
                <c:ptCount val="1"/>
                <c:pt idx="0">
                  <c:v>Today: QA (no redirect)</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'LP Student Flow'!$A$20:$A$37</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'LP Student Flow'!$K$20:$K$37</c:f>
              <c:numCache>
                <c:formatCode>0.0</c:formatCode>
                <c:ptCount val="18"/>
                <c:pt idx="0">
                  <c:v>0</c:v>
                </c:pt>
                <c:pt idx="1">
                  <c:v>0</c:v>
                </c:pt>
                <c:pt idx="2">
                  <c:v>0</c:v>
                </c:pt>
                <c:pt idx="3">
                  <c:v>0</c:v>
                </c:pt>
                <c:pt idx="4">
                  <c:v>0</c:v>
                </c:pt>
                <c:pt idx="5">
                  <c:v>0</c:v>
                </c:pt>
                <c:pt idx="6">
                  <c:v>26.9441010846159</c:v>
                </c:pt>
                <c:pt idx="7">
                  <c:v>34.4103179374589</c:v>
                </c:pt>
                <c:pt idx="8">
                  <c:v>6.40852881412056</c:v>
                </c:pt>
                <c:pt idx="9">
                  <c:v>36.8380375990969</c:v>
                </c:pt>
                <c:pt idx="10">
                  <c:v>135.200930054</c:v>
                </c:pt>
                <c:pt idx="11">
                  <c:v>218.189045303653</c:v>
                </c:pt>
                <c:pt idx="12">
                  <c:v>233.063997268473</c:v>
                </c:pt>
                <c:pt idx="13">
                  <c:v>172.786450121489</c:v>
                </c:pt>
                <c:pt idx="14">
                  <c:v>44.8476839172175</c:v>
                </c:pt>
                <c:pt idx="15">
                  <c:v>0</c:v>
                </c:pt>
                <c:pt idx="16">
                  <c:v>0</c:v>
                </c:pt>
                <c:pt idx="17">
                  <c:v>0</c:v>
                </c:pt>
              </c:numCache>
            </c:numRef>
          </c:val>
          <c:smooth val="1"/>
        </c:ser>
        <c:ser>
          <c:idx val="1"/>
          <c:order val="1"/>
          <c:tx>
            <c:strRef>
              <c:f>'LP Student Flow'!G19</c:f>
              <c:strCache>
                <c:ptCount val="1"/>
                <c:pt idx="0">
                  <c:v>QA(t) (decision)</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'LP Student Flow'!$A$20:$A$37</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'LP Student Flow'!$G$20:$G$37</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1"/>
        </c:ser>
        <c:ser>
          <c:idx val="2"/>
          <c:order val="2"/>
          <c:tx>
            <c:strRef>
              <c:f>'LP Student Flow'!F19</c:f>
              <c:strCache>
                <c:ptCount val="1"/>
                <c:pt idx="0">
                  <c:v>y(t) redirect (decision)</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'LP Student Flow'!$A$20:$A$37</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'LP Student Flow'!$F$20:$F$37</c:f>
              <c:numCache>
                <c:formatCode>0.0</c:formatCode>
                <c:ptCount val="18"/>
                <c:pt idx="0">
                  <c:v>0</c:v>
                </c:pt>
                <c:pt idx="1">
                  <c:v>0</c:v>
                </c:pt>
                <c:pt idx="2">
                  <c:v>0</c:v>
                </c:pt>
                <c:pt idx="3">
                  <c:v>0</c:v>
                </c:pt>
                <c:pt idx="4">
                  <c:v>0</c:v>
                </c:pt>
                <c:pt idx="5">
                  <c:v>0</c:v>
                </c:pt>
                <c:pt idx="6">
                  <c:v>26.944101</c:v>
                </c:pt>
                <c:pt idx="7">
                  <c:v>7.466217</c:v>
                </c:pt>
                <c:pt idx="8">
                  <c:v>0</c:v>
                </c:pt>
                <c:pt idx="9">
                  <c:v>30.429509</c:v>
                </c:pt>
                <c:pt idx="10">
                  <c:v>98.362892</c:v>
                </c:pt>
                <c:pt idx="11">
                  <c:v>82.988115</c:v>
                </c:pt>
                <c:pt idx="12">
                  <c:v>14.874952</c:v>
                </c:pt>
                <c:pt idx="13">
                  <c:v>0</c:v>
                </c:pt>
                <c:pt idx="14">
                  <c:v>0</c:v>
                </c:pt>
                <c:pt idx="15">
                  <c:v>0</c:v>
                </c:pt>
                <c:pt idx="16">
                  <c:v>0</c:v>
                </c:pt>
                <c:pt idx="17">
                  <c:v>0</c:v>
                </c:pt>
              </c:numCache>
            </c:numRef>
          </c:val>
          <c:smooth val="1"/>
        </c:ser>
        <c:hiLowLines>
          <c:spPr>
            <a:ln w="0">
              <a:noFill/>
            </a:ln>
          </c:spPr>
        </c:hiLowLines>
        <c:marker val="0"/>
        <c:axId val="9696169"/>
        <c:axId val="75856099"/>
      </c:lineChart>
      <c:catAx>
        <c:axId val="969616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856099"/>
        <c:crosses val="autoZero"/>
        <c:auto val="1"/>
        <c:lblAlgn val="ctr"/>
        <c:lblOffset val="100"/>
        <c:noMultiLvlLbl val="0"/>
      </c:catAx>
      <c:valAx>
        <c:axId val="7585609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Students queueing</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9616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Expected minutes saved per student (EMV)</a:t>
            </a:r>
          </a:p>
        </c:rich>
      </c:tx>
      <c:overlay val="0"/>
      <c:spPr>
        <a:noFill/>
        <a:ln w="0">
          <a:noFill/>
        </a:ln>
      </c:spPr>
    </c:title>
    <c:autoTitleDeleted val="0"/>
    <c:plotArea>
      <c:barChart>
        <c:barDir val="col"/>
        <c:grouping val="clustered"/>
        <c:varyColors val="0"/>
        <c:ser>
          <c:idx val="0"/>
          <c:order val="0"/>
          <c:tx>
            <c:strRef>
              <c:f>'S7 Payoff Matrix'!I18</c:f>
              <c:strCache>
                <c:ptCount val="1"/>
                <c:pt idx="0">
                  <c:v>EMV (with probabilities)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'S7 Payoff Matrix'!$A$19:$A$23</c:f>
              <c:strCache>
                <c:ptCount val="5"/>
                <c:pt idx="0">
                  <c:v>A1 No system (today)</c:v>
                </c:pt>
                <c:pt idx="1">
                  <c:v>A2 Door screens, queue information only</c:v>
                </c:pt>
                <c:pt idx="2">
                  <c:v>A3 Door screens + food status (proposal)</c:v>
                </c:pt>
                <c:pt idx="3">
                  <c:v>A4 3rd serving station at Central (no screens)</c:v>
                </c:pt>
                <c:pt idx="4">
                  <c:v>A5 Proposal + 3rd serving station</c:v>
                </c:pt>
              </c:strCache>
            </c:strRef>
          </c:cat>
          <c:val>
            <c:numRef>
              <c:f>'S7 Payoff Matrix'!$I$19:$I$23</c:f>
              <c:numCache>
                <c:formatCode>0.00</c:formatCode>
                <c:ptCount val="5"/>
                <c:pt idx="0">
                  <c:v>0</c:v>
                </c:pt>
                <c:pt idx="1">
                  <c:v>3.658</c:v>
                </c:pt>
                <c:pt idx="2">
                  <c:v>4.022</c:v>
                </c:pt>
                <c:pt idx="3">
                  <c:v>3.534</c:v>
                </c:pt>
                <c:pt idx="4">
                  <c:v>4.558</c:v>
                </c:pt>
              </c:numCache>
            </c:numRef>
          </c:val>
        </c:ser>
        <c:gapWidth val="150"/>
        <c:overlap val="0"/>
        <c:axId val="99496796"/>
        <c:axId val="8073172"/>
      </c:barChart>
      <c:catAx>
        <c:axId val="9949679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73172"/>
        <c:crosses val="autoZero"/>
        <c:auto val="1"/>
        <c:lblAlgn val="ctr"/>
        <c:lblOffset val="100"/>
        <c:noMultiLvlLbl val="0"/>
      </c:catAx>
      <c:valAx>
        <c:axId val="8073172"/>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49679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queue wait by scenario (busy day)</a:t>
            </a:r>
          </a:p>
        </c:rich>
      </c:tx>
      <c:overlay val="0"/>
      <c:spPr>
        <a:noFill/>
        <a:ln w="0">
          <a:noFill/>
        </a:ln>
      </c:spPr>
    </c:title>
    <c:autoTitleDeleted val="0"/>
    <c:plotArea>
      <c:barChart>
        <c:barDir val="col"/>
        <c:grouping val="clustered"/>
        <c:varyColors val="0"/>
        <c:ser>
          <c:idx val="0"/>
          <c:order val="0"/>
          <c:tx>
            <c:strRef>
              <c:f>Scenarios!B5</c:f>
              <c:strCache>
                <c:ptCount val="1"/>
                <c:pt idx="0">
                  <c:v>Avg queue wait (min)</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Scenarios!$A$6:$A$9</c:f>
              <c:strCache>
                <c:ptCount val="4"/>
                <c:pt idx="0">
                  <c:v>1 Current system</c:v>
                </c:pt>
                <c:pt idx="1">
                  <c:v>2 Queue information only</c:v>
                </c:pt>
                <c:pt idx="2">
                  <c:v>3 Queue + food (proposal)</c:v>
                </c:pt>
                <c:pt idx="3">
                  <c:v>N Naive: go to the shorter queue</c:v>
                </c:pt>
              </c:strCache>
            </c:strRef>
          </c:cat>
          <c:val>
            <c:numRef>
              <c:f>Scenarios!$B$6:$B$9</c:f>
              <c:numCache>
                <c:formatCode>0.00</c:formatCode>
                <c:ptCount val="4"/>
                <c:pt idx="0">
                  <c:v>4.31</c:v>
                </c:pt>
                <c:pt idx="1">
                  <c:v>1.191</c:v>
                </c:pt>
                <c:pt idx="2">
                  <c:v>0.798</c:v>
                </c:pt>
                <c:pt idx="3">
                  <c:v>0.76</c:v>
                </c:pt>
              </c:numCache>
            </c:numRef>
          </c:val>
        </c:ser>
        <c:gapWidth val="150"/>
        <c:overlap val="0"/>
        <c:axId val="8912667"/>
        <c:axId val="79669504"/>
      </c:barChart>
      <c:catAx>
        <c:axId val="891266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669504"/>
        <c:crosses val="autoZero"/>
        <c:auto val="1"/>
        <c:lblAlgn val="ctr"/>
        <c:lblOffset val="100"/>
        <c:noMultiLvlLbl val="0"/>
      </c:catAx>
      <c:valAx>
        <c:axId val="79669504"/>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1266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chart" Target="../charts/chart4.xml"/>
</Relationships>
</file>

<file path=xl/drawings/_rels/drawing4.xml.rels><?xml version="1.0" encoding="UTF-8"?>
<Relationships xmlns="http://schemas.openxmlformats.org/package/2006/relationships"><Relationship Id="rId1" Type="http://schemas.openxmlformats.org/officeDocument/2006/relationships/chart" Target="../charts/chart5.xml"/>
</Relationships>
</file>

<file path=xl/drawings/_rels/drawing5.xml.rels><?xml version="1.0" encoding="UTF-8"?>
<Relationships xmlns="http://schemas.openxmlformats.org/package/2006/relationships"><Relationship Id="rId1"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42</xdr:row>
      <xdr:rowOff>160560</xdr:rowOff>
    </xdr:from>
    <xdr:to>
      <xdr:col>7</xdr:col>
      <xdr:colOff>166320</xdr:colOff>
      <xdr:row>59</xdr:row>
      <xdr:rowOff>161640</xdr:rowOff>
    </xdr:to>
    <xdr:graphicFrame>
      <xdr:nvGraphicFramePr>
        <xdr:cNvPr id="0" name="Chart 1"/>
        <xdr:cNvGraphicFramePr/>
      </xdr:nvGraphicFramePr>
      <xdr:xfrm>
        <a:off x="0" y="9296280"/>
        <a:ext cx="79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0</xdr:colOff>
      <xdr:row>2</xdr:row>
      <xdr:rowOff>160920</xdr:rowOff>
    </xdr:from>
    <xdr:to>
      <xdr:col>20</xdr:col>
      <xdr:colOff>90360</xdr:colOff>
      <xdr:row>15</xdr:row>
      <xdr:rowOff>91440</xdr:rowOff>
    </xdr:to>
    <xdr:graphicFrame>
      <xdr:nvGraphicFramePr>
        <xdr:cNvPr id="1" name="Chart 1"/>
        <xdr:cNvGraphicFramePr/>
      </xdr:nvGraphicFramePr>
      <xdr:xfrm>
        <a:off x="10149840" y="571680"/>
        <a:ext cx="431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47</xdr:row>
      <xdr:rowOff>48240</xdr:rowOff>
    </xdr:from>
    <xdr:to>
      <xdr:col>19</xdr:col>
      <xdr:colOff>120600</xdr:colOff>
      <xdr:row>60</xdr:row>
      <xdr:rowOff>338760</xdr:rowOff>
    </xdr:to>
    <xdr:graphicFrame>
      <xdr:nvGraphicFramePr>
        <xdr:cNvPr id="2" name="Chart 2"/>
        <xdr:cNvGraphicFramePr/>
      </xdr:nvGraphicFramePr>
      <xdr:xfrm>
        <a:off x="8035200" y="9877320"/>
        <a:ext cx="57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0</xdr:colOff>
      <xdr:row>17</xdr:row>
      <xdr:rowOff>160560</xdr:rowOff>
    </xdr:from>
    <xdr:to>
      <xdr:col>24</xdr:col>
      <xdr:colOff>255960</xdr:colOff>
      <xdr:row>31</xdr:row>
      <xdr:rowOff>11520</xdr:rowOff>
    </xdr:to>
    <xdr:graphicFrame>
      <xdr:nvGraphicFramePr>
        <xdr:cNvPr id="3" name="Chart 1"/>
        <xdr:cNvGraphicFramePr/>
      </xdr:nvGraphicFramePr>
      <xdr:xfrm>
        <a:off x="15624720" y="342900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16</xdr:row>
      <xdr:rowOff>48240</xdr:rowOff>
    </xdr:from>
    <xdr:to>
      <xdr:col>20</xdr:col>
      <xdr:colOff>255960</xdr:colOff>
      <xdr:row>24</xdr:row>
      <xdr:rowOff>318960</xdr:rowOff>
    </xdr:to>
    <xdr:graphicFrame>
      <xdr:nvGraphicFramePr>
        <xdr:cNvPr id="4" name="Chart 1"/>
        <xdr:cNvGraphicFramePr/>
      </xdr:nvGraphicFramePr>
      <xdr:xfrm>
        <a:off x="13369320" y="379080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16</xdr:col>
      <xdr:colOff>0</xdr:colOff>
      <xdr:row>2</xdr:row>
      <xdr:rowOff>160920</xdr:rowOff>
    </xdr:from>
    <xdr:to>
      <xdr:col>24</xdr:col>
      <xdr:colOff>147600</xdr:colOff>
      <xdr:row>11</xdr:row>
      <xdr:rowOff>423000</xdr:rowOff>
    </xdr:to>
    <xdr:graphicFrame>
      <xdr:nvGraphicFramePr>
        <xdr:cNvPr id="5" name="Chart 1"/>
        <xdr:cNvGraphicFramePr/>
      </xdr:nvGraphicFramePr>
      <xdr:xfrm>
        <a:off x="16541280" y="571680"/>
        <a:ext cx="503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Final_MDS_Decision_Workbook.xlsx" TargetMode="External"/><Relationship Id="rId2" Type="http://schemas.openxmlformats.org/officeDocument/2006/relationships/hyperlink" Target="Final_MDS_Decision_Workbook.xlsx" TargetMode="External"/><Relationship Id="rId3" Type="http://schemas.openxmlformats.org/officeDocument/2006/relationships/hyperlink" Target="Final_MDS_Decision_Workbook.xlsx" TargetMode="External"/><Relationship Id="rId4" Type="http://schemas.openxmlformats.org/officeDocument/2006/relationships/hyperlink" Target="Final_MDS_Decision_Workbook.xlsx" TargetMode="External"/><Relationship Id="rId5" Type="http://schemas.openxmlformats.org/officeDocument/2006/relationships/hyperlink" Target="Final_MDS_Decision_Workbook.xlsx" TargetMode="External"/><Relationship Id="rId6" Type="http://schemas.openxmlformats.org/officeDocument/2006/relationships/hyperlink" Target="Final_MDS_Decision_Workbook.xlsx" TargetMode="External"/><Relationship Id="rId7" Type="http://schemas.openxmlformats.org/officeDocument/2006/relationships/hyperlink" Target="Final_MDS_Decision_Workbook.xlsx" TargetMode="External"/><Relationship Id="rId8" Type="http://schemas.openxmlformats.org/officeDocument/2006/relationships/hyperlink" Target="Final_MDS_Decision_Workbook.xlsx" TargetMode="External"/><Relationship Id="rId9" Type="http://schemas.openxmlformats.org/officeDocument/2006/relationships/hyperlink" Target="Final_MDS_Decision_Workbook.xlsx" TargetMode="External"/><Relationship Id="rId10" Type="http://schemas.openxmlformats.org/officeDocument/2006/relationships/hyperlink" Target="Final_MDS_Decision_Workbook.xlsx" TargetMode="External"/><Relationship Id="rId11" Type="http://schemas.openxmlformats.org/officeDocument/2006/relationships/hyperlink" Target="Final_MDS_Decision_Workbook.xlsx" TargetMode="External"/><Relationship Id="rId12" Type="http://schemas.openxmlformats.org/officeDocument/2006/relationships/hyperlink" Target="Final_MDS_Decision_Workbook.xlsx" TargetMode="External"/><Relationship Id="rId13" Type="http://schemas.openxmlformats.org/officeDocument/2006/relationships/hyperlink" Target="Final_MDS_Decision_Workbook.xlsx" TargetMode="External"/><Relationship Id="rId14" Type="http://schemas.openxmlformats.org/officeDocument/2006/relationships/hyperlink" Target="Final_MDS_Decision_Workbook.xlsx" TargetMode="External"/><Relationship Id="rId15" Type="http://schemas.openxmlformats.org/officeDocument/2006/relationships/hyperlink" Target="Final_MDS_Decision_Workbook.xlsx" TargetMode="External"/><Relationship Id="rId16" Type="http://schemas.openxmlformats.org/officeDocument/2006/relationships/hyperlink" Target="Final_MDS_Decision_Workbook.xlsx" TargetMode="Externa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4.xml"/><Relationship Id="rId3" Type="http://schemas.openxmlformats.org/officeDocument/2006/relationships/vmlDrawing" Target="../drawings/vmlDrawing1.vml"/>
</Relationships>
</file>

<file path=xl/worksheets/_rels/sheet13.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3" min="3" style="0" width="78"/>
  </cols>
  <sheetData>
    <row r="1" customFormat="false" ht="17.35" hidden="false" customHeight="false" outlineLevel="0" collapsed="false">
      <c r="A1" s="1" t="s">
        <v>0</v>
      </c>
      <c r="B1" s="2"/>
      <c r="C1" s="2"/>
    </row>
    <row r="2" customFormat="false" ht="15" hidden="false" customHeight="true" outlineLevel="0" collapsed="false">
      <c r="A2" s="3" t="s">
        <v>1</v>
      </c>
      <c r="B2" s="3"/>
      <c r="C2" s="3"/>
    </row>
    <row r="4" customFormat="false" ht="15" hidden="false" customHeight="false" outlineLevel="0" collapsed="false">
      <c r="A4" s="4" t="s">
        <v>2</v>
      </c>
    </row>
    <row r="5" customFormat="false" ht="15" hidden="false" customHeight="false" outlineLevel="0" collapsed="false">
      <c r="A5" s="5" t="s">
        <v>3</v>
      </c>
      <c r="B5" s="5"/>
      <c r="C5" s="5"/>
    </row>
    <row r="6" customFormat="false" ht="15" hidden="false" customHeight="false" outlineLevel="0" collapsed="false">
      <c r="A6" s="5" t="s">
        <v>4</v>
      </c>
      <c r="B6" s="5"/>
      <c r="C6" s="5"/>
    </row>
    <row r="7" customFormat="false" ht="15" hidden="false" customHeight="false" outlineLevel="0" collapsed="false">
      <c r="A7" s="5" t="s">
        <v>5</v>
      </c>
      <c r="B7" s="5"/>
      <c r="C7" s="6" t="str">
        <f aca="false">Checks!$C$27</f>
        <v>ALL OK</v>
      </c>
    </row>
    <row r="9" customFormat="false" ht="15" hidden="false" customHeight="false" outlineLevel="0" collapsed="false">
      <c r="A9" s="4" t="s">
        <v>6</v>
      </c>
    </row>
    <row r="10" customFormat="false" ht="15" hidden="false" customHeight="false" outlineLevel="0" collapsed="false">
      <c r="A10" s="5" t="s">
        <v>7</v>
      </c>
      <c r="B10" s="5"/>
      <c r="C10" s="5"/>
    </row>
    <row r="11" customFormat="false" ht="15" hidden="false" customHeight="false" outlineLevel="0" collapsed="false">
      <c r="A11" s="5" t="s">
        <v>8</v>
      </c>
      <c r="B11" s="5"/>
      <c r="C11" s="5"/>
    </row>
    <row r="12" customFormat="false" ht="15" hidden="false" customHeight="false" outlineLevel="0" collapsed="false">
      <c r="A12" s="5" t="s">
        <v>9</v>
      </c>
      <c r="B12" s="5"/>
      <c r="C12" s="5"/>
    </row>
    <row r="14" customFormat="false" ht="15" hidden="false" customHeight="false" outlineLevel="0" collapsed="false">
      <c r="A14" s="4" t="s">
        <v>10</v>
      </c>
    </row>
    <row r="15" customFormat="false" ht="15" hidden="false" customHeight="false" outlineLevel="0" collapsed="false">
      <c r="A15" s="7" t="s">
        <v>11</v>
      </c>
      <c r="B15" s="7" t="s">
        <v>12</v>
      </c>
      <c r="C15" s="7" t="s">
        <v>13</v>
      </c>
    </row>
    <row r="16" customFormat="false" ht="15" hidden="false" customHeight="false" outlineLevel="0" collapsed="false">
      <c r="A16" s="8" t="s">
        <v>14</v>
      </c>
      <c r="B16" s="9" t="s">
        <v>15</v>
      </c>
      <c r="C16" s="9" t="s">
        <v>16</v>
      </c>
    </row>
    <row r="17" customFormat="false" ht="15" hidden="false" customHeight="false" outlineLevel="0" collapsed="false">
      <c r="A17" s="8" t="s">
        <v>17</v>
      </c>
      <c r="B17" s="9" t="s">
        <v>18</v>
      </c>
      <c r="C17" s="9" t="s">
        <v>19</v>
      </c>
    </row>
    <row r="18" customFormat="false" ht="15" hidden="false" customHeight="false" outlineLevel="0" collapsed="false">
      <c r="A18" s="8" t="s">
        <v>20</v>
      </c>
      <c r="B18" s="9" t="s">
        <v>21</v>
      </c>
      <c r="C18" s="9" t="s">
        <v>22</v>
      </c>
    </row>
    <row r="19" customFormat="false" ht="23.85" hidden="false" customHeight="false" outlineLevel="0" collapsed="false">
      <c r="A19" s="8" t="s">
        <v>23</v>
      </c>
      <c r="B19" s="9" t="s">
        <v>24</v>
      </c>
      <c r="C19" s="9" t="s">
        <v>25</v>
      </c>
    </row>
    <row r="20" customFormat="false" ht="23.85" hidden="false" customHeight="false" outlineLevel="0" collapsed="false">
      <c r="A20" s="8" t="s">
        <v>26</v>
      </c>
      <c r="B20" s="9" t="s">
        <v>27</v>
      </c>
      <c r="C20" s="9" t="s">
        <v>28</v>
      </c>
    </row>
    <row r="21" customFormat="false" ht="15" hidden="false" customHeight="false" outlineLevel="0" collapsed="false">
      <c r="A21" s="8" t="s">
        <v>29</v>
      </c>
      <c r="B21" s="9" t="s">
        <v>30</v>
      </c>
      <c r="C21" s="9" t="s">
        <v>31</v>
      </c>
    </row>
    <row r="22" customFormat="false" ht="15" hidden="false" customHeight="false" outlineLevel="0" collapsed="false">
      <c r="A22" s="4" t="s">
        <v>32</v>
      </c>
    </row>
    <row r="23" customFormat="false" ht="15" hidden="false" customHeight="false" outlineLevel="0" collapsed="false">
      <c r="A23" s="7" t="s">
        <v>33</v>
      </c>
      <c r="B23" s="7" t="s">
        <v>34</v>
      </c>
      <c r="C23" s="7" t="s">
        <v>35</v>
      </c>
    </row>
    <row r="24" customFormat="false" ht="15" hidden="false" customHeight="false" outlineLevel="0" collapsed="false">
      <c r="A24" s="10" t="s">
        <v>36</v>
      </c>
      <c r="B24" s="8" t="s">
        <v>37</v>
      </c>
      <c r="C24" s="9" t="s">
        <v>38</v>
      </c>
    </row>
    <row r="25" customFormat="false" ht="15" hidden="false" customHeight="false" outlineLevel="0" collapsed="false">
      <c r="A25" s="10" t="s">
        <v>39</v>
      </c>
      <c r="B25" s="8" t="s">
        <v>40</v>
      </c>
      <c r="C25" s="9" t="s">
        <v>41</v>
      </c>
    </row>
    <row r="26" customFormat="false" ht="15" hidden="false" customHeight="false" outlineLevel="0" collapsed="false">
      <c r="A26" s="10" t="s">
        <v>42</v>
      </c>
      <c r="B26" s="8" t="s">
        <v>43</v>
      </c>
      <c r="C26" s="9" t="s">
        <v>44</v>
      </c>
    </row>
    <row r="27" customFormat="false" ht="15" hidden="false" customHeight="false" outlineLevel="0" collapsed="false">
      <c r="A27" s="10" t="s">
        <v>45</v>
      </c>
      <c r="B27" s="8" t="s">
        <v>46</v>
      </c>
      <c r="C27" s="9" t="s">
        <v>47</v>
      </c>
    </row>
    <row r="28" customFormat="false" ht="15" hidden="false" customHeight="false" outlineLevel="0" collapsed="false">
      <c r="A28" s="10" t="s">
        <v>48</v>
      </c>
      <c r="B28" s="8" t="s">
        <v>49</v>
      </c>
      <c r="C28" s="9" t="s">
        <v>50</v>
      </c>
    </row>
    <row r="29" customFormat="false" ht="15" hidden="false" customHeight="false" outlineLevel="0" collapsed="false">
      <c r="A29" s="10" t="s">
        <v>51</v>
      </c>
      <c r="B29" s="8" t="s">
        <v>49</v>
      </c>
      <c r="C29" s="9" t="s">
        <v>52</v>
      </c>
    </row>
    <row r="30" customFormat="false" ht="15" hidden="false" customHeight="false" outlineLevel="0" collapsed="false">
      <c r="A30" s="10" t="s">
        <v>53</v>
      </c>
      <c r="B30" s="8" t="s">
        <v>54</v>
      </c>
      <c r="C30" s="9" t="s">
        <v>55</v>
      </c>
    </row>
    <row r="31" customFormat="false" ht="15" hidden="false" customHeight="false" outlineLevel="0" collapsed="false">
      <c r="A31" s="10" t="s">
        <v>56</v>
      </c>
      <c r="B31" s="8" t="s">
        <v>54</v>
      </c>
      <c r="C31" s="9" t="s">
        <v>57</v>
      </c>
    </row>
    <row r="32" customFormat="false" ht="23.85" hidden="false" customHeight="false" outlineLevel="0" collapsed="false">
      <c r="A32" s="10" t="s">
        <v>58</v>
      </c>
      <c r="B32" s="8" t="s">
        <v>59</v>
      </c>
      <c r="C32" s="9" t="s">
        <v>60</v>
      </c>
    </row>
    <row r="33" customFormat="false" ht="15" hidden="false" customHeight="false" outlineLevel="0" collapsed="false">
      <c r="A33" s="10" t="s">
        <v>61</v>
      </c>
      <c r="B33" s="8" t="s">
        <v>62</v>
      </c>
      <c r="C33" s="9" t="s">
        <v>63</v>
      </c>
    </row>
    <row r="34" customFormat="false" ht="15" hidden="false" customHeight="false" outlineLevel="0" collapsed="false">
      <c r="A34" s="10" t="s">
        <v>64</v>
      </c>
      <c r="B34" s="8" t="s">
        <v>37</v>
      </c>
      <c r="C34" s="9" t="s">
        <v>65</v>
      </c>
    </row>
    <row r="35" customFormat="false" ht="15" hidden="false" customHeight="false" outlineLevel="0" collapsed="false">
      <c r="A35" s="10" t="s">
        <v>66</v>
      </c>
      <c r="B35" s="8" t="s">
        <v>37</v>
      </c>
      <c r="C35" s="9" t="s">
        <v>67</v>
      </c>
    </row>
    <row r="36" customFormat="false" ht="15" hidden="false" customHeight="false" outlineLevel="0" collapsed="false">
      <c r="A36" s="10" t="s">
        <v>68</v>
      </c>
      <c r="B36" s="8" t="s">
        <v>37</v>
      </c>
      <c r="C36" s="9" t="s">
        <v>69</v>
      </c>
    </row>
    <row r="37" customFormat="false" ht="15" hidden="false" customHeight="false" outlineLevel="0" collapsed="false">
      <c r="A37" s="10" t="s">
        <v>70</v>
      </c>
      <c r="B37" s="8" t="s">
        <v>37</v>
      </c>
      <c r="C37" s="9" t="s">
        <v>71</v>
      </c>
    </row>
    <row r="38" customFormat="false" ht="15" hidden="false" customHeight="false" outlineLevel="0" collapsed="false">
      <c r="A38" s="10" t="s">
        <v>72</v>
      </c>
      <c r="B38" s="8" t="s">
        <v>37</v>
      </c>
      <c r="C38" s="9" t="s">
        <v>73</v>
      </c>
    </row>
    <row r="39" customFormat="false" ht="15" hidden="false" customHeight="false" outlineLevel="0" collapsed="false">
      <c r="A39" s="10" t="s">
        <v>74</v>
      </c>
      <c r="B39" s="8" t="s">
        <v>37</v>
      </c>
      <c r="C39" s="9" t="s">
        <v>75</v>
      </c>
    </row>
  </sheetData>
  <mergeCells count="7">
    <mergeCell ref="A2:C2"/>
    <mergeCell ref="A5:C5"/>
    <mergeCell ref="A6:C6"/>
    <mergeCell ref="A7:B7"/>
    <mergeCell ref="A10:C10"/>
    <mergeCell ref="A11:C11"/>
    <mergeCell ref="A12:C12"/>
  </mergeCells>
  <hyperlinks>
    <hyperlink ref="A24" r:id="rId1" location="'Inputs'!A1" display="Inputs"/>
    <hyperlink ref="A25" r:id="rId2" location="'S2-3%20Problem%20&amp;%20Root%20Cause'!A1" display="S2-3 Problem &amp; Root Cause"/>
    <hyperlink ref="A26" r:id="rId3" location="'S4%20Biases%20&amp;%20Ethics'!A1" display="S4 Biases &amp; Ethics"/>
    <hyperlink ref="A27" r:id="rId4" location="'S5-6%20Priority%20Matrix'!A1" display="S5-6 Priority Matrix"/>
    <hyperlink ref="A28" r:id="rId5" location="'Arrival%20Curve'!A1" display="Arrival Curve"/>
    <hyperlink ref="A29" r:id="rId6" location="'S15%20Queuing'!A1" display="S15 Queuing"/>
    <hyperlink ref="A30" r:id="rId7" location="'LP%20Student%20Flow'!A1" display="LP Student Flow"/>
    <hyperlink ref="A31" r:id="rId8" location="'LP%20Food%20Allocation'!A1" display="LP Food Allocation"/>
    <hyperlink ref="A32" r:id="rId9" location="'S7%20Payoff%20Matrix'!A1" display="S7 Payoff Matrix"/>
    <hyperlink ref="A33" r:id="rId10" location="'S18%20Heuristics'!A1" display="S18 Heuristics"/>
    <hyperlink ref="A34" r:id="rId11" location="'Decision%20Rule'!A1" display="Decision Rule"/>
    <hyperlink ref="A35" r:id="rId12" location="'Scenarios'!A1" display="Scenarios"/>
    <hyperlink ref="A36" r:id="rId13" location="'Reconciliation'!A1" display="Reconciliation"/>
    <hyperlink ref="A37" r:id="rId14" location="'Simulation%20Method'!A1" display="Simulation Method"/>
    <hyperlink ref="A38" r:id="rId15" location="'Data%20Collection'!A1" display="Data Collection"/>
    <hyperlink ref="A39" r:id="rId16" location="'Checks'!A1" display="Check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1"/>
    <col collapsed="false" customWidth="true" hidden="false" outlineLevel="0" max="4" min="3" style="0" width="15"/>
    <col collapsed="false" customWidth="true" hidden="false" outlineLevel="0" max="5" min="5" style="0" width="58"/>
    <col collapsed="false" customWidth="true" hidden="false" outlineLevel="0" max="6" min="6" style="0" width="12"/>
    <col collapsed="false" customWidth="true" hidden="false" outlineLevel="0" max="7" min="7" style="0" width="34"/>
  </cols>
  <sheetData>
    <row r="1" customFormat="false" ht="17.35" hidden="false" customHeight="false" outlineLevel="0" collapsed="false">
      <c r="A1" s="1" t="s">
        <v>76</v>
      </c>
      <c r="B1" s="2"/>
      <c r="C1" s="2"/>
      <c r="D1" s="2"/>
      <c r="E1" s="2"/>
      <c r="F1" s="2"/>
      <c r="G1" s="2"/>
    </row>
    <row r="2" customFormat="false" ht="15" hidden="false" customHeight="false" outlineLevel="0" collapsed="false">
      <c r="A2" s="11" t="s">
        <v>77</v>
      </c>
    </row>
    <row r="4" customFormat="false" ht="15" hidden="false" customHeight="false" outlineLevel="0" collapsed="false">
      <c r="A4" s="7" t="s">
        <v>78</v>
      </c>
      <c r="B4" s="7" t="s">
        <v>79</v>
      </c>
      <c r="C4" s="7" t="s">
        <v>80</v>
      </c>
      <c r="D4" s="7" t="s">
        <v>81</v>
      </c>
      <c r="E4" s="7" t="s">
        <v>82</v>
      </c>
      <c r="F4" s="7" t="s">
        <v>83</v>
      </c>
      <c r="G4" s="7" t="s">
        <v>84</v>
      </c>
    </row>
    <row r="5" customFormat="false" ht="15" hidden="false" customHeight="false" outlineLevel="0" collapsed="false">
      <c r="A5" s="12" t="s">
        <v>85</v>
      </c>
    </row>
    <row r="6" customFormat="false" ht="23.85" hidden="false" customHeight="false" outlineLevel="0" collapsed="false">
      <c r="A6" s="13" t="s">
        <v>86</v>
      </c>
      <c r="B6" s="14" t="n">
        <v>2960</v>
      </c>
      <c r="C6" s="13" t="s">
        <v>87</v>
      </c>
      <c r="D6" s="4" t="s">
        <v>14</v>
      </c>
      <c r="E6" s="15" t="s">
        <v>88</v>
      </c>
      <c r="F6" s="13" t="s">
        <v>89</v>
      </c>
      <c r="G6" s="15" t="s">
        <v>90</v>
      </c>
    </row>
    <row r="7" customFormat="false" ht="15" hidden="false" customHeight="false" outlineLevel="0" collapsed="false">
      <c r="A7" s="13" t="s">
        <v>91</v>
      </c>
      <c r="B7" s="16" t="s">
        <v>92</v>
      </c>
      <c r="C7" s="13" t="s">
        <v>93</v>
      </c>
      <c r="D7" s="4" t="s">
        <v>14</v>
      </c>
      <c r="E7" s="15" t="s">
        <v>94</v>
      </c>
      <c r="F7" s="13" t="s">
        <v>95</v>
      </c>
      <c r="G7" s="15" t="s">
        <v>96</v>
      </c>
    </row>
    <row r="8" customFormat="false" ht="15" hidden="false" customHeight="false" outlineLevel="0" collapsed="false">
      <c r="A8" s="13" t="s">
        <v>97</v>
      </c>
      <c r="B8" s="17" t="n">
        <v>180</v>
      </c>
      <c r="C8" s="13" t="s">
        <v>98</v>
      </c>
      <c r="D8" s="4" t="s">
        <v>14</v>
      </c>
      <c r="E8" s="15" t="s">
        <v>99</v>
      </c>
      <c r="F8" s="13" t="s">
        <v>95</v>
      </c>
      <c r="G8" s="15" t="s">
        <v>100</v>
      </c>
    </row>
    <row r="9" customFormat="false" ht="15" hidden="false" customHeight="false" outlineLevel="0" collapsed="false">
      <c r="A9" s="13" t="s">
        <v>101</v>
      </c>
      <c r="B9" s="14" t="n">
        <v>900</v>
      </c>
      <c r="C9" s="13" t="s">
        <v>102</v>
      </c>
      <c r="D9" s="4" t="s">
        <v>14</v>
      </c>
      <c r="E9" s="15" t="s">
        <v>103</v>
      </c>
      <c r="F9" s="13" t="s">
        <v>95</v>
      </c>
      <c r="G9" s="15" t="s">
        <v>104</v>
      </c>
    </row>
    <row r="10" customFormat="false" ht="15" hidden="false" customHeight="false" outlineLevel="0" collapsed="false">
      <c r="A10" s="13" t="s">
        <v>105</v>
      </c>
      <c r="B10" s="14" t="n">
        <v>492</v>
      </c>
      <c r="C10" s="13" t="s">
        <v>102</v>
      </c>
      <c r="D10" s="4" t="s">
        <v>14</v>
      </c>
      <c r="E10" s="15" t="s">
        <v>103</v>
      </c>
      <c r="F10" s="13" t="s">
        <v>95</v>
      </c>
      <c r="G10" s="15" t="s">
        <v>104</v>
      </c>
    </row>
    <row r="11" customFormat="false" ht="15" hidden="false" customHeight="false" outlineLevel="0" collapsed="false">
      <c r="A11" s="13" t="s">
        <v>106</v>
      </c>
      <c r="B11" s="17" t="n">
        <v>2</v>
      </c>
      <c r="C11" s="13" t="s">
        <v>107</v>
      </c>
      <c r="D11" s="4" t="s">
        <v>14</v>
      </c>
      <c r="E11" s="15" t="s">
        <v>108</v>
      </c>
      <c r="F11" s="13" t="s">
        <v>95</v>
      </c>
      <c r="G11" s="15" t="s">
        <v>109</v>
      </c>
    </row>
    <row r="12" customFormat="false" ht="15" hidden="false" customHeight="false" outlineLevel="0" collapsed="false">
      <c r="A12" s="13" t="s">
        <v>110</v>
      </c>
      <c r="B12" s="17" t="n">
        <v>2</v>
      </c>
      <c r="C12" s="13" t="s">
        <v>107</v>
      </c>
      <c r="D12" s="4" t="s">
        <v>14</v>
      </c>
      <c r="E12" s="15" t="s">
        <v>108</v>
      </c>
      <c r="F12" s="13" t="s">
        <v>95</v>
      </c>
      <c r="G12" s="15" t="s">
        <v>109</v>
      </c>
    </row>
    <row r="13" customFormat="false" ht="15" hidden="false" customHeight="false" outlineLevel="0" collapsed="false">
      <c r="A13" s="13" t="s">
        <v>111</v>
      </c>
      <c r="B13" s="17" t="n">
        <v>1</v>
      </c>
      <c r="C13" s="13" t="s">
        <v>112</v>
      </c>
      <c r="D13" s="4" t="s">
        <v>14</v>
      </c>
      <c r="E13" s="15" t="s">
        <v>108</v>
      </c>
      <c r="F13" s="13" t="s">
        <v>95</v>
      </c>
      <c r="G13" s="15" t="s">
        <v>100</v>
      </c>
    </row>
    <row r="14" customFormat="false" ht="15" hidden="false" customHeight="false" outlineLevel="0" collapsed="false">
      <c r="A14" s="13" t="s">
        <v>113</v>
      </c>
      <c r="B14" s="17" t="n">
        <v>1</v>
      </c>
      <c r="C14" s="13" t="s">
        <v>112</v>
      </c>
      <c r="D14" s="4" t="s">
        <v>14</v>
      </c>
      <c r="E14" s="15" t="s">
        <v>108</v>
      </c>
      <c r="F14" s="13" t="s">
        <v>95</v>
      </c>
      <c r="G14" s="15" t="s">
        <v>100</v>
      </c>
    </row>
    <row r="15" customFormat="false" ht="15" hidden="false" customHeight="false" outlineLevel="0" collapsed="false">
      <c r="A15" s="13" t="s">
        <v>114</v>
      </c>
      <c r="B15" s="18" t="n">
        <v>20</v>
      </c>
      <c r="C15" s="13" t="s">
        <v>98</v>
      </c>
      <c r="D15" s="13" t="s">
        <v>17</v>
      </c>
      <c r="E15" s="15" t="s">
        <v>115</v>
      </c>
      <c r="F15" s="13" t="s">
        <v>95</v>
      </c>
      <c r="G15" s="15" t="s">
        <v>116</v>
      </c>
    </row>
    <row r="16" customFormat="false" ht="15" hidden="false" customHeight="false" outlineLevel="0" collapsed="false">
      <c r="A16" s="13" t="s">
        <v>117</v>
      </c>
      <c r="B16" s="18" t="n">
        <v>17</v>
      </c>
      <c r="C16" s="13" t="s">
        <v>98</v>
      </c>
      <c r="D16" s="13" t="s">
        <v>17</v>
      </c>
      <c r="E16" s="15" t="s">
        <v>118</v>
      </c>
      <c r="F16" s="13" t="s">
        <v>95</v>
      </c>
      <c r="G16" s="15" t="s">
        <v>116</v>
      </c>
    </row>
    <row r="17" customFormat="false" ht="15" hidden="false" customHeight="false" outlineLevel="0" collapsed="false">
      <c r="A17" s="13" t="s">
        <v>119</v>
      </c>
      <c r="B17" s="18" t="n">
        <v>35</v>
      </c>
      <c r="C17" s="13" t="s">
        <v>98</v>
      </c>
      <c r="D17" s="13" t="s">
        <v>17</v>
      </c>
      <c r="E17" s="15" t="s">
        <v>120</v>
      </c>
      <c r="F17" s="13" t="s">
        <v>95</v>
      </c>
      <c r="G17" s="15" t="s">
        <v>116</v>
      </c>
    </row>
    <row r="18" customFormat="false" ht="15" hidden="false" customHeight="false" outlineLevel="0" collapsed="false">
      <c r="A18" s="13" t="s">
        <v>121</v>
      </c>
      <c r="B18" s="17" t="n">
        <v>30</v>
      </c>
      <c r="C18" s="13" t="s">
        <v>98</v>
      </c>
      <c r="D18" s="4" t="s">
        <v>14</v>
      </c>
      <c r="E18" s="15" t="s">
        <v>122</v>
      </c>
      <c r="F18" s="13" t="s">
        <v>95</v>
      </c>
      <c r="G18" s="15" t="s">
        <v>123</v>
      </c>
    </row>
    <row r="19" customFormat="false" ht="15" hidden="false" customHeight="false" outlineLevel="0" collapsed="false">
      <c r="A19" s="13" t="s">
        <v>124</v>
      </c>
      <c r="B19" s="17" t="n">
        <v>10</v>
      </c>
      <c r="C19" s="13" t="s">
        <v>98</v>
      </c>
      <c r="D19" s="4" t="s">
        <v>14</v>
      </c>
      <c r="E19" s="15" t="s">
        <v>125</v>
      </c>
      <c r="F19" s="13" t="s">
        <v>95</v>
      </c>
      <c r="G19" s="15" t="s">
        <v>126</v>
      </c>
    </row>
    <row r="20" customFormat="false" ht="15" hidden="false" customHeight="false" outlineLevel="0" collapsed="false">
      <c r="A20" s="13" t="s">
        <v>127</v>
      </c>
      <c r="B20" s="17" t="n">
        <v>14</v>
      </c>
      <c r="C20" s="13" t="s">
        <v>98</v>
      </c>
      <c r="D20" s="4" t="s">
        <v>14</v>
      </c>
      <c r="E20" s="15" t="s">
        <v>125</v>
      </c>
      <c r="F20" s="13" t="s">
        <v>95</v>
      </c>
      <c r="G20" s="15" t="s">
        <v>126</v>
      </c>
    </row>
    <row r="21" customFormat="false" ht="15" hidden="false" customHeight="false" outlineLevel="0" collapsed="false">
      <c r="A21" s="13" t="s">
        <v>128</v>
      </c>
      <c r="B21" s="17" t="n">
        <v>15</v>
      </c>
      <c r="C21" s="13" t="s">
        <v>98</v>
      </c>
      <c r="D21" s="4" t="s">
        <v>14</v>
      </c>
      <c r="E21" s="15" t="s">
        <v>129</v>
      </c>
      <c r="F21" s="13" t="s">
        <v>89</v>
      </c>
      <c r="G21" s="15" t="s">
        <v>116</v>
      </c>
    </row>
    <row r="22" customFormat="false" ht="15" hidden="false" customHeight="false" outlineLevel="0" collapsed="false">
      <c r="A22" s="12" t="s">
        <v>130</v>
      </c>
    </row>
    <row r="23" customFormat="false" ht="15" hidden="false" customHeight="false" outlineLevel="0" collapsed="false">
      <c r="A23" s="13" t="s">
        <v>131</v>
      </c>
      <c r="B23" s="19" t="n">
        <v>2</v>
      </c>
      <c r="C23" s="13" t="s">
        <v>132</v>
      </c>
      <c r="D23" s="13" t="s">
        <v>20</v>
      </c>
      <c r="E23" s="15" t="s">
        <v>133</v>
      </c>
      <c r="F23" s="13" t="s">
        <v>37</v>
      </c>
      <c r="G23" s="15" t="s">
        <v>104</v>
      </c>
    </row>
    <row r="24" customFormat="false" ht="15" hidden="false" customHeight="false" outlineLevel="0" collapsed="false">
      <c r="A24" s="13" t="s">
        <v>134</v>
      </c>
      <c r="B24" s="18" t="n">
        <v>28</v>
      </c>
      <c r="C24" s="13" t="s">
        <v>132</v>
      </c>
      <c r="D24" s="13" t="s">
        <v>17</v>
      </c>
      <c r="E24" s="15" t="s">
        <v>135</v>
      </c>
      <c r="F24" s="13" t="s">
        <v>37</v>
      </c>
      <c r="G24" s="15" t="s">
        <v>104</v>
      </c>
    </row>
    <row r="25" customFormat="false" ht="15" hidden="false" customHeight="false" outlineLevel="0" collapsed="false">
      <c r="A25" s="13" t="s">
        <v>136</v>
      </c>
      <c r="B25" s="18" t="n">
        <v>43</v>
      </c>
      <c r="C25" s="13" t="s">
        <v>132</v>
      </c>
      <c r="D25" s="13" t="s">
        <v>17</v>
      </c>
      <c r="E25" s="15" t="s">
        <v>120</v>
      </c>
      <c r="F25" s="13" t="s">
        <v>37</v>
      </c>
      <c r="G25" s="15" t="s">
        <v>104</v>
      </c>
    </row>
    <row r="26" customFormat="false" ht="23.85" hidden="false" customHeight="false" outlineLevel="0" collapsed="false">
      <c r="A26" s="13" t="s">
        <v>137</v>
      </c>
      <c r="B26" s="19" t="n">
        <v>10</v>
      </c>
      <c r="C26" s="13" t="s">
        <v>138</v>
      </c>
      <c r="D26" s="13" t="s">
        <v>20</v>
      </c>
      <c r="E26" s="15" t="s">
        <v>139</v>
      </c>
      <c r="F26" s="13" t="s">
        <v>37</v>
      </c>
      <c r="G26" s="15" t="s">
        <v>140</v>
      </c>
    </row>
    <row r="27" customFormat="false" ht="23.85" hidden="false" customHeight="false" outlineLevel="0" collapsed="false">
      <c r="A27" s="13" t="s">
        <v>141</v>
      </c>
      <c r="B27" s="18" t="n">
        <v>54</v>
      </c>
      <c r="C27" s="13" t="s">
        <v>132</v>
      </c>
      <c r="D27" s="13" t="s">
        <v>17</v>
      </c>
      <c r="E27" s="15" t="s">
        <v>142</v>
      </c>
      <c r="F27" s="13" t="s">
        <v>37</v>
      </c>
      <c r="G27" s="15" t="s">
        <v>104</v>
      </c>
    </row>
    <row r="28" customFormat="false" ht="15" hidden="false" customHeight="false" outlineLevel="0" collapsed="false">
      <c r="A28" s="13" t="s">
        <v>143</v>
      </c>
      <c r="B28" s="18" t="n">
        <v>114</v>
      </c>
      <c r="C28" s="13" t="s">
        <v>132</v>
      </c>
      <c r="D28" s="13" t="s">
        <v>17</v>
      </c>
      <c r="E28" s="15" t="s">
        <v>120</v>
      </c>
      <c r="F28" s="13" t="s">
        <v>37</v>
      </c>
      <c r="G28" s="15" t="s">
        <v>104</v>
      </c>
    </row>
    <row r="29" customFormat="false" ht="15" hidden="false" customHeight="false" outlineLevel="0" collapsed="false">
      <c r="A29" s="13" t="s">
        <v>144</v>
      </c>
      <c r="B29" s="18" t="n">
        <v>14</v>
      </c>
      <c r="C29" s="13" t="s">
        <v>98</v>
      </c>
      <c r="D29" s="13" t="s">
        <v>17</v>
      </c>
      <c r="E29" s="15" t="s">
        <v>145</v>
      </c>
      <c r="F29" s="13" t="s">
        <v>95</v>
      </c>
      <c r="G29" s="15" t="s">
        <v>104</v>
      </c>
    </row>
    <row r="30" customFormat="false" ht="15" hidden="false" customHeight="false" outlineLevel="0" collapsed="false">
      <c r="A30" s="13" t="s">
        <v>146</v>
      </c>
      <c r="B30" s="18" t="n">
        <v>18</v>
      </c>
      <c r="C30" s="13" t="s">
        <v>98</v>
      </c>
      <c r="D30" s="13" t="s">
        <v>17</v>
      </c>
      <c r="E30" s="15" t="s">
        <v>120</v>
      </c>
      <c r="F30" s="13" t="s">
        <v>95</v>
      </c>
      <c r="G30" s="15" t="s">
        <v>104</v>
      </c>
    </row>
    <row r="31" customFormat="false" ht="23.85" hidden="false" customHeight="false" outlineLevel="0" collapsed="false">
      <c r="A31" s="13" t="s">
        <v>147</v>
      </c>
      <c r="B31" s="18" t="n">
        <v>9</v>
      </c>
      <c r="C31" s="13" t="s">
        <v>98</v>
      </c>
      <c r="D31" s="13" t="s">
        <v>17</v>
      </c>
      <c r="E31" s="15" t="s">
        <v>148</v>
      </c>
      <c r="F31" s="13" t="s">
        <v>95</v>
      </c>
      <c r="G31" s="15" t="s">
        <v>104</v>
      </c>
    </row>
    <row r="32" customFormat="false" ht="15" hidden="false" customHeight="false" outlineLevel="0" collapsed="false">
      <c r="A32" s="13" t="s">
        <v>149</v>
      </c>
      <c r="B32" s="19" t="n">
        <v>1</v>
      </c>
      <c r="C32" s="13" t="s">
        <v>98</v>
      </c>
      <c r="D32" s="13" t="s">
        <v>17</v>
      </c>
      <c r="E32" s="15" t="s">
        <v>150</v>
      </c>
      <c r="F32" s="13" t="s">
        <v>95</v>
      </c>
      <c r="G32" s="15" t="s">
        <v>104</v>
      </c>
    </row>
    <row r="33" customFormat="false" ht="15" hidden="false" customHeight="false" outlineLevel="0" collapsed="false">
      <c r="A33" s="13" t="s">
        <v>151</v>
      </c>
      <c r="B33" s="19" t="n">
        <v>2</v>
      </c>
      <c r="C33" s="13" t="s">
        <v>98</v>
      </c>
      <c r="D33" s="13" t="s">
        <v>17</v>
      </c>
      <c r="E33" s="15" t="s">
        <v>120</v>
      </c>
      <c r="F33" s="13" t="s">
        <v>95</v>
      </c>
      <c r="G33" s="15" t="s">
        <v>104</v>
      </c>
    </row>
    <row r="34" customFormat="false" ht="15" hidden="false" customHeight="false" outlineLevel="0" collapsed="false">
      <c r="A34" s="12" t="s">
        <v>152</v>
      </c>
    </row>
    <row r="35" customFormat="false" ht="23.85" hidden="false" customHeight="false" outlineLevel="0" collapsed="false">
      <c r="A35" s="13" t="s">
        <v>153</v>
      </c>
      <c r="B35" s="20" t="n">
        <v>0.797</v>
      </c>
      <c r="C35" s="13" t="s">
        <v>154</v>
      </c>
      <c r="D35" s="4" t="s">
        <v>14</v>
      </c>
      <c r="E35" s="15" t="s">
        <v>155</v>
      </c>
      <c r="F35" s="13" t="s">
        <v>95</v>
      </c>
      <c r="G35" s="15" t="s">
        <v>156</v>
      </c>
    </row>
    <row r="36" customFormat="false" ht="15" hidden="false" customHeight="false" outlineLevel="0" collapsed="false">
      <c r="A36" s="13" t="s">
        <v>157</v>
      </c>
      <c r="B36" s="21" t="n">
        <v>0.6</v>
      </c>
      <c r="C36" s="13" t="s">
        <v>154</v>
      </c>
      <c r="D36" s="13" t="s">
        <v>20</v>
      </c>
      <c r="E36" s="15" t="s">
        <v>158</v>
      </c>
      <c r="F36" s="13" t="s">
        <v>37</v>
      </c>
      <c r="G36" s="15" t="s">
        <v>156</v>
      </c>
    </row>
    <row r="37" customFormat="false" ht="15" hidden="false" customHeight="false" outlineLevel="0" collapsed="false">
      <c r="A37" s="13" t="s">
        <v>159</v>
      </c>
      <c r="B37" s="19" t="n">
        <v>0.5</v>
      </c>
      <c r="C37" s="13" t="s">
        <v>98</v>
      </c>
      <c r="D37" s="13" t="s">
        <v>20</v>
      </c>
      <c r="E37" s="15" t="s">
        <v>160</v>
      </c>
      <c r="F37" s="13" t="s">
        <v>37</v>
      </c>
      <c r="G37" s="15" t="s">
        <v>161</v>
      </c>
    </row>
    <row r="38" customFormat="false" ht="23.85" hidden="false" customHeight="false" outlineLevel="0" collapsed="false">
      <c r="A38" s="13" t="s">
        <v>162</v>
      </c>
      <c r="B38" s="18" t="n">
        <v>20</v>
      </c>
      <c r="C38" s="13" t="s">
        <v>98</v>
      </c>
      <c r="D38" s="13" t="s">
        <v>23</v>
      </c>
      <c r="E38" s="15" t="s">
        <v>163</v>
      </c>
      <c r="F38" s="13" t="s">
        <v>37</v>
      </c>
      <c r="G38" s="15" t="s">
        <v>164</v>
      </c>
    </row>
    <row r="39" customFormat="false" ht="15" hidden="false" customHeight="false" outlineLevel="0" collapsed="false">
      <c r="A39" s="13" t="s">
        <v>165</v>
      </c>
      <c r="B39" s="18" t="n">
        <v>20</v>
      </c>
      <c r="C39" s="13" t="s">
        <v>98</v>
      </c>
      <c r="D39" s="13" t="s">
        <v>23</v>
      </c>
      <c r="E39" s="15" t="s">
        <v>166</v>
      </c>
      <c r="F39" s="13" t="s">
        <v>37</v>
      </c>
      <c r="G39" s="15" t="s">
        <v>164</v>
      </c>
    </row>
    <row r="40" customFormat="false" ht="15" hidden="false" customHeight="false" outlineLevel="0" collapsed="false">
      <c r="A40" s="12" t="s">
        <v>167</v>
      </c>
    </row>
    <row r="41" customFormat="false" ht="15" hidden="false" customHeight="false" outlineLevel="0" collapsed="false">
      <c r="A41" s="13" t="s">
        <v>168</v>
      </c>
      <c r="B41" s="22" t="n">
        <v>1100</v>
      </c>
      <c r="C41" s="13" t="s">
        <v>87</v>
      </c>
      <c r="D41" s="13" t="s">
        <v>17</v>
      </c>
      <c r="E41" s="15" t="s">
        <v>169</v>
      </c>
      <c r="F41" s="13" t="s">
        <v>95</v>
      </c>
      <c r="G41" s="15" t="s">
        <v>164</v>
      </c>
    </row>
    <row r="42" customFormat="false" ht="15" hidden="false" customHeight="false" outlineLevel="0" collapsed="false">
      <c r="A42" s="13" t="s">
        <v>170</v>
      </c>
      <c r="B42" s="23" t="n">
        <v>0.5</v>
      </c>
      <c r="C42" s="13" t="s">
        <v>93</v>
      </c>
      <c r="D42" s="4" t="s">
        <v>14</v>
      </c>
      <c r="E42" s="15" t="s">
        <v>171</v>
      </c>
      <c r="F42" s="13" t="s">
        <v>95</v>
      </c>
      <c r="G42" s="15" t="s">
        <v>164</v>
      </c>
    </row>
    <row r="43" customFormat="false" ht="15" hidden="false" customHeight="false" outlineLevel="0" collapsed="false">
      <c r="A43" s="13" t="s">
        <v>172</v>
      </c>
      <c r="B43" s="23" t="n">
        <v>0.541666666666667</v>
      </c>
      <c r="C43" s="13" t="s">
        <v>93</v>
      </c>
      <c r="D43" s="4" t="s">
        <v>14</v>
      </c>
      <c r="E43" s="15" t="s">
        <v>171</v>
      </c>
      <c r="F43" s="13" t="s">
        <v>95</v>
      </c>
      <c r="G43" s="15" t="s">
        <v>164</v>
      </c>
    </row>
    <row r="44" customFormat="false" ht="23.85" hidden="false" customHeight="false" outlineLevel="0" collapsed="false">
      <c r="A44" s="13" t="s">
        <v>173</v>
      </c>
      <c r="B44" s="21" t="n">
        <v>0.45</v>
      </c>
      <c r="C44" s="13" t="s">
        <v>154</v>
      </c>
      <c r="D44" s="13" t="s">
        <v>20</v>
      </c>
      <c r="E44" s="15" t="s">
        <v>174</v>
      </c>
      <c r="F44" s="13" t="s">
        <v>95</v>
      </c>
      <c r="G44" s="15" t="s">
        <v>164</v>
      </c>
    </row>
    <row r="45" customFormat="false" ht="15" hidden="false" customHeight="false" outlineLevel="0" collapsed="false">
      <c r="A45" s="13" t="s">
        <v>175</v>
      </c>
      <c r="B45" s="23" t="n">
        <v>0.541666666666667</v>
      </c>
      <c r="C45" s="13" t="s">
        <v>93</v>
      </c>
      <c r="D45" s="4" t="s">
        <v>14</v>
      </c>
      <c r="E45" s="15" t="s">
        <v>176</v>
      </c>
      <c r="F45" s="13" t="s">
        <v>95</v>
      </c>
      <c r="G45" s="15" t="s">
        <v>164</v>
      </c>
    </row>
    <row r="46" customFormat="false" ht="15" hidden="false" customHeight="false" outlineLevel="0" collapsed="false">
      <c r="A46" s="13" t="s">
        <v>177</v>
      </c>
      <c r="B46" s="23" t="n">
        <v>0.583333333333333</v>
      </c>
      <c r="C46" s="13" t="s">
        <v>93</v>
      </c>
      <c r="D46" s="4" t="s">
        <v>14</v>
      </c>
      <c r="E46" s="15" t="s">
        <v>120</v>
      </c>
      <c r="F46" s="13" t="s">
        <v>95</v>
      </c>
      <c r="G46" s="15" t="s">
        <v>164</v>
      </c>
    </row>
    <row r="47" customFormat="false" ht="15" hidden="false" customHeight="false" outlineLevel="0" collapsed="false">
      <c r="A47" s="13" t="s">
        <v>178</v>
      </c>
      <c r="B47" s="22" t="n">
        <v>850</v>
      </c>
      <c r="C47" s="13" t="s">
        <v>87</v>
      </c>
      <c r="D47" s="13" t="s">
        <v>17</v>
      </c>
      <c r="E47" s="15" t="s">
        <v>179</v>
      </c>
      <c r="F47" s="13" t="s">
        <v>95</v>
      </c>
      <c r="G47" s="15" t="s">
        <v>164</v>
      </c>
    </row>
    <row r="48" customFormat="false" ht="15" hidden="false" customHeight="false" outlineLevel="0" collapsed="false">
      <c r="A48" s="13" t="s">
        <v>180</v>
      </c>
      <c r="B48" s="23" t="n">
        <v>0.545138888888889</v>
      </c>
      <c r="C48" s="13" t="s">
        <v>93</v>
      </c>
      <c r="D48" s="4" t="s">
        <v>14</v>
      </c>
      <c r="E48" s="15" t="s">
        <v>171</v>
      </c>
      <c r="F48" s="13" t="s">
        <v>95</v>
      </c>
      <c r="G48" s="15" t="s">
        <v>164</v>
      </c>
    </row>
    <row r="49" customFormat="false" ht="15" hidden="false" customHeight="false" outlineLevel="0" collapsed="false">
      <c r="A49" s="13" t="s">
        <v>181</v>
      </c>
      <c r="B49" s="23" t="n">
        <v>0.583333333333333</v>
      </c>
      <c r="C49" s="13" t="s">
        <v>93</v>
      </c>
      <c r="D49" s="4" t="s">
        <v>14</v>
      </c>
      <c r="E49" s="15" t="s">
        <v>171</v>
      </c>
      <c r="F49" s="13" t="s">
        <v>95</v>
      </c>
      <c r="G49" s="15" t="s">
        <v>164</v>
      </c>
    </row>
    <row r="50" customFormat="false" ht="15" hidden="false" customHeight="false" outlineLevel="0" collapsed="false">
      <c r="A50" s="13" t="s">
        <v>182</v>
      </c>
      <c r="B50" s="22" t="n">
        <v>550</v>
      </c>
      <c r="C50" s="13" t="s">
        <v>87</v>
      </c>
      <c r="D50" s="13" t="s">
        <v>17</v>
      </c>
      <c r="E50" s="15" t="s">
        <v>183</v>
      </c>
      <c r="F50" s="13" t="s">
        <v>95</v>
      </c>
      <c r="G50" s="15" t="s">
        <v>164</v>
      </c>
    </row>
    <row r="51" customFormat="false" ht="15" hidden="false" customHeight="false" outlineLevel="0" collapsed="false">
      <c r="A51" s="13" t="s">
        <v>184</v>
      </c>
      <c r="B51" s="23" t="n">
        <v>0.520833333333333</v>
      </c>
      <c r="C51" s="13" t="s">
        <v>93</v>
      </c>
      <c r="D51" s="4" t="s">
        <v>14</v>
      </c>
      <c r="E51" s="15" t="s">
        <v>171</v>
      </c>
      <c r="F51" s="13" t="s">
        <v>95</v>
      </c>
      <c r="G51" s="15" t="s">
        <v>164</v>
      </c>
    </row>
    <row r="52" customFormat="false" ht="15" hidden="false" customHeight="false" outlineLevel="0" collapsed="false">
      <c r="A52" s="13" t="s">
        <v>185</v>
      </c>
      <c r="B52" s="23" t="n">
        <v>0.5625</v>
      </c>
      <c r="C52" s="13" t="s">
        <v>93</v>
      </c>
      <c r="D52" s="4" t="s">
        <v>14</v>
      </c>
      <c r="E52" s="15" t="s">
        <v>171</v>
      </c>
      <c r="F52" s="13" t="s">
        <v>95</v>
      </c>
      <c r="G52" s="15" t="s">
        <v>164</v>
      </c>
    </row>
    <row r="53" customFormat="false" ht="15" hidden="false" customHeight="false" outlineLevel="0" collapsed="false">
      <c r="A53" s="13" t="s">
        <v>186</v>
      </c>
      <c r="B53" s="22" t="n">
        <v>450</v>
      </c>
      <c r="C53" s="13" t="s">
        <v>87</v>
      </c>
      <c r="D53" s="13" t="s">
        <v>17</v>
      </c>
      <c r="E53" s="15" t="s">
        <v>187</v>
      </c>
      <c r="F53" s="13" t="s">
        <v>95</v>
      </c>
      <c r="G53" s="15" t="s">
        <v>164</v>
      </c>
    </row>
    <row r="54" customFormat="false" ht="15" hidden="false" customHeight="false" outlineLevel="0" collapsed="false">
      <c r="A54" s="13" t="s">
        <v>188</v>
      </c>
      <c r="B54" s="23" t="n">
        <v>0.5</v>
      </c>
      <c r="C54" s="13" t="s">
        <v>93</v>
      </c>
      <c r="D54" s="4" t="s">
        <v>14</v>
      </c>
      <c r="E54" s="15" t="s">
        <v>171</v>
      </c>
      <c r="F54" s="13" t="s">
        <v>95</v>
      </c>
      <c r="G54" s="15" t="s">
        <v>164</v>
      </c>
    </row>
    <row r="55" customFormat="false" ht="15" hidden="false" customHeight="false" outlineLevel="0" collapsed="false">
      <c r="A55" s="13" t="s">
        <v>189</v>
      </c>
      <c r="B55" s="23" t="n">
        <v>0.541666666666667</v>
      </c>
      <c r="C55" s="13" t="s">
        <v>93</v>
      </c>
      <c r="D55" s="4" t="s">
        <v>14</v>
      </c>
      <c r="E55" s="15" t="s">
        <v>171</v>
      </c>
      <c r="F55" s="13" t="s">
        <v>95</v>
      </c>
      <c r="G55" s="15" t="s">
        <v>164</v>
      </c>
    </row>
    <row r="56" customFormat="false" ht="15" hidden="false" customHeight="false" outlineLevel="0" collapsed="false">
      <c r="A56" s="13" t="s">
        <v>190</v>
      </c>
      <c r="B56" s="22" t="n">
        <v>100</v>
      </c>
      <c r="C56" s="13" t="s">
        <v>87</v>
      </c>
      <c r="D56" s="13" t="s">
        <v>20</v>
      </c>
      <c r="E56" s="15" t="s">
        <v>191</v>
      </c>
      <c r="F56" s="13" t="s">
        <v>95</v>
      </c>
      <c r="G56" s="15" t="s">
        <v>164</v>
      </c>
    </row>
    <row r="57" customFormat="false" ht="15" hidden="false" customHeight="false" outlineLevel="0" collapsed="false">
      <c r="A57" s="13" t="s">
        <v>192</v>
      </c>
      <c r="B57" s="23" t="n">
        <v>0.527777777777778</v>
      </c>
      <c r="C57" s="13" t="s">
        <v>93</v>
      </c>
      <c r="D57" s="4" t="s">
        <v>14</v>
      </c>
      <c r="E57" s="15" t="s">
        <v>171</v>
      </c>
      <c r="F57" s="13" t="s">
        <v>95</v>
      </c>
      <c r="G57" s="15" t="s">
        <v>164</v>
      </c>
    </row>
    <row r="58" customFormat="false" ht="15" hidden="false" customHeight="false" outlineLevel="0" collapsed="false">
      <c r="A58" s="13" t="s">
        <v>193</v>
      </c>
      <c r="B58" s="23" t="n">
        <v>0.569444444444444</v>
      </c>
      <c r="C58" s="13" t="s">
        <v>93</v>
      </c>
      <c r="D58" s="4" t="s">
        <v>14</v>
      </c>
      <c r="E58" s="15" t="s">
        <v>171</v>
      </c>
      <c r="F58" s="13" t="s">
        <v>95</v>
      </c>
      <c r="G58" s="15" t="s">
        <v>164</v>
      </c>
    </row>
    <row r="59" customFormat="false" ht="15" hidden="false" customHeight="false" outlineLevel="0" collapsed="false">
      <c r="A59" s="13" t="s">
        <v>194</v>
      </c>
      <c r="B59" s="22" t="n">
        <v>50</v>
      </c>
      <c r="C59" s="13" t="s">
        <v>87</v>
      </c>
      <c r="D59" s="13" t="s">
        <v>20</v>
      </c>
      <c r="E59" s="15" t="s">
        <v>195</v>
      </c>
      <c r="F59" s="13" t="s">
        <v>95</v>
      </c>
      <c r="G59" s="15" t="s">
        <v>164</v>
      </c>
    </row>
    <row r="60" customFormat="false" ht="15" hidden="false" customHeight="false" outlineLevel="0" collapsed="false">
      <c r="A60" s="13" t="s">
        <v>196</v>
      </c>
      <c r="B60" s="23" t="n">
        <v>0.534722222222222</v>
      </c>
      <c r="C60" s="13" t="s">
        <v>93</v>
      </c>
      <c r="D60" s="4" t="s">
        <v>14</v>
      </c>
      <c r="E60" s="15" t="s">
        <v>171</v>
      </c>
      <c r="F60" s="13" t="s">
        <v>95</v>
      </c>
      <c r="G60" s="15" t="s">
        <v>164</v>
      </c>
    </row>
    <row r="61" customFormat="false" ht="15" hidden="false" customHeight="false" outlineLevel="0" collapsed="false">
      <c r="A61" s="13" t="s">
        <v>197</v>
      </c>
      <c r="B61" s="23" t="n">
        <v>0.576388888888889</v>
      </c>
      <c r="C61" s="13" t="s">
        <v>93</v>
      </c>
      <c r="D61" s="4" t="s">
        <v>14</v>
      </c>
      <c r="E61" s="15" t="s">
        <v>171</v>
      </c>
      <c r="F61" s="13" t="s">
        <v>95</v>
      </c>
      <c r="G61" s="15" t="s">
        <v>164</v>
      </c>
    </row>
    <row r="62" customFormat="false" ht="15" hidden="false" customHeight="false" outlineLevel="0" collapsed="false">
      <c r="A62" s="13" t="s">
        <v>198</v>
      </c>
      <c r="B62" s="22" t="n">
        <v>50</v>
      </c>
      <c r="C62" s="13" t="s">
        <v>87</v>
      </c>
      <c r="D62" s="13" t="s">
        <v>20</v>
      </c>
      <c r="E62" s="15" t="s">
        <v>199</v>
      </c>
      <c r="F62" s="13" t="s">
        <v>95</v>
      </c>
      <c r="G62" s="15" t="s">
        <v>164</v>
      </c>
    </row>
    <row r="63" customFormat="false" ht="15" hidden="false" customHeight="false" outlineLevel="0" collapsed="false">
      <c r="A63" s="13" t="s">
        <v>200</v>
      </c>
      <c r="B63" s="24" t="n">
        <v>0.520833333333333</v>
      </c>
      <c r="C63" s="13" t="s">
        <v>93</v>
      </c>
      <c r="D63" s="13" t="s">
        <v>20</v>
      </c>
      <c r="E63" s="15" t="s">
        <v>201</v>
      </c>
      <c r="F63" s="13" t="s">
        <v>95</v>
      </c>
      <c r="G63" s="15" t="s">
        <v>164</v>
      </c>
    </row>
    <row r="64" customFormat="false" ht="15" hidden="false" customHeight="false" outlineLevel="0" collapsed="false">
      <c r="A64" s="13" t="s">
        <v>202</v>
      </c>
      <c r="B64" s="24" t="n">
        <v>0.5625</v>
      </c>
      <c r="C64" s="13" t="s">
        <v>93</v>
      </c>
      <c r="D64" s="13" t="s">
        <v>20</v>
      </c>
      <c r="E64" s="15" t="s">
        <v>201</v>
      </c>
      <c r="F64" s="13" t="s">
        <v>95</v>
      </c>
      <c r="G64" s="15" t="s">
        <v>164</v>
      </c>
    </row>
    <row r="65" customFormat="false" ht="15" hidden="false" customHeight="false" outlineLevel="0" collapsed="false">
      <c r="A65" s="12" t="s">
        <v>203</v>
      </c>
    </row>
    <row r="66" customFormat="false" ht="15" hidden="false" customHeight="false" outlineLevel="0" collapsed="false">
      <c r="A66" s="13" t="s">
        <v>204</v>
      </c>
      <c r="B66" s="21" t="n">
        <v>0.7</v>
      </c>
      <c r="C66" s="13" t="s">
        <v>154</v>
      </c>
      <c r="D66" s="13" t="s">
        <v>17</v>
      </c>
      <c r="E66" s="15" t="s">
        <v>205</v>
      </c>
      <c r="F66" s="13" t="s">
        <v>95</v>
      </c>
      <c r="G66" s="15" t="s">
        <v>126</v>
      </c>
    </row>
    <row r="67" customFormat="false" ht="23.85" hidden="false" customHeight="false" outlineLevel="0" collapsed="false">
      <c r="A67" s="13" t="s">
        <v>206</v>
      </c>
      <c r="B67" s="18" t="n">
        <v>20</v>
      </c>
      <c r="C67" s="13" t="s">
        <v>98</v>
      </c>
      <c r="D67" s="13" t="s">
        <v>20</v>
      </c>
      <c r="E67" s="15" t="s">
        <v>207</v>
      </c>
      <c r="F67" s="13" t="s">
        <v>37</v>
      </c>
      <c r="G67" s="15" t="s">
        <v>126</v>
      </c>
    </row>
    <row r="68" customFormat="false" ht="15" hidden="false" customHeight="false" outlineLevel="0" collapsed="false">
      <c r="A68" s="13" t="s">
        <v>208</v>
      </c>
      <c r="B68" s="19" t="n">
        <v>1</v>
      </c>
      <c r="C68" s="13" t="s">
        <v>209</v>
      </c>
      <c r="D68" s="13" t="s">
        <v>20</v>
      </c>
      <c r="E68" s="15" t="s">
        <v>210</v>
      </c>
      <c r="F68" s="13" t="s">
        <v>37</v>
      </c>
      <c r="G68" s="15" t="s">
        <v>56</v>
      </c>
    </row>
    <row r="69" customFormat="false" ht="15" hidden="false" customHeight="false" outlineLevel="0" collapsed="false">
      <c r="A69" s="13" t="s">
        <v>211</v>
      </c>
      <c r="B69" s="22" t="n">
        <v>1000</v>
      </c>
      <c r="C69" s="13" t="s">
        <v>212</v>
      </c>
      <c r="D69" s="13" t="s">
        <v>20</v>
      </c>
      <c r="E69" s="15" t="s">
        <v>213</v>
      </c>
      <c r="F69" s="13" t="s">
        <v>37</v>
      </c>
      <c r="G69" s="15" t="s">
        <v>214</v>
      </c>
    </row>
    <row r="70" customFormat="false" ht="15" hidden="false" customHeight="false" outlineLevel="0" collapsed="false">
      <c r="A70" s="13" t="s">
        <v>215</v>
      </c>
      <c r="B70" s="22" t="n">
        <v>2400</v>
      </c>
      <c r="C70" s="13" t="s">
        <v>212</v>
      </c>
      <c r="D70" s="13" t="s">
        <v>20</v>
      </c>
      <c r="E70" s="15" t="s">
        <v>216</v>
      </c>
      <c r="F70" s="13" t="s">
        <v>37</v>
      </c>
      <c r="G70" s="15" t="s">
        <v>56</v>
      </c>
    </row>
    <row r="71" customFormat="false" ht="15" hidden="false" customHeight="false" outlineLevel="0" collapsed="false">
      <c r="A71" s="12" t="s">
        <v>217</v>
      </c>
    </row>
    <row r="72" customFormat="false" ht="15" hidden="false" customHeight="false" outlineLevel="0" collapsed="false">
      <c r="A72" s="13" t="s">
        <v>218</v>
      </c>
      <c r="B72" s="21" t="n">
        <v>0.3</v>
      </c>
      <c r="C72" s="13" t="s">
        <v>154</v>
      </c>
      <c r="D72" s="13" t="s">
        <v>20</v>
      </c>
      <c r="E72" s="15" t="s">
        <v>219</v>
      </c>
      <c r="F72" s="13" t="s">
        <v>37</v>
      </c>
      <c r="G72" s="15" t="s">
        <v>58</v>
      </c>
    </row>
    <row r="73" customFormat="false" ht="15" hidden="false" customHeight="false" outlineLevel="0" collapsed="false">
      <c r="A73" s="13" t="s">
        <v>220</v>
      </c>
      <c r="B73" s="21" t="n">
        <v>0.5</v>
      </c>
      <c r="C73" s="13" t="s">
        <v>154</v>
      </c>
      <c r="D73" s="13" t="s">
        <v>20</v>
      </c>
      <c r="E73" s="15" t="s">
        <v>120</v>
      </c>
      <c r="F73" s="13" t="s">
        <v>37</v>
      </c>
      <c r="G73" s="15" t="s">
        <v>58</v>
      </c>
    </row>
    <row r="74" customFormat="false" ht="15" hidden="false" customHeight="false" outlineLevel="0" collapsed="false">
      <c r="A74" s="13" t="s">
        <v>221</v>
      </c>
      <c r="B74" s="21" t="n">
        <v>0.2</v>
      </c>
      <c r="C74" s="13" t="s">
        <v>154</v>
      </c>
      <c r="D74" s="13" t="s">
        <v>20</v>
      </c>
      <c r="E74" s="15" t="s">
        <v>120</v>
      </c>
      <c r="F74" s="13" t="s">
        <v>37</v>
      </c>
      <c r="G74" s="15" t="s">
        <v>58</v>
      </c>
    </row>
    <row r="75" customFormat="false" ht="15" hidden="false" customHeight="false" outlineLevel="0" collapsed="false">
      <c r="A75" s="12" t="s">
        <v>222</v>
      </c>
    </row>
    <row r="76" customFormat="false" ht="15" hidden="false" customHeight="false" outlineLevel="0" collapsed="false">
      <c r="A76" s="13" t="s">
        <v>223</v>
      </c>
      <c r="B76" s="25" t="n">
        <v>0.85</v>
      </c>
      <c r="C76" s="13" t="s">
        <v>154</v>
      </c>
      <c r="D76" s="13" t="s">
        <v>29</v>
      </c>
      <c r="E76" s="15" t="s">
        <v>224</v>
      </c>
      <c r="F76" s="13" t="s">
        <v>37</v>
      </c>
      <c r="G76" s="15" t="s">
        <v>100</v>
      </c>
    </row>
    <row r="77" customFormat="false" ht="15" hidden="false" customHeight="false" outlineLevel="0" collapsed="false">
      <c r="A77" s="13" t="s">
        <v>225</v>
      </c>
      <c r="B77" s="26" t="n">
        <v>2</v>
      </c>
      <c r="C77" s="13" t="s">
        <v>98</v>
      </c>
      <c r="D77" s="13" t="s">
        <v>29</v>
      </c>
      <c r="E77" s="15" t="s">
        <v>226</v>
      </c>
      <c r="F77" s="13" t="s">
        <v>37</v>
      </c>
      <c r="G77" s="15" t="s">
        <v>123</v>
      </c>
    </row>
    <row r="78" customFormat="false" ht="15" hidden="false" customHeight="false" outlineLevel="0" collapsed="false">
      <c r="A78" s="13" t="s">
        <v>227</v>
      </c>
      <c r="B78" s="26" t="n">
        <v>0.5</v>
      </c>
      <c r="C78" s="13" t="s">
        <v>98</v>
      </c>
      <c r="D78" s="13" t="s">
        <v>29</v>
      </c>
      <c r="E78" s="15" t="s">
        <v>228</v>
      </c>
      <c r="F78" s="13" t="s">
        <v>37</v>
      </c>
      <c r="G78" s="15" t="s">
        <v>64</v>
      </c>
    </row>
    <row r="79" customFormat="false" ht="15" hidden="false" customHeight="false" outlineLevel="0" collapsed="false">
      <c r="A79" s="13" t="s">
        <v>229</v>
      </c>
      <c r="B79" s="17" t="n">
        <v>3</v>
      </c>
      <c r="C79" s="13" t="s">
        <v>98</v>
      </c>
      <c r="D79" s="13" t="s">
        <v>29</v>
      </c>
      <c r="E79" s="15" t="s">
        <v>230</v>
      </c>
      <c r="F79" s="13" t="s">
        <v>37</v>
      </c>
      <c r="G79" s="15" t="s">
        <v>64</v>
      </c>
    </row>
    <row r="81" customFormat="false" ht="15" hidden="false" customHeight="false" outlineLevel="0" collapsed="false">
      <c r="A81" s="12" t="s">
        <v>231</v>
      </c>
    </row>
    <row r="82" customFormat="false" ht="15" hidden="false" customHeight="false" outlineLevel="0" collapsed="false">
      <c r="A82" s="13" t="s">
        <v>232</v>
      </c>
      <c r="B82" s="27" t="n">
        <f aca="false">Inputs!$B$11*Inputs!$B$26</f>
        <v>20</v>
      </c>
      <c r="C82" s="13" t="s">
        <v>138</v>
      </c>
      <c r="D82" s="13" t="s">
        <v>233</v>
      </c>
    </row>
    <row r="83" customFormat="false" ht="15" hidden="false" customHeight="false" outlineLevel="0" collapsed="false">
      <c r="A83" s="13" t="s">
        <v>234</v>
      </c>
      <c r="B83" s="27" t="n">
        <f aca="false">Inputs!$B$12*Inputs!$B$26</f>
        <v>20</v>
      </c>
      <c r="C83" s="13" t="s">
        <v>138</v>
      </c>
      <c r="D83" s="13" t="s">
        <v>233</v>
      </c>
    </row>
    <row r="84" customFormat="false" ht="15" hidden="false" customHeight="false" outlineLevel="0" collapsed="false">
      <c r="A84" s="13" t="s">
        <v>235</v>
      </c>
      <c r="B84" s="27" t="n">
        <f aca="false">Inputs!$B$13*60/Inputs!$B$23</f>
        <v>30</v>
      </c>
      <c r="C84" s="13" t="s">
        <v>138</v>
      </c>
      <c r="D84" s="13" t="s">
        <v>233</v>
      </c>
    </row>
    <row r="85" customFormat="false" ht="15" hidden="false" customHeight="false" outlineLevel="0" collapsed="false">
      <c r="A85" s="13" t="s">
        <v>236</v>
      </c>
      <c r="B85" s="27" t="n">
        <f aca="false">Inputs!$B$14*60/Inputs!$B$23</f>
        <v>30</v>
      </c>
      <c r="C85" s="13" t="s">
        <v>138</v>
      </c>
      <c r="D85" s="13" t="s">
        <v>233</v>
      </c>
    </row>
    <row r="86" customFormat="false" ht="15" hidden="false" customHeight="false" outlineLevel="0" collapsed="false">
      <c r="A86" s="13" t="s">
        <v>237</v>
      </c>
      <c r="B86" s="28" t="n">
        <f aca="false">(Inputs!$B$23+(Inputs!$B$24+Inputs!$B$25)/2)/60</f>
        <v>0.625</v>
      </c>
      <c r="C86" s="13" t="s">
        <v>98</v>
      </c>
      <c r="D86" s="13" t="s">
        <v>233</v>
      </c>
    </row>
    <row r="87" customFormat="false" ht="15" hidden="false" customHeight="false" outlineLevel="0" collapsed="false">
      <c r="A87" s="13" t="s">
        <v>238</v>
      </c>
      <c r="B87" s="28" t="n">
        <f aca="false">(Inputs!$B$27+Inputs!$B$28)/2/60</f>
        <v>1.4</v>
      </c>
      <c r="C87" s="13" t="s">
        <v>98</v>
      </c>
      <c r="D87" s="13" t="s">
        <v>233</v>
      </c>
    </row>
    <row r="88" customFormat="false" ht="15" hidden="false" customHeight="false" outlineLevel="0" collapsed="false">
      <c r="A88" s="13" t="s">
        <v>239</v>
      </c>
      <c r="B88" s="28" t="n">
        <f aca="false">(Inputs!$B$29+Inputs!$B$30)/2+Inputs!$B$31</f>
        <v>25</v>
      </c>
      <c r="C88" s="13" t="s">
        <v>98</v>
      </c>
      <c r="D88" s="13" t="s">
        <v>233</v>
      </c>
    </row>
    <row r="89" customFormat="false" ht="15" hidden="false" customHeight="false" outlineLevel="0" collapsed="false">
      <c r="A89" s="13" t="s">
        <v>240</v>
      </c>
      <c r="B89" s="28" t="n">
        <f aca="false">(Inputs!$B$32+Inputs!$B$33)/2</f>
        <v>1.5</v>
      </c>
      <c r="C89" s="13" t="s">
        <v>98</v>
      </c>
      <c r="D89" s="13" t="s">
        <v>233</v>
      </c>
    </row>
    <row r="90" customFormat="false" ht="15" hidden="false" customHeight="false" outlineLevel="0" collapsed="false">
      <c r="A90" s="13" t="s">
        <v>241</v>
      </c>
      <c r="B90" s="27" t="n">
        <f aca="false">Inputs!$B$86+1/Inputs!$B$26+Inputs!$B$87+Inputs!$B$88+Inputs!$B$89</f>
        <v>28.625</v>
      </c>
      <c r="C90" s="13" t="s">
        <v>98</v>
      </c>
      <c r="D90" s="13" t="s">
        <v>233</v>
      </c>
    </row>
    <row r="91" customFormat="false" ht="15" hidden="false" customHeight="false" outlineLevel="0" collapsed="false">
      <c r="A91" s="13" t="s">
        <v>242</v>
      </c>
      <c r="B91" s="27" t="n">
        <f aca="false">Inputs!$B$66*(Inputs!$B$19+Inputs!$B$20)/2+(1-Inputs!$B$66)*Inputs!$B$18</f>
        <v>17.4</v>
      </c>
      <c r="C91" s="13" t="s">
        <v>98</v>
      </c>
      <c r="D91" s="13" t="s">
        <v>233</v>
      </c>
    </row>
    <row r="92" customFormat="false" ht="15" hidden="false" customHeight="false" outlineLevel="0" collapsed="false">
      <c r="A92" s="13" t="s">
        <v>243</v>
      </c>
      <c r="B92" s="27" t="n">
        <f aca="false">Inputs!$B$9/Inputs!$B$88</f>
        <v>36</v>
      </c>
      <c r="C92" s="13" t="s">
        <v>138</v>
      </c>
      <c r="D92" s="13" t="s">
        <v>233</v>
      </c>
    </row>
    <row r="93" customFormat="false" ht="15" hidden="false" customHeight="false" outlineLevel="0" collapsed="false">
      <c r="A93" s="13" t="s">
        <v>244</v>
      </c>
      <c r="B93" s="27" t="n">
        <f aca="false">Inputs!$B$10/Inputs!$B$88</f>
        <v>19.68</v>
      </c>
      <c r="C93" s="13" t="s">
        <v>138</v>
      </c>
      <c r="D93" s="13" t="s">
        <v>233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36"/>
    <col collapsed="false" customWidth="true" hidden="false" outlineLevel="0" max="5" min="4" style="0" width="34"/>
  </cols>
  <sheetData>
    <row r="1" customFormat="false" ht="17.35" hidden="false" customHeight="false" outlineLevel="0" collapsed="false">
      <c r="A1" s="1" t="s">
        <v>245</v>
      </c>
      <c r="B1" s="2"/>
      <c r="C1" s="2"/>
      <c r="D1" s="2"/>
      <c r="E1" s="2"/>
    </row>
    <row r="2" customFormat="false" ht="15" hidden="false" customHeight="false" outlineLevel="0" collapsed="false">
      <c r="A2" s="11" t="s">
        <v>246</v>
      </c>
    </row>
    <row r="4" customFormat="false" ht="15" hidden="false" customHeight="false" outlineLevel="0" collapsed="false">
      <c r="A4" s="4" t="s">
        <v>247</v>
      </c>
    </row>
    <row r="5" customFormat="false" ht="45.75" hidden="false" customHeight="true" outlineLevel="0" collapsed="false">
      <c r="A5" s="29" t="s">
        <v>248</v>
      </c>
      <c r="B5" s="29"/>
      <c r="C5" s="29"/>
      <c r="D5" s="29"/>
      <c r="E5" s="29"/>
    </row>
    <row r="6" customFormat="false" ht="45.75" hidden="false" customHeight="true" outlineLevel="0" collapsed="false">
      <c r="A6" s="29" t="s">
        <v>249</v>
      </c>
      <c r="B6" s="29"/>
      <c r="C6" s="29"/>
      <c r="D6" s="29"/>
      <c r="E6" s="29"/>
    </row>
    <row r="8" customFormat="false" ht="15" hidden="false" customHeight="false" outlineLevel="0" collapsed="false">
      <c r="A8" s="4" t="s">
        <v>250</v>
      </c>
    </row>
    <row r="9" customFormat="false" ht="15" hidden="false" customHeight="false" outlineLevel="0" collapsed="false">
      <c r="A9" s="7" t="s">
        <v>251</v>
      </c>
      <c r="B9" s="7" t="s">
        <v>252</v>
      </c>
      <c r="C9" s="7" t="s">
        <v>253</v>
      </c>
    </row>
    <row r="10" customFormat="false" ht="23.85" hidden="false" customHeight="false" outlineLevel="0" collapsed="false">
      <c r="A10" s="8" t="s">
        <v>254</v>
      </c>
      <c r="B10" s="9" t="s">
        <v>255</v>
      </c>
      <c r="C10" s="9" t="s">
        <v>256</v>
      </c>
    </row>
    <row r="11" customFormat="false" ht="23.85" hidden="false" customHeight="false" outlineLevel="0" collapsed="false">
      <c r="A11" s="8" t="s">
        <v>257</v>
      </c>
      <c r="B11" s="9" t="s">
        <v>258</v>
      </c>
      <c r="C11" s="9" t="s">
        <v>259</v>
      </c>
    </row>
    <row r="12" customFormat="false" ht="23.85" hidden="false" customHeight="false" outlineLevel="0" collapsed="false">
      <c r="A12" s="8" t="s">
        <v>260</v>
      </c>
      <c r="B12" s="9" t="s">
        <v>261</v>
      </c>
      <c r="C12" s="9" t="s">
        <v>262</v>
      </c>
    </row>
    <row r="13" customFormat="false" ht="23.85" hidden="false" customHeight="false" outlineLevel="0" collapsed="false">
      <c r="A13" s="8" t="s">
        <v>263</v>
      </c>
      <c r="B13" s="9" t="s">
        <v>264</v>
      </c>
      <c r="C13" s="9" t="s">
        <v>265</v>
      </c>
    </row>
    <row r="14" customFormat="false" ht="23.85" hidden="false" customHeight="false" outlineLevel="0" collapsed="false">
      <c r="A14" s="8" t="s">
        <v>266</v>
      </c>
      <c r="B14" s="9" t="s">
        <v>267</v>
      </c>
      <c r="C14" s="9" t="s">
        <v>268</v>
      </c>
    </row>
    <row r="16" customFormat="false" ht="15" hidden="false" customHeight="false" outlineLevel="0" collapsed="false">
      <c r="A16" s="4" t="s">
        <v>269</v>
      </c>
    </row>
    <row r="17" customFormat="false" ht="15" hidden="false" customHeight="false" outlineLevel="0" collapsed="false">
      <c r="A17" s="7" t="s">
        <v>270</v>
      </c>
      <c r="B17" s="7" t="s">
        <v>271</v>
      </c>
      <c r="C17" s="7" t="s">
        <v>272</v>
      </c>
      <c r="D17" s="7" t="s">
        <v>273</v>
      </c>
      <c r="E17" s="7" t="s">
        <v>81</v>
      </c>
    </row>
    <row r="18" customFormat="false" ht="30" hidden="false" customHeight="true" outlineLevel="0" collapsed="false">
      <c r="A18" s="9" t="s">
        <v>274</v>
      </c>
      <c r="B18" s="9" t="s">
        <v>275</v>
      </c>
      <c r="C18" s="9" t="s">
        <v>276</v>
      </c>
      <c r="D18" s="9" t="s">
        <v>277</v>
      </c>
      <c r="E18" s="8" t="s">
        <v>278</v>
      </c>
    </row>
    <row r="19" customFormat="false" ht="30" hidden="false" customHeight="true" outlineLevel="0" collapsed="false">
      <c r="A19" s="9" t="s">
        <v>279</v>
      </c>
      <c r="B19" s="9" t="s">
        <v>37</v>
      </c>
      <c r="C19" s="9" t="s">
        <v>280</v>
      </c>
      <c r="D19" s="9" t="s">
        <v>281</v>
      </c>
      <c r="E19" s="8" t="s">
        <v>282</v>
      </c>
    </row>
    <row r="20" customFormat="false" ht="30" hidden="false" customHeight="true" outlineLevel="0" collapsed="false">
      <c r="A20" s="9" t="s">
        <v>283</v>
      </c>
      <c r="B20" s="9" t="s">
        <v>37</v>
      </c>
      <c r="C20" s="9" t="s">
        <v>284</v>
      </c>
      <c r="D20" s="9" t="s">
        <v>285</v>
      </c>
      <c r="E20" s="8" t="s">
        <v>286</v>
      </c>
    </row>
    <row r="21" customFormat="false" ht="30" hidden="false" customHeight="true" outlineLevel="0" collapsed="false">
      <c r="A21" s="9" t="s">
        <v>287</v>
      </c>
      <c r="B21" s="9" t="s">
        <v>37</v>
      </c>
      <c r="C21" s="9" t="s">
        <v>288</v>
      </c>
      <c r="D21" s="9" t="s">
        <v>289</v>
      </c>
      <c r="E21" s="8" t="s">
        <v>290</v>
      </c>
    </row>
    <row r="22" customFormat="false" ht="30" hidden="false" customHeight="true" outlineLevel="0" collapsed="false">
      <c r="A22" s="9" t="s">
        <v>291</v>
      </c>
      <c r="B22" s="9" t="s">
        <v>37</v>
      </c>
      <c r="C22" s="9" t="s">
        <v>292</v>
      </c>
      <c r="D22" s="9" t="s">
        <v>293</v>
      </c>
      <c r="E22" s="8" t="s">
        <v>278</v>
      </c>
    </row>
    <row r="24" customFormat="false" ht="30" hidden="false" customHeight="true" outlineLevel="0" collapsed="false">
      <c r="A24" s="29" t="s">
        <v>294</v>
      </c>
      <c r="B24" s="29"/>
      <c r="C24" s="29"/>
      <c r="D24" s="29"/>
      <c r="E24" s="29"/>
    </row>
    <row r="26" customFormat="false" ht="15" hidden="false" customHeight="false" outlineLevel="0" collapsed="false">
      <c r="A26" s="4" t="s">
        <v>295</v>
      </c>
    </row>
    <row r="27" customFormat="false" ht="15" hidden="false" customHeight="false" outlineLevel="0" collapsed="false">
      <c r="A27" s="7" t="s">
        <v>296</v>
      </c>
      <c r="B27" s="7" t="s">
        <v>297</v>
      </c>
      <c r="C27" s="7" t="s">
        <v>29</v>
      </c>
      <c r="D27" s="7" t="s">
        <v>298</v>
      </c>
      <c r="E27" s="7" t="s">
        <v>299</v>
      </c>
    </row>
    <row r="28" customFormat="false" ht="30" hidden="false" customHeight="true" outlineLevel="0" collapsed="false">
      <c r="A28" s="9" t="s">
        <v>300</v>
      </c>
      <c r="B28" s="9" t="s">
        <v>301</v>
      </c>
      <c r="C28" s="9" t="s">
        <v>302</v>
      </c>
      <c r="D28" s="9" t="s">
        <v>303</v>
      </c>
      <c r="E28" s="9" t="s">
        <v>304</v>
      </c>
    </row>
    <row r="29" customFormat="false" ht="30" hidden="false" customHeight="true" outlineLevel="0" collapsed="false">
      <c r="A29" s="9" t="s">
        <v>305</v>
      </c>
      <c r="B29" s="9" t="s">
        <v>306</v>
      </c>
      <c r="C29" s="9" t="s">
        <v>307</v>
      </c>
      <c r="D29" s="9" t="s">
        <v>308</v>
      </c>
      <c r="E29" s="9" t="s">
        <v>309</v>
      </c>
    </row>
    <row r="30" customFormat="false" ht="30" hidden="false" customHeight="true" outlineLevel="0" collapsed="false">
      <c r="A30" s="9" t="s">
        <v>310</v>
      </c>
      <c r="B30" s="9" t="s">
        <v>311</v>
      </c>
      <c r="C30" s="9" t="s">
        <v>312</v>
      </c>
      <c r="D30" s="9" t="s">
        <v>313</v>
      </c>
      <c r="E30" s="9" t="s">
        <v>314</v>
      </c>
    </row>
    <row r="32" customFormat="false" ht="15" hidden="false" customHeight="false" outlineLevel="0" collapsed="false">
      <c r="A32" s="4" t="s">
        <v>315</v>
      </c>
    </row>
    <row r="33" customFormat="false" ht="15" hidden="false" customHeight="false" outlineLevel="0" collapsed="false">
      <c r="A33" s="7" t="s">
        <v>316</v>
      </c>
      <c r="B33" s="7" t="s">
        <v>317</v>
      </c>
      <c r="C33" s="7" t="s">
        <v>318</v>
      </c>
    </row>
    <row r="34" customFormat="false" ht="23.85" hidden="false" customHeight="false" outlineLevel="0" collapsed="false">
      <c r="A34" s="8" t="s">
        <v>319</v>
      </c>
      <c r="B34" s="9" t="s">
        <v>320</v>
      </c>
      <c r="C34" s="9" t="s">
        <v>321</v>
      </c>
    </row>
    <row r="35" customFormat="false" ht="23.85" hidden="false" customHeight="false" outlineLevel="0" collapsed="false">
      <c r="A35" s="8" t="s">
        <v>322</v>
      </c>
      <c r="B35" s="9" t="s">
        <v>323</v>
      </c>
      <c r="C35" s="9" t="s">
        <v>324</v>
      </c>
    </row>
    <row r="36" customFormat="false" ht="23.85" hidden="false" customHeight="false" outlineLevel="0" collapsed="false">
      <c r="A36" s="8" t="s">
        <v>325</v>
      </c>
      <c r="B36" s="9" t="s">
        <v>326</v>
      </c>
      <c r="C36" s="9" t="s">
        <v>327</v>
      </c>
    </row>
    <row r="37" customFormat="false" ht="23.85" hidden="false" customHeight="false" outlineLevel="0" collapsed="false">
      <c r="A37" s="8" t="s">
        <v>328</v>
      </c>
      <c r="B37" s="9" t="s">
        <v>329</v>
      </c>
      <c r="C37" s="9" t="s">
        <v>330</v>
      </c>
    </row>
    <row r="38" customFormat="false" ht="23.85" hidden="false" customHeight="false" outlineLevel="0" collapsed="false">
      <c r="A38" s="8" t="s">
        <v>331</v>
      </c>
      <c r="B38" s="9" t="s">
        <v>332</v>
      </c>
      <c r="C38" s="9" t="s">
        <v>333</v>
      </c>
    </row>
    <row r="39" customFormat="false" ht="23.85" hidden="false" customHeight="false" outlineLevel="0" collapsed="false">
      <c r="A39" s="8" t="s">
        <v>334</v>
      </c>
      <c r="B39" s="9" t="s">
        <v>335</v>
      </c>
      <c r="C39" s="9" t="s">
        <v>336</v>
      </c>
    </row>
  </sheetData>
  <mergeCells count="3">
    <mergeCell ref="A5:E5"/>
    <mergeCell ref="A6:E6"/>
    <mergeCell ref="A24: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8"/>
    <col collapsed="false" customWidth="true" hidden="false" outlineLevel="0" max="3" min="3" style="0" width="52"/>
    <col collapsed="false" customWidth="true" hidden="false" outlineLevel="0" max="4" min="4" style="0" width="22"/>
  </cols>
  <sheetData>
    <row r="1" customFormat="false" ht="17.35" hidden="false" customHeight="false" outlineLevel="0" collapsed="false">
      <c r="A1" s="1" t="s">
        <v>337</v>
      </c>
      <c r="B1" s="2"/>
      <c r="C1" s="2"/>
      <c r="D1" s="2"/>
    </row>
    <row r="2" customFormat="false" ht="15" hidden="false" customHeight="false" outlineLevel="0" collapsed="false">
      <c r="A2" s="11" t="s">
        <v>338</v>
      </c>
    </row>
    <row r="4" customFormat="false" ht="15" hidden="false" customHeight="false" outlineLevel="0" collapsed="false">
      <c r="A4" s="7" t="s">
        <v>339</v>
      </c>
      <c r="B4" s="7" t="s">
        <v>340</v>
      </c>
      <c r="C4" s="7" t="s">
        <v>341</v>
      </c>
      <c r="D4" s="7" t="s">
        <v>81</v>
      </c>
    </row>
    <row r="5" customFormat="false" ht="30" hidden="false" customHeight="true" outlineLevel="0" collapsed="false">
      <c r="A5" s="8" t="s">
        <v>342</v>
      </c>
      <c r="B5" s="9" t="s">
        <v>343</v>
      </c>
      <c r="C5" s="9" t="s">
        <v>344</v>
      </c>
      <c r="D5" s="9" t="s">
        <v>345</v>
      </c>
    </row>
    <row r="6" customFormat="false" ht="30" hidden="false" customHeight="true" outlineLevel="0" collapsed="false">
      <c r="A6" s="8" t="s">
        <v>346</v>
      </c>
      <c r="B6" s="9" t="s">
        <v>347</v>
      </c>
      <c r="C6" s="9" t="s">
        <v>348</v>
      </c>
      <c r="D6" s="9" t="s">
        <v>349</v>
      </c>
    </row>
    <row r="7" customFormat="false" ht="30" hidden="false" customHeight="true" outlineLevel="0" collapsed="false">
      <c r="A7" s="8" t="s">
        <v>350</v>
      </c>
      <c r="B7" s="9" t="s">
        <v>351</v>
      </c>
      <c r="C7" s="9" t="s">
        <v>352</v>
      </c>
      <c r="D7" s="9" t="s">
        <v>353</v>
      </c>
    </row>
    <row r="8" customFormat="false" ht="30" hidden="false" customHeight="true" outlineLevel="0" collapsed="false">
      <c r="A8" s="8" t="s">
        <v>354</v>
      </c>
      <c r="B8" s="9" t="s">
        <v>355</v>
      </c>
      <c r="C8" s="9" t="s">
        <v>356</v>
      </c>
      <c r="D8" s="9" t="s">
        <v>278</v>
      </c>
    </row>
    <row r="9" customFormat="false" ht="30" hidden="false" customHeight="true" outlineLevel="0" collapsed="false">
      <c r="A9" s="8" t="s">
        <v>357</v>
      </c>
      <c r="B9" s="9" t="s">
        <v>358</v>
      </c>
      <c r="C9" s="9" t="s">
        <v>359</v>
      </c>
      <c r="D9" s="9" t="s">
        <v>360</v>
      </c>
    </row>
    <row r="10" customFormat="false" ht="30" hidden="false" customHeight="true" outlineLevel="0" collapsed="false">
      <c r="A10" s="8" t="s">
        <v>361</v>
      </c>
      <c r="B10" s="9" t="s">
        <v>362</v>
      </c>
      <c r="C10" s="9" t="s">
        <v>363</v>
      </c>
      <c r="D10" s="9" t="s">
        <v>364</v>
      </c>
    </row>
    <row r="12" customFormat="false" ht="15" hidden="false" customHeight="false" outlineLevel="0" collapsed="false">
      <c r="A12" s="4" t="s">
        <v>365</v>
      </c>
    </row>
    <row r="13" customFormat="false" ht="15" hidden="false" customHeight="false" outlineLevel="0" collapsed="false">
      <c r="A13" s="7" t="s">
        <v>366</v>
      </c>
      <c r="B13" s="7" t="s">
        <v>367</v>
      </c>
      <c r="C13" s="7" t="s">
        <v>81</v>
      </c>
    </row>
    <row r="14" customFormat="false" ht="23.85" hidden="false" customHeight="false" outlineLevel="0" collapsed="false">
      <c r="A14" s="8" t="s">
        <v>368</v>
      </c>
      <c r="B14" s="9" t="s">
        <v>369</v>
      </c>
      <c r="C14" s="30" t="s">
        <v>370</v>
      </c>
    </row>
    <row r="15" customFormat="false" ht="15" hidden="false" customHeight="false" outlineLevel="0" collapsed="false">
      <c r="A15" s="8" t="s">
        <v>371</v>
      </c>
      <c r="B15" s="9" t="s">
        <v>372</v>
      </c>
      <c r="C15" s="30" t="s">
        <v>373</v>
      </c>
    </row>
    <row r="16" customFormat="false" ht="15" hidden="false" customHeight="false" outlineLevel="0" collapsed="false">
      <c r="A16" s="8" t="s">
        <v>374</v>
      </c>
      <c r="B16" s="9" t="s">
        <v>375</v>
      </c>
      <c r="C16" s="30" t="s">
        <v>376</v>
      </c>
    </row>
    <row r="17" customFormat="false" ht="23.85" hidden="false" customHeight="false" outlineLevel="0" collapsed="false">
      <c r="A17" s="8" t="s">
        <v>377</v>
      </c>
      <c r="B17" s="9" t="s">
        <v>378</v>
      </c>
      <c r="C17" s="30" t="s">
        <v>373</v>
      </c>
    </row>
    <row r="18" customFormat="false" ht="23.85" hidden="false" customHeight="false" outlineLevel="0" collapsed="false">
      <c r="A18" s="8" t="s">
        <v>379</v>
      </c>
      <c r="B18" s="9" t="s">
        <v>380</v>
      </c>
      <c r="C18" s="30" t="s">
        <v>381</v>
      </c>
    </row>
    <row r="19" customFormat="false" ht="15" hidden="false" customHeight="false" outlineLevel="0" collapsed="false">
      <c r="A19" s="8" t="s">
        <v>382</v>
      </c>
      <c r="B19" s="9" t="s">
        <v>383</v>
      </c>
      <c r="C19" s="30" t="s">
        <v>373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8"/>
    <col collapsed="false" customWidth="true" hidden="false" outlineLevel="0" max="3" min="3" style="0" width="14"/>
    <col collapsed="false" customWidth="true" hidden="false" outlineLevel="0" max="4" min="4" style="0" width="12"/>
    <col collapsed="false" customWidth="true" hidden="false" outlineLevel="0" max="5" min="5" style="0" width="34"/>
    <col collapsed="false" customWidth="true" hidden="false" outlineLevel="0" max="6" min="6" style="0" width="40"/>
  </cols>
  <sheetData>
    <row r="1" customFormat="false" ht="17.35" hidden="false" customHeight="false" outlineLevel="0" collapsed="false">
      <c r="A1" s="1" t="s">
        <v>384</v>
      </c>
      <c r="B1" s="2"/>
      <c r="C1" s="2"/>
      <c r="D1" s="2"/>
      <c r="E1" s="2"/>
      <c r="F1" s="2"/>
    </row>
    <row r="2" customFormat="false" ht="15" hidden="false" customHeight="false" outlineLevel="0" collapsed="false">
      <c r="A2" s="11" t="s">
        <v>385</v>
      </c>
    </row>
    <row r="4" customFormat="false" ht="15" hidden="false" customHeight="false" outlineLevel="0" collapsed="false">
      <c r="A4" s="4" t="s">
        <v>386</v>
      </c>
    </row>
    <row r="5" customFormat="false" ht="15" hidden="false" customHeight="false" outlineLevel="0" collapsed="false">
      <c r="A5" s="7" t="s">
        <v>29</v>
      </c>
      <c r="B5" s="7" t="s">
        <v>387</v>
      </c>
      <c r="C5" s="7" t="s">
        <v>388</v>
      </c>
      <c r="D5" s="7" t="s">
        <v>389</v>
      </c>
      <c r="E5" s="7" t="s">
        <v>390</v>
      </c>
    </row>
    <row r="6" customFormat="false" ht="30" hidden="false" customHeight="true" outlineLevel="0" collapsed="false">
      <c r="A6" s="8" t="s">
        <v>391</v>
      </c>
      <c r="B6" s="8" t="s">
        <v>392</v>
      </c>
      <c r="C6" s="17" t="n">
        <v>28</v>
      </c>
      <c r="D6" s="31" t="n">
        <f aca="false">C6/$C$10</f>
        <v>0.271844660194175</v>
      </c>
      <c r="E6" s="9" t="s">
        <v>393</v>
      </c>
      <c r="F6" s="3" t="s">
        <v>394</v>
      </c>
    </row>
    <row r="7" customFormat="false" ht="23.85" hidden="false" customHeight="false" outlineLevel="0" collapsed="false">
      <c r="A7" s="8" t="s">
        <v>395</v>
      </c>
      <c r="B7" s="8" t="s">
        <v>396</v>
      </c>
      <c r="C7" s="17" t="n">
        <v>9</v>
      </c>
      <c r="D7" s="31" t="n">
        <f aca="false">C7/$C$10</f>
        <v>0.087378640776699</v>
      </c>
      <c r="E7" s="9" t="s">
        <v>397</v>
      </c>
      <c r="F7" s="3"/>
    </row>
    <row r="8" customFormat="false" ht="23.85" hidden="false" customHeight="false" outlineLevel="0" collapsed="false">
      <c r="A8" s="8" t="s">
        <v>398</v>
      </c>
      <c r="B8" s="8" t="s">
        <v>399</v>
      </c>
      <c r="C8" s="17" t="n">
        <v>40</v>
      </c>
      <c r="D8" s="31" t="n">
        <f aca="false">C8/$C$10</f>
        <v>0.388349514563107</v>
      </c>
      <c r="E8" s="9" t="s">
        <v>400</v>
      </c>
      <c r="F8" s="3"/>
    </row>
    <row r="9" customFormat="false" ht="23.85" hidden="false" customHeight="false" outlineLevel="0" collapsed="false">
      <c r="A9" s="8" t="s">
        <v>401</v>
      </c>
      <c r="B9" s="8" t="s">
        <v>402</v>
      </c>
      <c r="C9" s="17" t="n">
        <v>26</v>
      </c>
      <c r="D9" s="31" t="n">
        <f aca="false">C9/$C$10</f>
        <v>0.252427184466019</v>
      </c>
      <c r="E9" s="9" t="s">
        <v>403</v>
      </c>
    </row>
    <row r="10" customFormat="false" ht="15" hidden="false" customHeight="false" outlineLevel="0" collapsed="false">
      <c r="A10" s="8" t="s">
        <v>404</v>
      </c>
      <c r="B10" s="8"/>
      <c r="C10" s="32" t="n">
        <f aca="false">SUM(C6:C9)</f>
        <v>103</v>
      </c>
      <c r="D10" s="31" t="n">
        <f aca="false">SUM(D6:D9)</f>
        <v>1</v>
      </c>
      <c r="E10" s="9"/>
    </row>
    <row r="12" customFormat="false" ht="15" hidden="false" customHeight="false" outlineLevel="0" collapsed="false">
      <c r="A12" s="4" t="s">
        <v>405</v>
      </c>
    </row>
    <row r="13" customFormat="false" ht="15" hidden="false" customHeight="false" outlineLevel="0" collapsed="false">
      <c r="A13" s="7" t="s">
        <v>406</v>
      </c>
      <c r="B13" s="7" t="s">
        <v>407</v>
      </c>
      <c r="C13" s="7" t="s">
        <v>387</v>
      </c>
      <c r="D13" s="7" t="s">
        <v>408</v>
      </c>
      <c r="E13" s="7" t="s">
        <v>409</v>
      </c>
      <c r="F13" s="7" t="s">
        <v>410</v>
      </c>
    </row>
    <row r="14" customFormat="false" ht="23.85" hidden="false" customHeight="false" outlineLevel="0" collapsed="false">
      <c r="A14" s="9" t="s">
        <v>411</v>
      </c>
      <c r="B14" s="8" t="s">
        <v>412</v>
      </c>
      <c r="C14" s="8" t="s">
        <v>392</v>
      </c>
      <c r="D14" s="8" t="s">
        <v>413</v>
      </c>
      <c r="E14" s="9" t="s">
        <v>414</v>
      </c>
      <c r="F14" s="9" t="s">
        <v>415</v>
      </c>
    </row>
    <row r="15" customFormat="false" ht="23.85" hidden="false" customHeight="false" outlineLevel="0" collapsed="false">
      <c r="A15" s="9" t="s">
        <v>416</v>
      </c>
      <c r="B15" s="8" t="s">
        <v>417</v>
      </c>
      <c r="C15" s="8" t="s">
        <v>392</v>
      </c>
      <c r="D15" s="8" t="n">
        <v>0.5</v>
      </c>
      <c r="E15" s="9" t="s">
        <v>418</v>
      </c>
      <c r="F15" s="9" t="s">
        <v>419</v>
      </c>
    </row>
    <row r="16" customFormat="false" ht="23.85" hidden="false" customHeight="false" outlineLevel="0" collapsed="false">
      <c r="A16" s="9" t="s">
        <v>420</v>
      </c>
      <c r="B16" s="8" t="s">
        <v>421</v>
      </c>
      <c r="C16" s="8" t="s">
        <v>396</v>
      </c>
      <c r="D16" s="8" t="n">
        <v>0.3</v>
      </c>
      <c r="E16" s="9" t="s">
        <v>422</v>
      </c>
      <c r="F16" s="9" t="s">
        <v>423</v>
      </c>
    </row>
    <row r="17" customFormat="false" ht="15" hidden="false" customHeight="false" outlineLevel="0" collapsed="false">
      <c r="A17" s="9" t="s">
        <v>424</v>
      </c>
      <c r="B17" s="8" t="s">
        <v>425</v>
      </c>
      <c r="C17" s="8" t="s">
        <v>392</v>
      </c>
      <c r="D17" s="8" t="n">
        <v>0.3</v>
      </c>
      <c r="E17" s="9" t="s">
        <v>422</v>
      </c>
      <c r="F17" s="9" t="s">
        <v>426</v>
      </c>
    </row>
    <row r="18" customFormat="false" ht="15" hidden="false" customHeight="false" outlineLevel="0" collapsed="false">
      <c r="A18" s="9" t="s">
        <v>427</v>
      </c>
      <c r="B18" s="8" t="s">
        <v>428</v>
      </c>
      <c r="C18" s="8" t="s">
        <v>399</v>
      </c>
      <c r="D18" s="8" t="n">
        <v>0.1</v>
      </c>
      <c r="E18" s="9" t="s">
        <v>429</v>
      </c>
      <c r="F18" s="9" t="s">
        <v>430</v>
      </c>
    </row>
    <row r="19" customFormat="false" ht="15" hidden="false" customHeight="false" outlineLevel="0" collapsed="false">
      <c r="A19" s="9" t="s">
        <v>431</v>
      </c>
      <c r="B19" s="8" t="s">
        <v>432</v>
      </c>
      <c r="C19" s="8" t="s">
        <v>402</v>
      </c>
      <c r="D19" s="8" t="n">
        <v>0</v>
      </c>
      <c r="E19" s="9" t="s">
        <v>433</v>
      </c>
      <c r="F19" s="9" t="s">
        <v>434</v>
      </c>
    </row>
    <row r="20" customFormat="false" ht="30" hidden="false" customHeight="true" outlineLevel="0" collapsed="false">
      <c r="A20" s="3" t="s">
        <v>435</v>
      </c>
      <c r="B20" s="3"/>
      <c r="C20" s="3"/>
      <c r="D20" s="3"/>
      <c r="E20" s="3"/>
      <c r="F20" s="3"/>
    </row>
    <row r="22" customFormat="false" ht="15" hidden="false" customHeight="false" outlineLevel="0" collapsed="false">
      <c r="A22" s="4" t="s">
        <v>436</v>
      </c>
    </row>
    <row r="23" customFormat="false" ht="15" hidden="false" customHeight="false" outlineLevel="0" collapsed="false">
      <c r="A23" s="13" t="s">
        <v>437</v>
      </c>
      <c r="C23" s="30" t="n">
        <v>3</v>
      </c>
    </row>
    <row r="25" customFormat="false" ht="15" hidden="false" customHeight="false" outlineLevel="0" collapsed="false">
      <c r="A25" s="7" t="s">
        <v>438</v>
      </c>
      <c r="B25" s="7" t="s">
        <v>439</v>
      </c>
      <c r="C25" s="7" t="s">
        <v>440</v>
      </c>
      <c r="D25" s="7" t="s">
        <v>441</v>
      </c>
      <c r="E25" s="7" t="s">
        <v>442</v>
      </c>
      <c r="F25" s="7" t="s">
        <v>443</v>
      </c>
    </row>
    <row r="26" customFormat="false" ht="15" hidden="false" customHeight="false" outlineLevel="0" collapsed="false">
      <c r="A26" s="8" t="s">
        <v>444</v>
      </c>
      <c r="B26" s="30" t="n">
        <v>4</v>
      </c>
      <c r="C26" s="30" t="n">
        <v>3</v>
      </c>
      <c r="D26" s="8" t="str">
        <f aca="false">IF(B26&gt;$C$23,IF(C26&gt;$C$23,"Major project","Quick win"),IF(C26&gt;$C$23,"Thankless task","Fill-in"))</f>
        <v>Quick win</v>
      </c>
      <c r="E26" s="9" t="s">
        <v>445</v>
      </c>
      <c r="F26" s="9" t="s">
        <v>446</v>
      </c>
    </row>
    <row r="27" customFormat="false" ht="15" hidden="false" customHeight="false" outlineLevel="0" collapsed="false">
      <c r="A27" s="8" t="s">
        <v>447</v>
      </c>
      <c r="B27" s="30" t="n">
        <v>5</v>
      </c>
      <c r="C27" s="30" t="n">
        <v>3</v>
      </c>
      <c r="D27" s="8" t="str">
        <f aca="false">IF(B27&gt;$C$23,IF(C27&gt;$C$23,"Major project","Quick win"),IF(C27&gt;$C$23,"Thankless task","Fill-in"))</f>
        <v>Quick win</v>
      </c>
      <c r="E27" s="9" t="s">
        <v>448</v>
      </c>
      <c r="F27" s="9" t="s">
        <v>449</v>
      </c>
    </row>
    <row r="28" customFormat="false" ht="23.85" hidden="false" customHeight="false" outlineLevel="0" collapsed="false">
      <c r="A28" s="8" t="s">
        <v>450</v>
      </c>
      <c r="B28" s="30" t="n">
        <v>4</v>
      </c>
      <c r="C28" s="30" t="n">
        <v>4</v>
      </c>
      <c r="D28" s="8" t="str">
        <f aca="false">IF(B28&gt;$C$23,IF(C28&gt;$C$23,"Major project","Quick win"),IF(C28&gt;$C$23,"Thankless task","Fill-in"))</f>
        <v>Major project</v>
      </c>
      <c r="E28" s="9" t="s">
        <v>451</v>
      </c>
      <c r="F28" s="9" t="s">
        <v>452</v>
      </c>
    </row>
    <row r="29" customFormat="false" ht="15" hidden="false" customHeight="false" outlineLevel="0" collapsed="false">
      <c r="A29" s="8" t="s">
        <v>453</v>
      </c>
      <c r="B29" s="30" t="n">
        <v>2</v>
      </c>
      <c r="C29" s="30" t="n">
        <v>1</v>
      </c>
      <c r="D29" s="8" t="str">
        <f aca="false">IF(B29&gt;$C$23,IF(C29&gt;$C$23,"Major project","Quick win"),IF(C29&gt;$C$23,"Thankless task","Fill-in"))</f>
        <v>Fill-in</v>
      </c>
      <c r="E29" s="9" t="s">
        <v>454</v>
      </c>
      <c r="F29" s="9" t="s">
        <v>455</v>
      </c>
    </row>
    <row r="30" customFormat="false" ht="35.05" hidden="false" customHeight="false" outlineLevel="0" collapsed="false">
      <c r="A30" s="8" t="s">
        <v>456</v>
      </c>
      <c r="B30" s="30" t="n">
        <v>4</v>
      </c>
      <c r="C30" s="30" t="n">
        <v>5</v>
      </c>
      <c r="D30" s="8" t="str">
        <f aca="false">IF(B30&gt;$C$23,IF(C30&gt;$C$23,"Major project","Quick win"),IF(C30&gt;$C$23,"Thankless task","Fill-in"))</f>
        <v>Major project</v>
      </c>
      <c r="E30" s="9" t="s">
        <v>457</v>
      </c>
      <c r="F30" s="9" t="s">
        <v>458</v>
      </c>
    </row>
    <row r="32" customFormat="false" ht="15" hidden="false" customHeight="false" outlineLevel="0" collapsed="false">
      <c r="A32" s="4" t="s">
        <v>459</v>
      </c>
    </row>
    <row r="33" customFormat="false" ht="15" hidden="false" customHeight="false" outlineLevel="0" collapsed="false">
      <c r="A33" s="7" t="s">
        <v>460</v>
      </c>
      <c r="B33" s="7" t="s">
        <v>461</v>
      </c>
      <c r="C33" s="7" t="s">
        <v>462</v>
      </c>
      <c r="D33" s="7"/>
      <c r="E33" s="7" t="s">
        <v>463</v>
      </c>
      <c r="F33" s="7" t="s">
        <v>464</v>
      </c>
    </row>
    <row r="34" customFormat="false" ht="23.85" hidden="false" customHeight="false" outlineLevel="0" collapsed="false">
      <c r="A34" s="9" t="s">
        <v>465</v>
      </c>
      <c r="B34" s="9" t="s">
        <v>466</v>
      </c>
      <c r="C34" s="9" t="s">
        <v>467</v>
      </c>
      <c r="D34" s="8"/>
      <c r="E34" s="9" t="s">
        <v>468</v>
      </c>
      <c r="F34" s="9" t="s">
        <v>469</v>
      </c>
    </row>
    <row r="35" customFormat="false" ht="23.85" hidden="false" customHeight="false" outlineLevel="0" collapsed="false">
      <c r="A35" s="9" t="s">
        <v>470</v>
      </c>
      <c r="B35" s="9" t="s">
        <v>471</v>
      </c>
      <c r="C35" s="9" t="s">
        <v>472</v>
      </c>
      <c r="D35" s="8"/>
      <c r="E35" s="9" t="s">
        <v>473</v>
      </c>
      <c r="F35" s="9" t="s">
        <v>474</v>
      </c>
    </row>
    <row r="36" customFormat="false" ht="23.85" hidden="false" customHeight="false" outlineLevel="0" collapsed="false">
      <c r="A36" s="9" t="s">
        <v>475</v>
      </c>
      <c r="B36" s="9" t="s">
        <v>476</v>
      </c>
      <c r="C36" s="9" t="s">
        <v>477</v>
      </c>
      <c r="D36" s="8"/>
      <c r="E36" s="9" t="s">
        <v>478</v>
      </c>
      <c r="F36" s="9" t="s">
        <v>479</v>
      </c>
    </row>
  </sheetData>
  <mergeCells count="2">
    <mergeCell ref="F6:F8"/>
    <mergeCell ref="A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2" min="2" style="0" width="14"/>
  </cols>
  <sheetData>
    <row r="1" customFormat="false" ht="17.35" hidden="false" customHeight="false" outlineLevel="0" collapsed="false">
      <c r="A1" s="1" t="s">
        <v>480</v>
      </c>
      <c r="B1" s="2"/>
      <c r="C1" s="2"/>
      <c r="D1" s="2"/>
      <c r="E1" s="2"/>
      <c r="F1" s="2"/>
      <c r="G1" s="2"/>
      <c r="H1" s="2"/>
      <c r="I1" s="2"/>
      <c r="J1" s="2"/>
      <c r="K1" s="2"/>
      <c r="L1" s="2"/>
    </row>
    <row r="2" customFormat="false" ht="15" hidden="false" customHeight="false" outlineLevel="0" collapsed="false">
      <c r="A2" s="11" t="s">
        <v>481</v>
      </c>
    </row>
    <row r="3" customFormat="false" ht="15" hidden="false" customHeight="false" outlineLevel="0" collapsed="false">
      <c r="A3" s="13" t="s">
        <v>482</v>
      </c>
      <c r="E3" s="33" t="n">
        <f aca="false">Inputs!$B$6/(Inputs!$B$41+Inputs!$B$47+Inputs!$B$50+Inputs!$B$53+Inputs!$B$56+Inputs!$B$59+Inputs!$B$62)</f>
        <v>0.93968253968254</v>
      </c>
    </row>
    <row r="5" customFormat="false" ht="30" hidden="false" customHeight="true" outlineLevel="0" collapsed="false">
      <c r="A5" s="7" t="s">
        <v>483</v>
      </c>
      <c r="B5" s="7" t="s">
        <v>484</v>
      </c>
      <c r="C5" s="7" t="s">
        <v>485</v>
      </c>
      <c r="D5" s="7" t="s">
        <v>486</v>
      </c>
      <c r="E5" s="7" t="s">
        <v>487</v>
      </c>
      <c r="F5" s="7" t="s">
        <v>488</v>
      </c>
    </row>
    <row r="6" customFormat="false" ht="15" hidden="false" customHeight="false" outlineLevel="0" collapsed="false">
      <c r="A6" s="8" t="s">
        <v>489</v>
      </c>
      <c r="B6" s="34" t="n">
        <f aca="false">Inputs!$B$41*(1-Inputs!$B$44)*$E$3</f>
        <v>568.507936507937</v>
      </c>
      <c r="C6" s="34" t="n">
        <f aca="false">ROUND((Inputs!$B$42-TIMEVALUE(Inputs!$B$7))*1440,0)</f>
        <v>30</v>
      </c>
      <c r="D6" s="34" t="n">
        <f aca="false">ROUND((Inputs!$B$43-TIMEVALUE(Inputs!$B$7))*1440,0)</f>
        <v>90</v>
      </c>
      <c r="E6" s="34" t="n">
        <f aca="false">C6+Inputs!$B$38</f>
        <v>50</v>
      </c>
      <c r="F6" s="33" t="n">
        <f aca="false">NORMDIST(D6,E6,Inputs!$B$39,TRUE())-NORMDIST(C6,E6,Inputs!$B$39,TRUE())</f>
        <v>0.818594614120364</v>
      </c>
    </row>
    <row r="7" customFormat="false" ht="15" hidden="false" customHeight="false" outlineLevel="0" collapsed="false">
      <c r="A7" s="8" t="s">
        <v>490</v>
      </c>
      <c r="B7" s="34" t="n">
        <f aca="false">Inputs!$B$41*Inputs!$B$44*$E$3</f>
        <v>465.142857142857</v>
      </c>
      <c r="C7" s="34" t="n">
        <f aca="false">ROUND((Inputs!$B$45-TIMEVALUE(Inputs!$B$7))*1440,0)</f>
        <v>90</v>
      </c>
      <c r="D7" s="34" t="n">
        <f aca="false">ROUND((Inputs!$B$46-TIMEVALUE(Inputs!$B$7))*1440,0)</f>
        <v>150</v>
      </c>
      <c r="E7" s="34" t="n">
        <f aca="false">C7+Inputs!$B$38</f>
        <v>110</v>
      </c>
      <c r="F7" s="33" t="n">
        <f aca="false">NORMDIST(D7,E7,Inputs!$B$39,TRUE())-NORMDIST(C7,E7,Inputs!$B$39,TRUE())</f>
        <v>0.818594614120364</v>
      </c>
    </row>
    <row r="8" customFormat="false" ht="15" hidden="false" customHeight="false" outlineLevel="0" collapsed="false">
      <c r="A8" s="8" t="s">
        <v>491</v>
      </c>
      <c r="B8" s="34" t="n">
        <f aca="false">Inputs!$B$47*$E$3</f>
        <v>798.730158730159</v>
      </c>
      <c r="C8" s="34" t="n">
        <f aca="false">ROUND((Inputs!$B$48-TIMEVALUE(Inputs!$B$7))*1440,0)</f>
        <v>95</v>
      </c>
      <c r="D8" s="34" t="n">
        <f aca="false">ROUND((Inputs!$B$49-TIMEVALUE(Inputs!$B$7))*1440,0)</f>
        <v>150</v>
      </c>
      <c r="E8" s="34" t="n">
        <f aca="false">C8+Inputs!$B$38</f>
        <v>115</v>
      </c>
      <c r="F8" s="33" t="n">
        <f aca="false">NORMDIST(D8,E8,Inputs!$B$39,TRUE())-NORMDIST(C8,E8,Inputs!$B$39,TRUE())</f>
        <v>0.801285589204726</v>
      </c>
    </row>
    <row r="9" customFormat="false" ht="15" hidden="false" customHeight="false" outlineLevel="0" collapsed="false">
      <c r="A9" s="8" t="s">
        <v>492</v>
      </c>
      <c r="B9" s="34" t="n">
        <f aca="false">Inputs!$B$50*$E$3</f>
        <v>516.825396825397</v>
      </c>
      <c r="C9" s="34" t="n">
        <f aca="false">ROUND((Inputs!$B$51-TIMEVALUE(Inputs!$B$7))*1440,0)</f>
        <v>60</v>
      </c>
      <c r="D9" s="34" t="n">
        <f aca="false">ROUND((Inputs!$B$52-TIMEVALUE(Inputs!$B$7))*1440,0)</f>
        <v>120</v>
      </c>
      <c r="E9" s="34" t="n">
        <f aca="false">C9+Inputs!$B$38</f>
        <v>80</v>
      </c>
      <c r="F9" s="33" t="n">
        <f aca="false">NORMDIST(D9,E9,Inputs!$B$39,TRUE())-NORMDIST(C9,E9,Inputs!$B$39,TRUE())</f>
        <v>0.818594614120364</v>
      </c>
    </row>
    <row r="10" customFormat="false" ht="15" hidden="false" customHeight="false" outlineLevel="0" collapsed="false">
      <c r="A10" s="8" t="s">
        <v>493</v>
      </c>
      <c r="B10" s="34" t="n">
        <f aca="false">Inputs!$B$53*$E$3</f>
        <v>422.857142857143</v>
      </c>
      <c r="C10" s="34" t="n">
        <f aca="false">ROUND((Inputs!$B$54-TIMEVALUE(Inputs!$B$7))*1440,0)</f>
        <v>30</v>
      </c>
      <c r="D10" s="34" t="n">
        <f aca="false">ROUND((Inputs!$B$55-TIMEVALUE(Inputs!$B$7))*1440,0)</f>
        <v>90</v>
      </c>
      <c r="E10" s="34" t="n">
        <f aca="false">C10+Inputs!$B$38</f>
        <v>50</v>
      </c>
      <c r="F10" s="33" t="n">
        <f aca="false">NORMDIST(D10,E10,Inputs!$B$39,TRUE())-NORMDIST(C10,E10,Inputs!$B$39,TRUE())</f>
        <v>0.818594614120364</v>
      </c>
    </row>
    <row r="11" customFormat="false" ht="15" hidden="false" customHeight="false" outlineLevel="0" collapsed="false">
      <c r="A11" s="8" t="s">
        <v>494</v>
      </c>
      <c r="B11" s="34" t="n">
        <f aca="false">Inputs!$B$56*$E$3</f>
        <v>93.968253968254</v>
      </c>
      <c r="C11" s="34" t="n">
        <f aca="false">ROUND((Inputs!$B$57-TIMEVALUE(Inputs!$B$7))*1440,0)</f>
        <v>70</v>
      </c>
      <c r="D11" s="34" t="n">
        <f aca="false">ROUND((Inputs!$B$58-TIMEVALUE(Inputs!$B$7))*1440,0)</f>
        <v>130</v>
      </c>
      <c r="E11" s="34" t="n">
        <f aca="false">C11+Inputs!$B$38</f>
        <v>90</v>
      </c>
      <c r="F11" s="33" t="n">
        <f aca="false">NORMDIST(D11,E11,Inputs!$B$39,TRUE())-NORMDIST(C11,E11,Inputs!$B$39,TRUE())</f>
        <v>0.818594614120364</v>
      </c>
    </row>
    <row r="12" customFormat="false" ht="15" hidden="false" customHeight="false" outlineLevel="0" collapsed="false">
      <c r="A12" s="8" t="s">
        <v>495</v>
      </c>
      <c r="B12" s="34" t="n">
        <f aca="false">Inputs!$B$59*$E$3</f>
        <v>46.984126984127</v>
      </c>
      <c r="C12" s="34" t="n">
        <f aca="false">ROUND((Inputs!$B$60-TIMEVALUE(Inputs!$B$7))*1440,0)</f>
        <v>80</v>
      </c>
      <c r="D12" s="34" t="n">
        <f aca="false">ROUND((Inputs!$B$61-TIMEVALUE(Inputs!$B$7))*1440,0)</f>
        <v>140</v>
      </c>
      <c r="E12" s="34" t="n">
        <f aca="false">C12+Inputs!$B$38</f>
        <v>100</v>
      </c>
      <c r="F12" s="33" t="n">
        <f aca="false">NORMDIST(D12,E12,Inputs!$B$39,TRUE())-NORMDIST(C12,E12,Inputs!$B$39,TRUE())</f>
        <v>0.818594614120364</v>
      </c>
    </row>
    <row r="13" customFormat="false" ht="15" hidden="false" customHeight="false" outlineLevel="0" collapsed="false">
      <c r="A13" s="8" t="s">
        <v>496</v>
      </c>
      <c r="B13" s="34" t="n">
        <f aca="false">Inputs!$B$62*$E$3</f>
        <v>46.984126984127</v>
      </c>
      <c r="C13" s="34" t="n">
        <f aca="false">ROUND((Inputs!$B$63-TIMEVALUE(Inputs!$B$7))*1440,0)</f>
        <v>60</v>
      </c>
      <c r="D13" s="34" t="n">
        <f aca="false">ROUND((Inputs!$B$64-TIMEVALUE(Inputs!$B$7))*1440,0)</f>
        <v>120</v>
      </c>
      <c r="E13" s="34" t="n">
        <f aca="false">C13+Inputs!$B$38</f>
        <v>80</v>
      </c>
      <c r="F13" s="33" t="n">
        <f aca="false">NORMDIST(D13,E13,Inputs!$B$39,TRUE())-NORMDIST(C13,E13,Inputs!$B$39,TRUE())</f>
        <v>0.818594614120364</v>
      </c>
    </row>
    <row r="14" customFormat="false" ht="15" hidden="false" customHeight="false" outlineLevel="0" collapsed="false">
      <c r="A14" s="13" t="s">
        <v>404</v>
      </c>
      <c r="B14" s="35" t="n">
        <f aca="false">SUM(B6:B13)</f>
        <v>2960</v>
      </c>
    </row>
    <row r="15" customFormat="false" ht="43.5" hidden="false" customHeight="true" outlineLevel="0" collapsed="false">
      <c r="A15" s="3" t="s">
        <v>497</v>
      </c>
      <c r="B15" s="3"/>
      <c r="C15" s="3"/>
      <c r="D15" s="3"/>
      <c r="E15" s="3"/>
      <c r="F15" s="3"/>
      <c r="G15" s="3"/>
      <c r="H15" s="3"/>
      <c r="I15" s="3"/>
      <c r="J15" s="3"/>
      <c r="K15" s="3"/>
      <c r="L15" s="3"/>
    </row>
    <row r="17" customFormat="false" ht="15" hidden="false" customHeight="false" outlineLevel="0" collapsed="false">
      <c r="A17" s="4" t="s">
        <v>498</v>
      </c>
    </row>
    <row r="18" customFormat="false" ht="30" hidden="false" customHeight="true" outlineLevel="0" collapsed="false">
      <c r="A18" s="7" t="s">
        <v>499</v>
      </c>
      <c r="B18" s="7" t="s">
        <v>500</v>
      </c>
      <c r="C18" s="7" t="s">
        <v>489</v>
      </c>
      <c r="D18" s="7" t="s">
        <v>490</v>
      </c>
      <c r="E18" s="7" t="s">
        <v>491</v>
      </c>
      <c r="F18" s="7" t="s">
        <v>492</v>
      </c>
      <c r="G18" s="7" t="s">
        <v>493</v>
      </c>
      <c r="H18" s="7" t="s">
        <v>494</v>
      </c>
      <c r="I18" s="7" t="s">
        <v>495</v>
      </c>
      <c r="J18" s="7" t="s">
        <v>496</v>
      </c>
      <c r="K18" s="7" t="s">
        <v>404</v>
      </c>
      <c r="L18" s="7" t="s">
        <v>389</v>
      </c>
    </row>
    <row r="19" customFormat="false" ht="15" hidden="false" customHeight="false" outlineLevel="0" collapsed="false">
      <c r="A19" s="13" t="s">
        <v>92</v>
      </c>
      <c r="B19" s="36" t="n">
        <v>0</v>
      </c>
      <c r="C19" s="34" t="n">
        <f aca="false">$B$6*(NORMDIST(MIN($D$6,MAX($C$6,$B19+10)),$E$6,Inputs!$B$39,TRUE())-NORMDIST(MIN($D$6,MAX($C$6,$B19)),$E$6,Inputs!$B$39,TRUE()))/$F$6</f>
        <v>0</v>
      </c>
      <c r="D19" s="34" t="n">
        <f aca="false">$B$7*(NORMDIST(MIN($D$7,MAX($C$7,$B19+10)),$E$7,Inputs!$B$39,TRUE())-NORMDIST(MIN($D$7,MAX($C$7,$B19)),$E$7,Inputs!$B$39,TRUE()))/$F$7</f>
        <v>0</v>
      </c>
      <c r="E19" s="34" t="n">
        <f aca="false">$B$8*(NORMDIST(MIN($D$8,MAX($C$8,$B19+10)),$E$8,Inputs!$B$39,TRUE())-NORMDIST(MIN($D$8,MAX($C$8,$B19)),$E$8,Inputs!$B$39,TRUE()))/$F$8</f>
        <v>0</v>
      </c>
      <c r="F19" s="34" t="n">
        <f aca="false">$B$9*(NORMDIST(MIN($D$9,MAX($C$9,$B19+10)),$E$9,Inputs!$B$39,TRUE())-NORMDIST(MIN($D$9,MAX($C$9,$B19)),$E$9,Inputs!$B$39,TRUE()))/$F$9</f>
        <v>0</v>
      </c>
      <c r="G19" s="34" t="n">
        <f aca="false">$B$10*(NORMDIST(MIN($D$10,MAX($C$10,$B19+10)),$E$10,Inputs!$B$39,TRUE())-NORMDIST(MIN($D$10,MAX($C$10,$B19)),$E$10,Inputs!$B$39,TRUE()))/$F$10</f>
        <v>0</v>
      </c>
      <c r="H19" s="34" t="n">
        <f aca="false">$B$11*(NORMDIST(MIN($D$11,MAX($C$11,$B19+10)),$E$11,Inputs!$B$39,TRUE())-NORMDIST(MIN($D$11,MAX($C$11,$B19)),$E$11,Inputs!$B$39,TRUE()))/$F$11</f>
        <v>0</v>
      </c>
      <c r="I19" s="34" t="n">
        <f aca="false">$B$12*(NORMDIST(MIN($D$12,MAX($C$12,$B19+10)),$E$12,Inputs!$B$39,TRUE())-NORMDIST(MIN($D$12,MAX($C$12,$B19)),$E$12,Inputs!$B$39,TRUE()))/$F$12</f>
        <v>0</v>
      </c>
      <c r="J19" s="34" t="n">
        <f aca="false">$B$13*(NORMDIST(MIN($D$13,MAX($C$13,$B19+10)),$E$13,Inputs!$B$39,TRUE())-NORMDIST(MIN($D$13,MAX($C$13,$B19)),$E$13,Inputs!$B$39,TRUE()))/$F$13</f>
        <v>0</v>
      </c>
      <c r="K19" s="37" t="n">
        <f aca="false">SUM(C19:J19)</f>
        <v>0</v>
      </c>
      <c r="L19" s="38" t="n">
        <f aca="false">K19/SUM($K$19:$K$36)</f>
        <v>0</v>
      </c>
    </row>
    <row r="20" customFormat="false" ht="15" hidden="false" customHeight="false" outlineLevel="0" collapsed="false">
      <c r="A20" s="13" t="s">
        <v>501</v>
      </c>
      <c r="B20" s="36" t="n">
        <v>10</v>
      </c>
      <c r="C20" s="34" t="n">
        <f aca="false">$B$6*(NORMDIST(MIN($D$6,MAX($C$6,$B20+10)),$E$6,Inputs!$B$39,TRUE())-NORMDIST(MIN($D$6,MAX($C$6,$B20)),$E$6,Inputs!$B$39,TRUE()))/$F$6</f>
        <v>0</v>
      </c>
      <c r="D20" s="34" t="n">
        <f aca="false">$B$7*(NORMDIST(MIN($D$7,MAX($C$7,$B20+10)),$E$7,Inputs!$B$39,TRUE())-NORMDIST(MIN($D$7,MAX($C$7,$B20)),$E$7,Inputs!$B$39,TRUE()))/$F$7</f>
        <v>0</v>
      </c>
      <c r="E20" s="34" t="n">
        <f aca="false">$B$8*(NORMDIST(MIN($D$8,MAX($C$8,$B20+10)),$E$8,Inputs!$B$39,TRUE())-NORMDIST(MIN($D$8,MAX($C$8,$B20)),$E$8,Inputs!$B$39,TRUE()))/$F$8</f>
        <v>0</v>
      </c>
      <c r="F20" s="34" t="n">
        <f aca="false">$B$9*(NORMDIST(MIN($D$9,MAX($C$9,$B20+10)),$E$9,Inputs!$B$39,TRUE())-NORMDIST(MIN($D$9,MAX($C$9,$B20)),$E$9,Inputs!$B$39,TRUE()))/$F$9</f>
        <v>0</v>
      </c>
      <c r="G20" s="34" t="n">
        <f aca="false">$B$10*(NORMDIST(MIN($D$10,MAX($C$10,$B20+10)),$E$10,Inputs!$B$39,TRUE())-NORMDIST(MIN($D$10,MAX($C$10,$B20)),$E$10,Inputs!$B$39,TRUE()))/$F$10</f>
        <v>0</v>
      </c>
      <c r="H20" s="34" t="n">
        <f aca="false">$B$11*(NORMDIST(MIN($D$11,MAX($C$11,$B20+10)),$E$11,Inputs!$B$39,TRUE())-NORMDIST(MIN($D$11,MAX($C$11,$B20)),$E$11,Inputs!$B$39,TRUE()))/$F$11</f>
        <v>0</v>
      </c>
      <c r="I20" s="34" t="n">
        <f aca="false">$B$12*(NORMDIST(MIN($D$12,MAX($C$12,$B20+10)),$E$12,Inputs!$B$39,TRUE())-NORMDIST(MIN($D$12,MAX($C$12,$B20)),$E$12,Inputs!$B$39,TRUE()))/$F$12</f>
        <v>0</v>
      </c>
      <c r="J20" s="34" t="n">
        <f aca="false">$B$13*(NORMDIST(MIN($D$13,MAX($C$13,$B20+10)),$E$13,Inputs!$B$39,TRUE())-NORMDIST(MIN($D$13,MAX($C$13,$B20)),$E$13,Inputs!$B$39,TRUE()))/$F$13</f>
        <v>0</v>
      </c>
      <c r="K20" s="37" t="n">
        <f aca="false">SUM(C20:J20)</f>
        <v>0</v>
      </c>
      <c r="L20" s="38" t="n">
        <f aca="false">K20/SUM($K$19:$K$36)</f>
        <v>0</v>
      </c>
    </row>
    <row r="21" customFormat="false" ht="15" hidden="false" customHeight="false" outlineLevel="0" collapsed="false">
      <c r="A21" s="13" t="s">
        <v>502</v>
      </c>
      <c r="B21" s="36" t="n">
        <v>20</v>
      </c>
      <c r="C21" s="34" t="n">
        <f aca="false">$B$6*(NORMDIST(MIN($D$6,MAX($C$6,$B21+10)),$E$6,Inputs!$B$39,TRUE())-NORMDIST(MIN($D$6,MAX($C$6,$B21)),$E$6,Inputs!$B$39,TRUE()))/$F$6</f>
        <v>0</v>
      </c>
      <c r="D21" s="34" t="n">
        <f aca="false">$B$7*(NORMDIST(MIN($D$7,MAX($C$7,$B21+10)),$E$7,Inputs!$B$39,TRUE())-NORMDIST(MIN($D$7,MAX($C$7,$B21)),$E$7,Inputs!$B$39,TRUE()))/$F$7</f>
        <v>0</v>
      </c>
      <c r="E21" s="34" t="n">
        <f aca="false">$B$8*(NORMDIST(MIN($D$8,MAX($C$8,$B21+10)),$E$8,Inputs!$B$39,TRUE())-NORMDIST(MIN($D$8,MAX($C$8,$B21)),$E$8,Inputs!$B$39,TRUE()))/$F$8</f>
        <v>0</v>
      </c>
      <c r="F21" s="34" t="n">
        <f aca="false">$B$9*(NORMDIST(MIN($D$9,MAX($C$9,$B21+10)),$E$9,Inputs!$B$39,TRUE())-NORMDIST(MIN($D$9,MAX($C$9,$B21)),$E$9,Inputs!$B$39,TRUE()))/$F$9</f>
        <v>0</v>
      </c>
      <c r="G21" s="34" t="n">
        <f aca="false">$B$10*(NORMDIST(MIN($D$10,MAX($C$10,$B21+10)),$E$10,Inputs!$B$39,TRUE())-NORMDIST(MIN($D$10,MAX($C$10,$B21)),$E$10,Inputs!$B$39,TRUE()))/$F$10</f>
        <v>0</v>
      </c>
      <c r="H21" s="34" t="n">
        <f aca="false">$B$11*(NORMDIST(MIN($D$11,MAX($C$11,$B21+10)),$E$11,Inputs!$B$39,TRUE())-NORMDIST(MIN($D$11,MAX($C$11,$B21)),$E$11,Inputs!$B$39,TRUE()))/$F$11</f>
        <v>0</v>
      </c>
      <c r="I21" s="34" t="n">
        <f aca="false">$B$12*(NORMDIST(MIN($D$12,MAX($C$12,$B21+10)),$E$12,Inputs!$B$39,TRUE())-NORMDIST(MIN($D$12,MAX($C$12,$B21)),$E$12,Inputs!$B$39,TRUE()))/$F$12</f>
        <v>0</v>
      </c>
      <c r="J21" s="34" t="n">
        <f aca="false">$B$13*(NORMDIST(MIN($D$13,MAX($C$13,$B21+10)),$E$13,Inputs!$B$39,TRUE())-NORMDIST(MIN($D$13,MAX($C$13,$B21)),$E$13,Inputs!$B$39,TRUE()))/$F$13</f>
        <v>0</v>
      </c>
      <c r="K21" s="37" t="n">
        <f aca="false">SUM(C21:J21)</f>
        <v>0</v>
      </c>
      <c r="L21" s="38" t="n">
        <f aca="false">K21/SUM($K$19:$K$36)</f>
        <v>0</v>
      </c>
    </row>
    <row r="22" customFormat="false" ht="15" hidden="false" customHeight="false" outlineLevel="0" collapsed="false">
      <c r="A22" s="13" t="s">
        <v>503</v>
      </c>
      <c r="B22" s="36" t="n">
        <v>30</v>
      </c>
      <c r="C22" s="34" t="n">
        <f aca="false">$B$6*(NORMDIST(MIN($D$6,MAX($C$6,$B22+10)),$E$6,Inputs!$B$39,TRUE())-NORMDIST(MIN($D$6,MAX($C$6,$B22)),$E$6,Inputs!$B$39,TRUE()))/$F$6</f>
        <v>104.092143996325</v>
      </c>
      <c r="D22" s="34" t="n">
        <f aca="false">$B$7*(NORMDIST(MIN($D$7,MAX($C$7,$B22+10)),$E$7,Inputs!$B$39,TRUE())-NORMDIST(MIN($D$7,MAX($C$7,$B22)),$E$7,Inputs!$B$39,TRUE()))/$F$7</f>
        <v>0</v>
      </c>
      <c r="E22" s="34" t="n">
        <f aca="false">$B$8*(NORMDIST(MIN($D$8,MAX($C$8,$B22+10)),$E$8,Inputs!$B$39,TRUE())-NORMDIST(MIN($D$8,MAX($C$8,$B22)),$E$8,Inputs!$B$39,TRUE()))/$F$8</f>
        <v>0</v>
      </c>
      <c r="F22" s="34" t="n">
        <f aca="false">$B$9*(NORMDIST(MIN($D$9,MAX($C$9,$B22+10)),$E$9,Inputs!$B$39,TRUE())-NORMDIST(MIN($D$9,MAX($C$9,$B22)),$E$9,Inputs!$B$39,TRUE()))/$F$9</f>
        <v>0</v>
      </c>
      <c r="G22" s="34" t="n">
        <f aca="false">$B$10*(NORMDIST(MIN($D$10,MAX($C$10,$B22+10)),$E$10,Inputs!$B$39,TRUE())-NORMDIST(MIN($D$10,MAX($C$10,$B22)),$E$10,Inputs!$B$39,TRUE()))/$F$10</f>
        <v>77.4239087575972</v>
      </c>
      <c r="H22" s="34" t="n">
        <f aca="false">$B$11*(NORMDIST(MIN($D$11,MAX($C$11,$B22+10)),$E$11,Inputs!$B$39,TRUE())-NORMDIST(MIN($D$11,MAX($C$11,$B22)),$E$11,Inputs!$B$39,TRUE()))/$F$11</f>
        <v>0</v>
      </c>
      <c r="I22" s="34" t="n">
        <f aca="false">$B$12*(NORMDIST(MIN($D$12,MAX($C$12,$B22+10)),$E$12,Inputs!$B$39,TRUE())-NORMDIST(MIN($D$12,MAX($C$12,$B22)),$E$12,Inputs!$B$39,TRUE()))/$F$12</f>
        <v>0</v>
      </c>
      <c r="J22" s="34" t="n">
        <f aca="false">$B$13*(NORMDIST(MIN($D$13,MAX($C$13,$B22+10)),$E$13,Inputs!$B$39,TRUE())-NORMDIST(MIN($D$13,MAX($C$13,$B22)),$E$13,Inputs!$B$39,TRUE()))/$F$13</f>
        <v>0</v>
      </c>
      <c r="K22" s="37" t="n">
        <f aca="false">SUM(C22:J22)</f>
        <v>181.516052753922</v>
      </c>
      <c r="L22" s="38" t="n">
        <f aca="false">K22/SUM($K$19:$K$36)</f>
        <v>0.061322990795244</v>
      </c>
    </row>
    <row r="23" customFormat="false" ht="15" hidden="false" customHeight="false" outlineLevel="0" collapsed="false">
      <c r="A23" s="13" t="s">
        <v>504</v>
      </c>
      <c r="B23" s="36" t="n">
        <v>40</v>
      </c>
      <c r="C23" s="34" t="n">
        <f aca="false">$B$6*(NORMDIST(MIN($D$6,MAX($C$6,$B23+10)),$E$6,Inputs!$B$39,TRUE())-NORMDIST(MIN($D$6,MAX($C$6,$B23)),$E$6,Inputs!$B$39,TRUE()))/$F$6</f>
        <v>132.969270625589</v>
      </c>
      <c r="D23" s="34" t="n">
        <f aca="false">$B$7*(NORMDIST(MIN($D$7,MAX($C$7,$B23+10)),$E$7,Inputs!$B$39,TRUE())-NORMDIST(MIN($D$7,MAX($C$7,$B23)),$E$7,Inputs!$B$39,TRUE()))/$F$7</f>
        <v>0</v>
      </c>
      <c r="E23" s="34" t="n">
        <f aca="false">$B$8*(NORMDIST(MIN($D$8,MAX($C$8,$B23+10)),$E$8,Inputs!$B$39,TRUE())-NORMDIST(MIN($D$8,MAX($C$8,$B23)),$E$8,Inputs!$B$39,TRUE()))/$F$8</f>
        <v>0</v>
      </c>
      <c r="F23" s="34" t="n">
        <f aca="false">$B$9*(NORMDIST(MIN($D$9,MAX($C$9,$B23+10)),$E$9,Inputs!$B$39,TRUE())-NORMDIST(MIN($D$9,MAX($C$9,$B23)),$E$9,Inputs!$B$39,TRUE()))/$F$9</f>
        <v>0</v>
      </c>
      <c r="G23" s="34" t="n">
        <f aca="false">$B$10*(NORMDIST(MIN($D$10,MAX($C$10,$B23+10)),$E$10,Inputs!$B$39,TRUE())-NORMDIST(MIN($D$10,MAX($C$10,$B23)),$E$10,Inputs!$B$39,TRUE()))/$F$10</f>
        <v>98.9027632752312</v>
      </c>
      <c r="H23" s="34" t="n">
        <f aca="false">$B$11*(NORMDIST(MIN($D$11,MAX($C$11,$B23+10)),$E$11,Inputs!$B$39,TRUE())-NORMDIST(MIN($D$11,MAX($C$11,$B23)),$E$11,Inputs!$B$39,TRUE()))/$F$11</f>
        <v>0</v>
      </c>
      <c r="I23" s="34" t="n">
        <f aca="false">$B$12*(NORMDIST(MIN($D$12,MAX($C$12,$B23+10)),$E$12,Inputs!$B$39,TRUE())-NORMDIST(MIN($D$12,MAX($C$12,$B23)),$E$12,Inputs!$B$39,TRUE()))/$F$12</f>
        <v>0</v>
      </c>
      <c r="J23" s="34" t="n">
        <f aca="false">$B$13*(NORMDIST(MIN($D$13,MAX($C$13,$B23+10)),$E$13,Inputs!$B$39,TRUE())-NORMDIST(MIN($D$13,MAX($C$13,$B23)),$E$13,Inputs!$B$39,TRUE()))/$F$13</f>
        <v>0</v>
      </c>
      <c r="K23" s="37" t="n">
        <f aca="false">SUM(C23:J23)</f>
        <v>231.87203390082</v>
      </c>
      <c r="L23" s="38" t="n">
        <f aca="false">K23/SUM($K$19:$K$36)</f>
        <v>0.0783351465881148</v>
      </c>
    </row>
    <row r="24" customFormat="false" ht="15" hidden="false" customHeight="false" outlineLevel="0" collapsed="false">
      <c r="A24" s="13" t="s">
        <v>505</v>
      </c>
      <c r="B24" s="36" t="n">
        <v>50</v>
      </c>
      <c r="C24" s="34" t="n">
        <f aca="false">$B$6*(NORMDIST(MIN($D$6,MAX($C$6,$B24+10)),$E$6,Inputs!$B$39,TRUE())-NORMDIST(MIN($D$6,MAX($C$6,$B24)),$E$6,Inputs!$B$39,TRUE()))/$F$6</f>
        <v>132.969270625589</v>
      </c>
      <c r="D24" s="34" t="n">
        <f aca="false">$B$7*(NORMDIST(MIN($D$7,MAX($C$7,$B24+10)),$E$7,Inputs!$B$39,TRUE())-NORMDIST(MIN($D$7,MAX($C$7,$B24)),$E$7,Inputs!$B$39,TRUE()))/$F$7</f>
        <v>0</v>
      </c>
      <c r="E24" s="34" t="n">
        <f aca="false">$B$8*(NORMDIST(MIN($D$8,MAX($C$8,$B24+10)),$E$8,Inputs!$B$39,TRUE())-NORMDIST(MIN($D$8,MAX($C$8,$B24)),$E$8,Inputs!$B$39,TRUE()))/$F$8</f>
        <v>0</v>
      </c>
      <c r="F24" s="34" t="n">
        <f aca="false">$B$9*(NORMDIST(MIN($D$9,MAX($C$9,$B24+10)),$E$9,Inputs!$B$39,TRUE())-NORMDIST(MIN($D$9,MAX($C$9,$B24)),$E$9,Inputs!$B$39,TRUE()))/$F$9</f>
        <v>0</v>
      </c>
      <c r="G24" s="34" t="n">
        <f aca="false">$B$10*(NORMDIST(MIN($D$10,MAX($C$10,$B24+10)),$E$10,Inputs!$B$39,TRUE())-NORMDIST(MIN($D$10,MAX($C$10,$B24)),$E$10,Inputs!$B$39,TRUE()))/$F$10</f>
        <v>98.9027632752312</v>
      </c>
      <c r="H24" s="34" t="n">
        <f aca="false">$B$11*(NORMDIST(MIN($D$11,MAX($C$11,$B24+10)),$E$11,Inputs!$B$39,TRUE())-NORMDIST(MIN($D$11,MAX($C$11,$B24)),$E$11,Inputs!$B$39,TRUE()))/$F$11</f>
        <v>0</v>
      </c>
      <c r="I24" s="34" t="n">
        <f aca="false">$B$12*(NORMDIST(MIN($D$12,MAX($C$12,$B24+10)),$E$12,Inputs!$B$39,TRUE())-NORMDIST(MIN($D$12,MAX($C$12,$B24)),$E$12,Inputs!$B$39,TRUE()))/$F$12</f>
        <v>0</v>
      </c>
      <c r="J24" s="34" t="n">
        <f aca="false">$B$13*(NORMDIST(MIN($D$13,MAX($C$13,$B24+10)),$E$13,Inputs!$B$39,TRUE())-NORMDIST(MIN($D$13,MAX($C$13,$B24)),$E$13,Inputs!$B$39,TRUE()))/$F$13</f>
        <v>0</v>
      </c>
      <c r="K24" s="37" t="n">
        <f aca="false">SUM(C24:J24)</f>
        <v>231.87203390082</v>
      </c>
      <c r="L24" s="38" t="n">
        <f aca="false">K24/SUM($K$19:$K$36)</f>
        <v>0.0783351465881148</v>
      </c>
    </row>
    <row r="25" customFormat="false" ht="15" hidden="false" customHeight="false" outlineLevel="0" collapsed="false">
      <c r="A25" s="13" t="s">
        <v>506</v>
      </c>
      <c r="B25" s="36" t="n">
        <v>60</v>
      </c>
      <c r="C25" s="34" t="n">
        <f aca="false">$B$6*(NORMDIST(MIN($D$6,MAX($C$6,$B25+10)),$E$6,Inputs!$B$39,TRUE())-NORMDIST(MIN($D$6,MAX($C$6,$B25)),$E$6,Inputs!$B$39,TRUE()))/$F$6</f>
        <v>104.092143996325</v>
      </c>
      <c r="D25" s="34" t="n">
        <f aca="false">$B$7*(NORMDIST(MIN($D$7,MAX($C$7,$B25+10)),$E$7,Inputs!$B$39,TRUE())-NORMDIST(MIN($D$7,MAX($C$7,$B25)),$E$7,Inputs!$B$39,TRUE()))/$F$7</f>
        <v>0</v>
      </c>
      <c r="E25" s="34" t="n">
        <f aca="false">$B$8*(NORMDIST(MIN($D$8,MAX($C$8,$B25+10)),$E$8,Inputs!$B$39,TRUE())-NORMDIST(MIN($D$8,MAX($C$8,$B25)),$E$8,Inputs!$B$39,TRUE()))/$F$8</f>
        <v>0</v>
      </c>
      <c r="F25" s="34" t="n">
        <f aca="false">$B$9*(NORMDIST(MIN($D$9,MAX($C$9,$B25+10)),$E$9,Inputs!$B$39,TRUE())-NORMDIST(MIN($D$9,MAX($C$9,$B25)),$E$9,Inputs!$B$39,TRUE()))/$F$9</f>
        <v>94.629221814841</v>
      </c>
      <c r="G25" s="34" t="n">
        <f aca="false">$B$10*(NORMDIST(MIN($D$10,MAX($C$10,$B25+10)),$E$10,Inputs!$B$39,TRUE())-NORMDIST(MIN($D$10,MAX($C$10,$B25)),$E$10,Inputs!$B$39,TRUE()))/$F$10</f>
        <v>77.4239087575972</v>
      </c>
      <c r="H25" s="34" t="n">
        <f aca="false">$B$11*(NORMDIST(MIN($D$11,MAX($C$11,$B25+10)),$E$11,Inputs!$B$39,TRUE())-NORMDIST(MIN($D$11,MAX($C$11,$B25)),$E$11,Inputs!$B$39,TRUE()))/$F$11</f>
        <v>0</v>
      </c>
      <c r="I25" s="34" t="n">
        <f aca="false">$B$12*(NORMDIST(MIN($D$12,MAX($C$12,$B25+10)),$E$12,Inputs!$B$39,TRUE())-NORMDIST(MIN($D$12,MAX($C$12,$B25)),$E$12,Inputs!$B$39,TRUE()))/$F$12</f>
        <v>0</v>
      </c>
      <c r="J25" s="34" t="n">
        <f aca="false">$B$13*(NORMDIST(MIN($D$13,MAX($C$13,$B25+10)),$E$13,Inputs!$B$39,TRUE())-NORMDIST(MIN($D$13,MAX($C$13,$B25)),$E$13,Inputs!$B$39,TRUE()))/$F$13</f>
        <v>8.60265652862191</v>
      </c>
      <c r="K25" s="37" t="n">
        <f aca="false">SUM(C25:J25)</f>
        <v>284.747931097385</v>
      </c>
      <c r="L25" s="38" t="n">
        <f aca="false">K25/SUM($K$19:$K$36)</f>
        <v>0.0961986253707382</v>
      </c>
    </row>
    <row r="26" customFormat="false" ht="15" hidden="false" customHeight="false" outlineLevel="0" collapsed="false">
      <c r="A26" s="13" t="s">
        <v>507</v>
      </c>
      <c r="B26" s="36" t="n">
        <v>70</v>
      </c>
      <c r="C26" s="34" t="n">
        <f aca="false">$B$6*(NORMDIST(MIN($D$6,MAX($C$6,$B26+10)),$E$6,Inputs!$B$39,TRUE())-NORMDIST(MIN($D$6,MAX($C$6,$B26)),$E$6,Inputs!$B$39,TRUE()))/$F$6</f>
        <v>63.7877967809456</v>
      </c>
      <c r="D26" s="34" t="n">
        <f aca="false">$B$7*(NORMDIST(MIN($D$7,MAX($C$7,$B26+10)),$E$7,Inputs!$B$39,TRUE())-NORMDIST(MIN($D$7,MAX($C$7,$B26)),$E$7,Inputs!$B$39,TRUE()))/$F$7</f>
        <v>0</v>
      </c>
      <c r="E26" s="34" t="n">
        <f aca="false">$B$8*(NORMDIST(MIN($D$8,MAX($C$8,$B26+10)),$E$8,Inputs!$B$39,TRUE())-NORMDIST(MIN($D$8,MAX($C$8,$B26)),$E$8,Inputs!$B$39,TRUE()))/$F$8</f>
        <v>0</v>
      </c>
      <c r="F26" s="34" t="n">
        <f aca="false">$B$9*(NORMDIST(MIN($D$9,MAX($C$9,$B26+10)),$E$9,Inputs!$B$39,TRUE())-NORMDIST(MIN($D$9,MAX($C$9,$B26)),$E$9,Inputs!$B$39,TRUE()))/$F$9</f>
        <v>120.881155114171</v>
      </c>
      <c r="G26" s="34" t="n">
        <f aca="false">$B$10*(NORMDIST(MIN($D$10,MAX($C$10,$B26+10)),$E$10,Inputs!$B$39,TRUE())-NORMDIST(MIN($D$10,MAX($C$10,$B26)),$E$10,Inputs!$B$39,TRUE()))/$F$10</f>
        <v>47.4454686800422</v>
      </c>
      <c r="H26" s="34" t="n">
        <f aca="false">$B$11*(NORMDIST(MIN($D$11,MAX($C$11,$B26+10)),$E$11,Inputs!$B$39,TRUE())-NORMDIST(MIN($D$11,MAX($C$11,$B26)),$E$11,Inputs!$B$39,TRUE()))/$F$11</f>
        <v>17.2053130572438</v>
      </c>
      <c r="I26" s="34" t="n">
        <f aca="false">$B$12*(NORMDIST(MIN($D$12,MAX($C$12,$B26+10)),$E$12,Inputs!$B$39,TRUE())-NORMDIST(MIN($D$12,MAX($C$12,$B26)),$E$12,Inputs!$B$39,TRUE()))/$F$12</f>
        <v>0</v>
      </c>
      <c r="J26" s="34" t="n">
        <f aca="false">$B$13*(NORMDIST(MIN($D$13,MAX($C$13,$B26+10)),$E$13,Inputs!$B$39,TRUE())-NORMDIST(MIN($D$13,MAX($C$13,$B26)),$E$13,Inputs!$B$39,TRUE()))/$F$13</f>
        <v>10.9891959194701</v>
      </c>
      <c r="K26" s="37" t="n">
        <f aca="false">SUM(C26:J26)</f>
        <v>260.308929551873</v>
      </c>
      <c r="L26" s="38" t="n">
        <f aca="false">K26/SUM($K$19:$K$36)</f>
        <v>0.0879422059296869</v>
      </c>
    </row>
    <row r="27" customFormat="false" ht="15" hidden="false" customHeight="false" outlineLevel="0" collapsed="false">
      <c r="A27" s="13" t="s">
        <v>508</v>
      </c>
      <c r="B27" s="36" t="n">
        <v>80</v>
      </c>
      <c r="C27" s="34" t="n">
        <f aca="false">$B$6*(NORMDIST(MIN($D$6,MAX($C$6,$B27+10)),$E$6,Inputs!$B$39,TRUE())-NORMDIST(MIN($D$6,MAX($C$6,$B27)),$E$6,Inputs!$B$39,TRUE()))/$F$6</f>
        <v>30.5973104831636</v>
      </c>
      <c r="D27" s="34" t="n">
        <f aca="false">$B$7*(NORMDIST(MIN($D$7,MAX($C$7,$B27+10)),$E$7,Inputs!$B$39,TRUE())-NORMDIST(MIN($D$7,MAX($C$7,$B27)),$E$7,Inputs!$B$39,TRUE()))/$F$7</f>
        <v>0</v>
      </c>
      <c r="E27" s="34" t="n">
        <f aca="false">$B$8*(NORMDIST(MIN($D$8,MAX($C$8,$B27+10)),$E$8,Inputs!$B$39,TRUE())-NORMDIST(MIN($D$8,MAX($C$8,$B27)),$E$8,Inputs!$B$39,TRUE()))/$F$8</f>
        <v>0</v>
      </c>
      <c r="F27" s="34" t="n">
        <f aca="false">$B$9*(NORMDIST(MIN($D$9,MAX($C$9,$B27+10)),$E$9,Inputs!$B$39,TRUE())-NORMDIST(MIN($D$9,MAX($C$9,$B27)),$E$9,Inputs!$B$39,TRUE()))/$F$9</f>
        <v>120.881155114171</v>
      </c>
      <c r="G27" s="34" t="n">
        <f aca="false">$B$10*(NORMDIST(MIN($D$10,MAX($C$10,$B27+10)),$E$10,Inputs!$B$39,TRUE())-NORMDIST(MIN($D$10,MAX($C$10,$B27)),$E$10,Inputs!$B$39,TRUE()))/$F$10</f>
        <v>22.758330111444</v>
      </c>
      <c r="H27" s="34" t="n">
        <f aca="false">$B$11*(NORMDIST(MIN($D$11,MAX($C$11,$B27+10)),$E$11,Inputs!$B$39,TRUE())-NORMDIST(MIN($D$11,MAX($C$11,$B27)),$E$11,Inputs!$B$39,TRUE()))/$F$11</f>
        <v>21.9783918389403</v>
      </c>
      <c r="I27" s="34" t="n">
        <f aca="false">$B$12*(NORMDIST(MIN($D$12,MAX($C$12,$B27+10)),$E$12,Inputs!$B$39,TRUE())-NORMDIST(MIN($D$12,MAX($C$12,$B27)),$E$12,Inputs!$B$39,TRUE()))/$F$12</f>
        <v>8.60265652862191</v>
      </c>
      <c r="J27" s="34" t="n">
        <f aca="false">$B$13*(NORMDIST(MIN($D$13,MAX($C$13,$B27+10)),$E$13,Inputs!$B$39,TRUE())-NORMDIST(MIN($D$13,MAX($C$13,$B27)),$E$13,Inputs!$B$39,TRUE()))/$F$13</f>
        <v>10.9891959194701</v>
      </c>
      <c r="K27" s="37" t="n">
        <f aca="false">SUM(C27:J27)</f>
        <v>215.807039995811</v>
      </c>
      <c r="L27" s="38" t="n">
        <f aca="false">K27/SUM($K$19:$K$36)</f>
        <v>0.0729077837823687</v>
      </c>
    </row>
    <row r="28" customFormat="false" ht="15" hidden="false" customHeight="false" outlineLevel="0" collapsed="false">
      <c r="A28" s="13" t="s">
        <v>509</v>
      </c>
      <c r="B28" s="36" t="n">
        <v>90</v>
      </c>
      <c r="C28" s="34" t="n">
        <f aca="false">$B$6*(NORMDIST(MIN($D$6,MAX($C$6,$B28+10)),$E$6,Inputs!$B$39,TRUE())-NORMDIST(MIN($D$6,MAX($C$6,$B28)),$E$6,Inputs!$B$39,TRUE()))/$F$6</f>
        <v>0</v>
      </c>
      <c r="D28" s="34" t="n">
        <f aca="false">$B$7*(NORMDIST(MIN($D$7,MAX($C$7,$B28+10)),$E$7,Inputs!$B$39,TRUE())-NORMDIST(MIN($D$7,MAX($C$7,$B28)),$E$7,Inputs!$B$39,TRUE()))/$F$7</f>
        <v>85.1662996333569</v>
      </c>
      <c r="E28" s="34" t="n">
        <f aca="false">$B$8*(NORMDIST(MIN($D$8,MAX($C$8,$B28+10)),$E$8,Inputs!$B$39,TRUE())-NORMDIST(MIN($D$8,MAX($C$8,$B28)),$E$8,Inputs!$B$39,TRUE()))/$F$8</f>
        <v>67.7553243337488</v>
      </c>
      <c r="F28" s="34" t="n">
        <f aca="false">$B$9*(NORMDIST(MIN($D$9,MAX($C$9,$B28+10)),$E$9,Inputs!$B$39,TRUE())-NORMDIST(MIN($D$9,MAX($C$9,$B28)),$E$9,Inputs!$B$39,TRUE()))/$F$9</f>
        <v>94.629221814841</v>
      </c>
      <c r="G28" s="34" t="n">
        <f aca="false">$B$10*(NORMDIST(MIN($D$10,MAX($C$10,$B28+10)),$E$10,Inputs!$B$39,TRUE())-NORMDIST(MIN($D$10,MAX($C$10,$B28)),$E$10,Inputs!$B$39,TRUE()))/$F$10</f>
        <v>0</v>
      </c>
      <c r="H28" s="34" t="n">
        <f aca="false">$B$11*(NORMDIST(MIN($D$11,MAX($C$11,$B28+10)),$E$11,Inputs!$B$39,TRUE())-NORMDIST(MIN($D$11,MAX($C$11,$B28)),$E$11,Inputs!$B$39,TRUE()))/$F$11</f>
        <v>21.9783918389403</v>
      </c>
      <c r="I28" s="34" t="n">
        <f aca="false">$B$12*(NORMDIST(MIN($D$12,MAX($C$12,$B28+10)),$E$12,Inputs!$B$39,TRUE())-NORMDIST(MIN($D$12,MAX($C$12,$B28)),$E$12,Inputs!$B$39,TRUE()))/$F$12</f>
        <v>10.9891959194701</v>
      </c>
      <c r="J28" s="34" t="n">
        <f aca="false">$B$13*(NORMDIST(MIN($D$13,MAX($C$13,$B28+10)),$E$13,Inputs!$B$39,TRUE())-NORMDIST(MIN($D$13,MAX($C$13,$B28)),$E$13,Inputs!$B$39,TRUE()))/$F$13</f>
        <v>8.60265652862191</v>
      </c>
      <c r="K28" s="37" t="n">
        <f aca="false">SUM(C28:J28)</f>
        <v>289.121090068979</v>
      </c>
      <c r="L28" s="38" t="n">
        <f aca="false">K28/SUM($K$19:$K$36)</f>
        <v>0.0976760439422226</v>
      </c>
    </row>
    <row r="29" customFormat="false" ht="15" hidden="false" customHeight="false" outlineLevel="0" collapsed="false">
      <c r="A29" s="13" t="s">
        <v>510</v>
      </c>
      <c r="B29" s="36" t="n">
        <v>100</v>
      </c>
      <c r="C29" s="34" t="n">
        <f aca="false">$B$6*(NORMDIST(MIN($D$6,MAX($C$6,$B29+10)),$E$6,Inputs!$B$39,TRUE())-NORMDIST(MIN($D$6,MAX($C$6,$B29)),$E$6,Inputs!$B$39,TRUE()))/$F$6</f>
        <v>0</v>
      </c>
      <c r="D29" s="34" t="n">
        <f aca="false">$B$7*(NORMDIST(MIN($D$7,MAX($C$7,$B29+10)),$E$7,Inputs!$B$39,TRUE())-NORMDIST(MIN($D$7,MAX($C$7,$B29)),$E$7,Inputs!$B$39,TRUE()))/$F$7</f>
        <v>108.793039602754</v>
      </c>
      <c r="E29" s="34" t="n">
        <f aca="false">$B$8*(NORMDIST(MIN($D$8,MAX($C$8,$B29+10)),$E$8,Inputs!$B$39,TRUE())-NORMDIST(MIN($D$8,MAX($C$8,$B29)),$E$8,Inputs!$B$39,TRUE()))/$F$8</f>
        <v>174.109282542545</v>
      </c>
      <c r="F29" s="34" t="n">
        <f aca="false">$B$9*(NORMDIST(MIN($D$9,MAX($C$9,$B29+10)),$E$9,Inputs!$B$39,TRUE())-NORMDIST(MIN($D$9,MAX($C$9,$B29)),$E$9,Inputs!$B$39,TRUE()))/$F$9</f>
        <v>57.988906164496</v>
      </c>
      <c r="G29" s="34" t="n">
        <f aca="false">$B$10*(NORMDIST(MIN($D$10,MAX($C$10,$B29+10)),$E$10,Inputs!$B$39,TRUE())-NORMDIST(MIN($D$10,MAX($C$10,$B29)),$E$10,Inputs!$B$39,TRUE()))/$F$10</f>
        <v>0</v>
      </c>
      <c r="H29" s="34" t="n">
        <f aca="false">$B$11*(NORMDIST(MIN($D$11,MAX($C$11,$B29+10)),$E$11,Inputs!$B$39,TRUE())-NORMDIST(MIN($D$11,MAX($C$11,$B29)),$E$11,Inputs!$B$39,TRUE()))/$F$11</f>
        <v>17.2053130572438</v>
      </c>
      <c r="I29" s="34" t="n">
        <f aca="false">$B$12*(NORMDIST(MIN($D$12,MAX($C$12,$B29+10)),$E$12,Inputs!$B$39,TRUE())-NORMDIST(MIN($D$12,MAX($C$12,$B29)),$E$12,Inputs!$B$39,TRUE()))/$F$12</f>
        <v>10.9891959194701</v>
      </c>
      <c r="J29" s="34" t="n">
        <f aca="false">$B$13*(NORMDIST(MIN($D$13,MAX($C$13,$B29+10)),$E$13,Inputs!$B$39,TRUE())-NORMDIST(MIN($D$13,MAX($C$13,$B29)),$E$13,Inputs!$B$39,TRUE()))/$F$13</f>
        <v>5.27171874222691</v>
      </c>
      <c r="K29" s="37" t="n">
        <f aca="false">SUM(C29:J29)</f>
        <v>374.357456028736</v>
      </c>
      <c r="L29" s="38" t="n">
        <f aca="false">K29/SUM($K$19:$K$36)</f>
        <v>0.126472113523222</v>
      </c>
    </row>
    <row r="30" customFormat="false" ht="15" hidden="false" customHeight="false" outlineLevel="0" collapsed="false">
      <c r="A30" s="13" t="s">
        <v>511</v>
      </c>
      <c r="B30" s="36" t="n">
        <v>110</v>
      </c>
      <c r="C30" s="34" t="n">
        <f aca="false">$B$6*(NORMDIST(MIN($D$6,MAX($C$6,$B30+10)),$E$6,Inputs!$B$39,TRUE())-NORMDIST(MIN($D$6,MAX($C$6,$B30)),$E$6,Inputs!$B$39,TRUE()))/$F$6</f>
        <v>0</v>
      </c>
      <c r="D30" s="34" t="n">
        <f aca="false">$B$7*(NORMDIST(MIN($D$7,MAX($C$7,$B30+10)),$E$7,Inputs!$B$39,TRUE())-NORMDIST(MIN($D$7,MAX($C$7,$B30)),$E$7,Inputs!$B$39,TRUE()))/$F$7</f>
        <v>108.793039602754</v>
      </c>
      <c r="E30" s="34" t="n">
        <f aca="false">$B$8*(NORMDIST(MIN($D$8,MAX($C$8,$B30+10)),$E$8,Inputs!$B$39,TRUE())-NORMDIST(MIN($D$8,MAX($C$8,$B30)),$E$8,Inputs!$B$39,TRUE()))/$F$8</f>
        <v>196.783070212558</v>
      </c>
      <c r="F30" s="34" t="n">
        <f aca="false">$B$9*(NORMDIST(MIN($D$9,MAX($C$9,$B30+10)),$E$9,Inputs!$B$39,TRUE())-NORMDIST(MIN($D$9,MAX($C$9,$B30)),$E$9,Inputs!$B$39,TRUE()))/$F$9</f>
        <v>27.815736802876</v>
      </c>
      <c r="G30" s="34" t="n">
        <f aca="false">$B$10*(NORMDIST(MIN($D$10,MAX($C$10,$B30+10)),$E$10,Inputs!$B$39,TRUE())-NORMDIST(MIN($D$10,MAX($C$10,$B30)),$E$10,Inputs!$B$39,TRUE()))/$F$10</f>
        <v>0</v>
      </c>
      <c r="H30" s="34" t="n">
        <f aca="false">$B$11*(NORMDIST(MIN($D$11,MAX($C$11,$B30+10)),$E$11,Inputs!$B$39,TRUE())-NORMDIST(MIN($D$11,MAX($C$11,$B30)),$E$11,Inputs!$B$39,TRUE()))/$F$11</f>
        <v>10.5434374844538</v>
      </c>
      <c r="I30" s="34" t="n">
        <f aca="false">$B$12*(NORMDIST(MIN($D$12,MAX($C$12,$B30+10)),$E$12,Inputs!$B$39,TRUE())-NORMDIST(MIN($D$12,MAX($C$12,$B30)),$E$12,Inputs!$B$39,TRUE()))/$F$12</f>
        <v>8.60265652862191</v>
      </c>
      <c r="J30" s="34" t="n">
        <f aca="false">$B$13*(NORMDIST(MIN($D$13,MAX($C$13,$B30+10)),$E$13,Inputs!$B$39,TRUE())-NORMDIST(MIN($D$13,MAX($C$13,$B30)),$E$13,Inputs!$B$39,TRUE()))/$F$13</f>
        <v>2.528703345716</v>
      </c>
      <c r="K30" s="37" t="n">
        <f aca="false">SUM(C30:J30)</f>
        <v>355.06664397698</v>
      </c>
      <c r="L30" s="38" t="n">
        <f aca="false">K30/SUM($K$19:$K$36)</f>
        <v>0.11995494728952</v>
      </c>
    </row>
    <row r="31" customFormat="false" ht="15" hidden="false" customHeight="false" outlineLevel="0" collapsed="false">
      <c r="A31" s="13" t="s">
        <v>512</v>
      </c>
      <c r="B31" s="36" t="n">
        <v>120</v>
      </c>
      <c r="C31" s="34" t="n">
        <f aca="false">$B$6*(NORMDIST(MIN($D$6,MAX($C$6,$B31+10)),$E$6,Inputs!$B$39,TRUE())-NORMDIST(MIN($D$6,MAX($C$6,$B31)),$E$6,Inputs!$B$39,TRUE()))/$F$6</f>
        <v>0</v>
      </c>
      <c r="D31" s="34" t="n">
        <f aca="false">$B$7*(NORMDIST(MIN($D$7,MAX($C$7,$B31+10)),$E$7,Inputs!$B$39,TRUE())-NORMDIST(MIN($D$7,MAX($C$7,$B31)),$E$7,Inputs!$B$39,TRUE()))/$F$7</f>
        <v>85.1662996333569</v>
      </c>
      <c r="E31" s="34" t="n">
        <f aca="false">$B$8*(NORMDIST(MIN($D$8,MAX($C$8,$B31+10)),$E$8,Inputs!$B$39,TRUE())-NORMDIST(MIN($D$8,MAX($C$8,$B31)),$E$8,Inputs!$B$39,TRUE()))/$F$8</f>
        <v>174.109282542545</v>
      </c>
      <c r="F31" s="34" t="n">
        <f aca="false">$B$9*(NORMDIST(MIN($D$9,MAX($C$9,$B31+10)),$E$9,Inputs!$B$39,TRUE())-NORMDIST(MIN($D$9,MAX($C$9,$B31)),$E$9,Inputs!$B$39,TRUE()))/$F$9</f>
        <v>0</v>
      </c>
      <c r="G31" s="34" t="n">
        <f aca="false">$B$10*(NORMDIST(MIN($D$10,MAX($C$10,$B31+10)),$E$10,Inputs!$B$39,TRUE())-NORMDIST(MIN($D$10,MAX($C$10,$B31)),$E$10,Inputs!$B$39,TRUE()))/$F$10</f>
        <v>0</v>
      </c>
      <c r="H31" s="34" t="n">
        <f aca="false">$B$11*(NORMDIST(MIN($D$11,MAX($C$11,$B31+10)),$E$11,Inputs!$B$39,TRUE())-NORMDIST(MIN($D$11,MAX($C$11,$B31)),$E$11,Inputs!$B$39,TRUE()))/$F$11</f>
        <v>5.057406691432</v>
      </c>
      <c r="I31" s="34" t="n">
        <f aca="false">$B$12*(NORMDIST(MIN($D$12,MAX($C$12,$B31+10)),$E$12,Inputs!$B$39,TRUE())-NORMDIST(MIN($D$12,MAX($C$12,$B31)),$E$12,Inputs!$B$39,TRUE()))/$F$12</f>
        <v>5.27171874222691</v>
      </c>
      <c r="J31" s="34" t="n">
        <f aca="false">$B$13*(NORMDIST(MIN($D$13,MAX($C$13,$B31+10)),$E$13,Inputs!$B$39,TRUE())-NORMDIST(MIN($D$13,MAX($C$13,$B31)),$E$13,Inputs!$B$39,TRUE()))/$F$13</f>
        <v>0</v>
      </c>
      <c r="K31" s="37" t="n">
        <f aca="false">SUM(C31:J31)</f>
        <v>269.604707609561</v>
      </c>
      <c r="L31" s="38" t="n">
        <f aca="false">K31/SUM($K$19:$K$36)</f>
        <v>0.0910826714897166</v>
      </c>
    </row>
    <row r="32" customFormat="false" ht="15" hidden="false" customHeight="false" outlineLevel="0" collapsed="false">
      <c r="A32" s="13" t="s">
        <v>513</v>
      </c>
      <c r="B32" s="36" t="n">
        <v>130</v>
      </c>
      <c r="C32" s="34" t="n">
        <f aca="false">$B$6*(NORMDIST(MIN($D$6,MAX($C$6,$B32+10)),$E$6,Inputs!$B$39,TRUE())-NORMDIST(MIN($D$6,MAX($C$6,$B32)),$E$6,Inputs!$B$39,TRUE()))/$F$6</f>
        <v>0</v>
      </c>
      <c r="D32" s="34" t="n">
        <f aca="false">$B$7*(NORMDIST(MIN($D$7,MAX($C$7,$B32+10)),$E$7,Inputs!$B$39,TRUE())-NORMDIST(MIN($D$7,MAX($C$7,$B32)),$E$7,Inputs!$B$39,TRUE()))/$F$7</f>
        <v>52.1900155480464</v>
      </c>
      <c r="E32" s="34" t="n">
        <f aca="false">$B$8*(NORMDIST(MIN($D$8,MAX($C$8,$B32+10)),$E$8,Inputs!$B$39,TRUE())-NORMDIST(MIN($D$8,MAX($C$8,$B32)),$E$8,Inputs!$B$39,TRUE()))/$F$8</f>
        <v>120.591761473886</v>
      </c>
      <c r="F32" s="34" t="n">
        <f aca="false">$B$9*(NORMDIST(MIN($D$9,MAX($C$9,$B32+10)),$E$9,Inputs!$B$39,TRUE())-NORMDIST(MIN($D$9,MAX($C$9,$B32)),$E$9,Inputs!$B$39,TRUE()))/$F$9</f>
        <v>0</v>
      </c>
      <c r="G32" s="34" t="n">
        <f aca="false">$B$10*(NORMDIST(MIN($D$10,MAX($C$10,$B32+10)),$E$10,Inputs!$B$39,TRUE())-NORMDIST(MIN($D$10,MAX($C$10,$B32)),$E$10,Inputs!$B$39,TRUE()))/$F$10</f>
        <v>0</v>
      </c>
      <c r="H32" s="34" t="n">
        <f aca="false">$B$11*(NORMDIST(MIN($D$11,MAX($C$11,$B32+10)),$E$11,Inputs!$B$39,TRUE())-NORMDIST(MIN($D$11,MAX($C$11,$B32)),$E$11,Inputs!$B$39,TRUE()))/$F$11</f>
        <v>0</v>
      </c>
      <c r="I32" s="34" t="n">
        <f aca="false">$B$12*(NORMDIST(MIN($D$12,MAX($C$12,$B32+10)),$E$12,Inputs!$B$39,TRUE())-NORMDIST(MIN($D$12,MAX($C$12,$B32)),$E$12,Inputs!$B$39,TRUE()))/$F$12</f>
        <v>2.528703345716</v>
      </c>
      <c r="J32" s="34" t="n">
        <f aca="false">$B$13*(NORMDIST(MIN($D$13,MAX($C$13,$B32+10)),$E$13,Inputs!$B$39,TRUE())-NORMDIST(MIN($D$13,MAX($C$13,$B32)),$E$13,Inputs!$B$39,TRUE()))/$F$13</f>
        <v>0</v>
      </c>
      <c r="K32" s="37" t="n">
        <f aca="false">SUM(C32:J32)</f>
        <v>175.310480367649</v>
      </c>
      <c r="L32" s="38" t="n">
        <f aca="false">K32/SUM($K$19:$K$36)</f>
        <v>0.0592265136377192</v>
      </c>
    </row>
    <row r="33" customFormat="false" ht="15" hidden="false" customHeight="false" outlineLevel="0" collapsed="false">
      <c r="A33" s="13" t="s">
        <v>514</v>
      </c>
      <c r="B33" s="36" t="n">
        <v>140</v>
      </c>
      <c r="C33" s="34" t="n">
        <f aca="false">$B$6*(NORMDIST(MIN($D$6,MAX($C$6,$B33+10)),$E$6,Inputs!$B$39,TRUE())-NORMDIST(MIN($D$6,MAX($C$6,$B33)),$E$6,Inputs!$B$39,TRUE()))/$F$6</f>
        <v>0</v>
      </c>
      <c r="D33" s="34" t="n">
        <f aca="false">$B$7*(NORMDIST(MIN($D$7,MAX($C$7,$B33+10)),$E$7,Inputs!$B$39,TRUE())-NORMDIST(MIN($D$7,MAX($C$7,$B33)),$E$7,Inputs!$B$39,TRUE()))/$F$7</f>
        <v>25.0341631225884</v>
      </c>
      <c r="E33" s="34" t="n">
        <f aca="false">$B$8*(NORMDIST(MIN($D$8,MAX($C$8,$B33+10)),$E$8,Inputs!$B$39,TRUE())-NORMDIST(MIN($D$8,MAX($C$8,$B33)),$E$8,Inputs!$B$39,TRUE()))/$F$8</f>
        <v>65.3814376248746</v>
      </c>
      <c r="F33" s="34" t="n">
        <f aca="false">$B$9*(NORMDIST(MIN($D$9,MAX($C$9,$B33+10)),$E$9,Inputs!$B$39,TRUE())-NORMDIST(MIN($D$9,MAX($C$9,$B33)),$E$9,Inputs!$B$39,TRUE()))/$F$9</f>
        <v>0</v>
      </c>
      <c r="G33" s="34" t="n">
        <f aca="false">$B$10*(NORMDIST(MIN($D$10,MAX($C$10,$B33+10)),$E$10,Inputs!$B$39,TRUE())-NORMDIST(MIN($D$10,MAX($C$10,$B33)),$E$10,Inputs!$B$39,TRUE()))/$F$10</f>
        <v>0</v>
      </c>
      <c r="H33" s="34" t="n">
        <f aca="false">$B$11*(NORMDIST(MIN($D$11,MAX($C$11,$B33+10)),$E$11,Inputs!$B$39,TRUE())-NORMDIST(MIN($D$11,MAX($C$11,$B33)),$E$11,Inputs!$B$39,TRUE()))/$F$11</f>
        <v>0</v>
      </c>
      <c r="I33" s="34" t="n">
        <f aca="false">$B$12*(NORMDIST(MIN($D$12,MAX($C$12,$B33+10)),$E$12,Inputs!$B$39,TRUE())-NORMDIST(MIN($D$12,MAX($C$12,$B33)),$E$12,Inputs!$B$39,TRUE()))/$F$12</f>
        <v>0</v>
      </c>
      <c r="J33" s="34" t="n">
        <f aca="false">$B$13*(NORMDIST(MIN($D$13,MAX($C$13,$B33+10)),$E$13,Inputs!$B$39,TRUE())-NORMDIST(MIN($D$13,MAX($C$13,$B33)),$E$13,Inputs!$B$39,TRUE()))/$F$13</f>
        <v>0</v>
      </c>
      <c r="K33" s="37" t="n">
        <f aca="false">SUM(C33:J33)</f>
        <v>90.415600747463</v>
      </c>
      <c r="L33" s="38" t="n">
        <f aca="false">K33/SUM($K$19:$K$36)</f>
        <v>0.0305458110633321</v>
      </c>
    </row>
    <row r="34" customFormat="false" ht="15" hidden="false" customHeight="false" outlineLevel="0" collapsed="false">
      <c r="A34" s="13" t="s">
        <v>515</v>
      </c>
      <c r="B34" s="36" t="n">
        <v>150</v>
      </c>
      <c r="C34" s="34" t="n">
        <f aca="false">$B$6*(NORMDIST(MIN($D$6,MAX($C$6,$B34+10)),$E$6,Inputs!$B$39,TRUE())-NORMDIST(MIN($D$6,MAX($C$6,$B34)),$E$6,Inputs!$B$39,TRUE()))/$F$6</f>
        <v>0</v>
      </c>
      <c r="D34" s="34" t="n">
        <f aca="false">$B$7*(NORMDIST(MIN($D$7,MAX($C$7,$B34+10)),$E$7,Inputs!$B$39,TRUE())-NORMDIST(MIN($D$7,MAX($C$7,$B34)),$E$7,Inputs!$B$39,TRUE()))/$F$7</f>
        <v>0</v>
      </c>
      <c r="E34" s="34" t="n">
        <f aca="false">$B$8*(NORMDIST(MIN($D$8,MAX($C$8,$B34+10)),$E$8,Inputs!$B$39,TRUE())-NORMDIST(MIN($D$8,MAX($C$8,$B34)),$E$8,Inputs!$B$39,TRUE()))/$F$8</f>
        <v>0</v>
      </c>
      <c r="F34" s="34" t="n">
        <f aca="false">$B$9*(NORMDIST(MIN($D$9,MAX($C$9,$B34+10)),$E$9,Inputs!$B$39,TRUE())-NORMDIST(MIN($D$9,MAX($C$9,$B34)),$E$9,Inputs!$B$39,TRUE()))/$F$9</f>
        <v>0</v>
      </c>
      <c r="G34" s="34" t="n">
        <f aca="false">$B$10*(NORMDIST(MIN($D$10,MAX($C$10,$B34+10)),$E$10,Inputs!$B$39,TRUE())-NORMDIST(MIN($D$10,MAX($C$10,$B34)),$E$10,Inputs!$B$39,TRUE()))/$F$10</f>
        <v>0</v>
      </c>
      <c r="H34" s="34" t="n">
        <f aca="false">$B$11*(NORMDIST(MIN($D$11,MAX($C$11,$B34+10)),$E$11,Inputs!$B$39,TRUE())-NORMDIST(MIN($D$11,MAX($C$11,$B34)),$E$11,Inputs!$B$39,TRUE()))/$F$11</f>
        <v>0</v>
      </c>
      <c r="I34" s="34" t="n">
        <f aca="false">$B$12*(NORMDIST(MIN($D$12,MAX($C$12,$B34+10)),$E$12,Inputs!$B$39,TRUE())-NORMDIST(MIN($D$12,MAX($C$12,$B34)),$E$12,Inputs!$B$39,TRUE()))/$F$12</f>
        <v>0</v>
      </c>
      <c r="J34" s="34" t="n">
        <f aca="false">$B$13*(NORMDIST(MIN($D$13,MAX($C$13,$B34+10)),$E$13,Inputs!$B$39,TRUE())-NORMDIST(MIN($D$13,MAX($C$13,$B34)),$E$13,Inputs!$B$39,TRUE()))/$F$13</f>
        <v>0</v>
      </c>
      <c r="K34" s="37" t="n">
        <f aca="false">SUM(C34:J34)</f>
        <v>0</v>
      </c>
      <c r="L34" s="38" t="n">
        <f aca="false">K34/SUM($K$19:$K$36)</f>
        <v>0</v>
      </c>
    </row>
    <row r="35" customFormat="false" ht="15" hidden="false" customHeight="false" outlineLevel="0" collapsed="false">
      <c r="A35" s="13" t="s">
        <v>516</v>
      </c>
      <c r="B35" s="36" t="n">
        <v>160</v>
      </c>
      <c r="C35" s="34" t="n">
        <f aca="false">$B$6*(NORMDIST(MIN($D$6,MAX($C$6,$B35+10)),$E$6,Inputs!$B$39,TRUE())-NORMDIST(MIN($D$6,MAX($C$6,$B35)),$E$6,Inputs!$B$39,TRUE()))/$F$6</f>
        <v>0</v>
      </c>
      <c r="D35" s="34" t="n">
        <f aca="false">$B$7*(NORMDIST(MIN($D$7,MAX($C$7,$B35+10)),$E$7,Inputs!$B$39,TRUE())-NORMDIST(MIN($D$7,MAX($C$7,$B35)),$E$7,Inputs!$B$39,TRUE()))/$F$7</f>
        <v>0</v>
      </c>
      <c r="E35" s="34" t="n">
        <f aca="false">$B$8*(NORMDIST(MIN($D$8,MAX($C$8,$B35+10)),$E$8,Inputs!$B$39,TRUE())-NORMDIST(MIN($D$8,MAX($C$8,$B35)),$E$8,Inputs!$B$39,TRUE()))/$F$8</f>
        <v>0</v>
      </c>
      <c r="F35" s="34" t="n">
        <f aca="false">$B$9*(NORMDIST(MIN($D$9,MAX($C$9,$B35+10)),$E$9,Inputs!$B$39,TRUE())-NORMDIST(MIN($D$9,MAX($C$9,$B35)),$E$9,Inputs!$B$39,TRUE()))/$F$9</f>
        <v>0</v>
      </c>
      <c r="G35" s="34" t="n">
        <f aca="false">$B$10*(NORMDIST(MIN($D$10,MAX($C$10,$B35+10)),$E$10,Inputs!$B$39,TRUE())-NORMDIST(MIN($D$10,MAX($C$10,$B35)),$E$10,Inputs!$B$39,TRUE()))/$F$10</f>
        <v>0</v>
      </c>
      <c r="H35" s="34" t="n">
        <f aca="false">$B$11*(NORMDIST(MIN($D$11,MAX($C$11,$B35+10)),$E$11,Inputs!$B$39,TRUE())-NORMDIST(MIN($D$11,MAX($C$11,$B35)),$E$11,Inputs!$B$39,TRUE()))/$F$11</f>
        <v>0</v>
      </c>
      <c r="I35" s="34" t="n">
        <f aca="false">$B$12*(NORMDIST(MIN($D$12,MAX($C$12,$B35+10)),$E$12,Inputs!$B$39,TRUE())-NORMDIST(MIN($D$12,MAX($C$12,$B35)),$E$12,Inputs!$B$39,TRUE()))/$F$12</f>
        <v>0</v>
      </c>
      <c r="J35" s="34" t="n">
        <f aca="false">$B$13*(NORMDIST(MIN($D$13,MAX($C$13,$B35+10)),$E$13,Inputs!$B$39,TRUE())-NORMDIST(MIN($D$13,MAX($C$13,$B35)),$E$13,Inputs!$B$39,TRUE()))/$F$13</f>
        <v>0</v>
      </c>
      <c r="K35" s="37" t="n">
        <f aca="false">SUM(C35:J35)</f>
        <v>0</v>
      </c>
      <c r="L35" s="38" t="n">
        <f aca="false">K35/SUM($K$19:$K$36)</f>
        <v>0</v>
      </c>
    </row>
    <row r="36" customFormat="false" ht="15" hidden="false" customHeight="false" outlineLevel="0" collapsed="false">
      <c r="A36" s="13" t="s">
        <v>517</v>
      </c>
      <c r="B36" s="36" t="n">
        <v>170</v>
      </c>
      <c r="C36" s="34" t="n">
        <f aca="false">$B$6*(NORMDIST(MIN($D$6,MAX($C$6,$B36+10)),$E$6,Inputs!$B$39,TRUE())-NORMDIST(MIN($D$6,MAX($C$6,$B36)),$E$6,Inputs!$B$39,TRUE()))/$F$6</f>
        <v>0</v>
      </c>
      <c r="D36" s="34" t="n">
        <f aca="false">$B$7*(NORMDIST(MIN($D$7,MAX($C$7,$B36+10)),$E$7,Inputs!$B$39,TRUE())-NORMDIST(MIN($D$7,MAX($C$7,$B36)),$E$7,Inputs!$B$39,TRUE()))/$F$7</f>
        <v>0</v>
      </c>
      <c r="E36" s="34" t="n">
        <f aca="false">$B$8*(NORMDIST(MIN($D$8,MAX($C$8,$B36+10)),$E$8,Inputs!$B$39,TRUE())-NORMDIST(MIN($D$8,MAX($C$8,$B36)),$E$8,Inputs!$B$39,TRUE()))/$F$8</f>
        <v>0</v>
      </c>
      <c r="F36" s="34" t="n">
        <f aca="false">$B$9*(NORMDIST(MIN($D$9,MAX($C$9,$B36+10)),$E$9,Inputs!$B$39,TRUE())-NORMDIST(MIN($D$9,MAX($C$9,$B36)),$E$9,Inputs!$B$39,TRUE()))/$F$9</f>
        <v>0</v>
      </c>
      <c r="G36" s="34" t="n">
        <f aca="false">$B$10*(NORMDIST(MIN($D$10,MAX($C$10,$B36+10)),$E$10,Inputs!$B$39,TRUE())-NORMDIST(MIN($D$10,MAX($C$10,$B36)),$E$10,Inputs!$B$39,TRUE()))/$F$10</f>
        <v>0</v>
      </c>
      <c r="H36" s="34" t="n">
        <f aca="false">$B$11*(NORMDIST(MIN($D$11,MAX($C$11,$B36+10)),$E$11,Inputs!$B$39,TRUE())-NORMDIST(MIN($D$11,MAX($C$11,$B36)),$E$11,Inputs!$B$39,TRUE()))/$F$11</f>
        <v>0</v>
      </c>
      <c r="I36" s="34" t="n">
        <f aca="false">$B$12*(NORMDIST(MIN($D$12,MAX($C$12,$B36+10)),$E$12,Inputs!$B$39,TRUE())-NORMDIST(MIN($D$12,MAX($C$12,$B36)),$E$12,Inputs!$B$39,TRUE()))/$F$12</f>
        <v>0</v>
      </c>
      <c r="J36" s="34" t="n">
        <f aca="false">$B$13*(NORMDIST(MIN($D$13,MAX($C$13,$B36+10)),$E$13,Inputs!$B$39,TRUE())-NORMDIST(MIN($D$13,MAX($C$13,$B36)),$E$13,Inputs!$B$39,TRUE()))/$F$13</f>
        <v>0</v>
      </c>
      <c r="K36" s="37" t="n">
        <f aca="false">SUM(C36:J36)</f>
        <v>0</v>
      </c>
      <c r="L36" s="38" t="n">
        <f aca="false">K36/SUM($K$19:$K$36)</f>
        <v>0</v>
      </c>
    </row>
    <row r="38" customFormat="false" ht="15" hidden="false" customHeight="false" outlineLevel="0" collapsed="false">
      <c r="A38" s="13" t="s">
        <v>518</v>
      </c>
      <c r="B38" s="39" t="str">
        <f aca="false">INDEX(A19:A36,MATCH(MAX(K19:K36),K19:K36,0))</f>
        <v>13:10</v>
      </c>
    </row>
    <row r="39" customFormat="false" ht="15" hidden="false" customHeight="false" outlineLevel="0" collapsed="false">
      <c r="A39" s="13" t="s">
        <v>519</v>
      </c>
      <c r="B39" s="37" t="n">
        <f aca="false">MAX(K19:K36)</f>
        <v>374.357456028736</v>
      </c>
    </row>
    <row r="40" customFormat="false" ht="15" hidden="false" customHeight="false" outlineLevel="0" collapsed="false">
      <c r="A40" s="13" t="s">
        <v>520</v>
      </c>
      <c r="B40" s="34" t="n">
        <f aca="false">(Inputs!$B$82+Inputs!$B$83)*10</f>
        <v>400</v>
      </c>
    </row>
    <row r="41" customFormat="false" ht="43.5" hidden="false" customHeight="true" outlineLevel="0" collapsed="false">
      <c r="A41" s="3" t="s">
        <v>521</v>
      </c>
      <c r="B41" s="3"/>
      <c r="C41" s="3"/>
      <c r="D41" s="3"/>
      <c r="E41" s="3"/>
      <c r="F41" s="3"/>
      <c r="G41" s="3"/>
      <c r="H41" s="3"/>
      <c r="I41" s="3"/>
      <c r="J41" s="3"/>
      <c r="K41" s="3"/>
      <c r="L41" s="3"/>
    </row>
  </sheetData>
  <mergeCells count="2">
    <mergeCell ref="A15:L15"/>
    <mergeCell ref="A41:L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1"/>
    <col collapsed="false" customWidth="true" hidden="false" outlineLevel="0" max="43" min="4" style="0" width="10"/>
  </cols>
  <sheetData>
    <row r="1" customFormat="false" ht="17.35" hidden="false" customHeight="false" outlineLevel="0" collapsed="false">
      <c r="A1" s="1" t="s">
        <v>522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15" hidden="false" customHeight="false" outlineLevel="0" collapsed="false">
      <c r="A2" s="11" t="s">
        <v>523</v>
      </c>
    </row>
    <row r="4" customFormat="false" ht="15" hidden="false" customHeight="false" outlineLevel="0" collapsed="false">
      <c r="A4" s="4" t="s">
        <v>524</v>
      </c>
      <c r="J4" s="4" t="s">
        <v>525</v>
      </c>
    </row>
    <row r="5" customFormat="false" ht="23.85" hidden="false" customHeight="false" outlineLevel="0" collapsed="false">
      <c r="A5" s="7" t="s">
        <v>526</v>
      </c>
      <c r="B5" s="7" t="s">
        <v>527</v>
      </c>
      <c r="C5" s="7" t="s">
        <v>528</v>
      </c>
      <c r="D5" s="7" t="s">
        <v>529</v>
      </c>
      <c r="E5" s="7" t="s">
        <v>530</v>
      </c>
      <c r="F5" s="7" t="s">
        <v>531</v>
      </c>
      <c r="G5" s="7" t="s">
        <v>532</v>
      </c>
      <c r="H5" s="7" t="s">
        <v>533</v>
      </c>
      <c r="J5" s="7" t="s">
        <v>534</v>
      </c>
      <c r="K5" s="34" t="n">
        <f aca="false">Inputs!$B$26*60</f>
        <v>600</v>
      </c>
    </row>
    <row r="6" customFormat="false" ht="15" hidden="false" customHeight="false" outlineLevel="0" collapsed="false">
      <c r="A6" s="17" t="n">
        <v>18</v>
      </c>
      <c r="B6" s="17" t="n">
        <v>24</v>
      </c>
      <c r="C6" s="31" t="n">
        <f aca="false">A6/B6</f>
        <v>0.75</v>
      </c>
      <c r="D6" s="40" t="n">
        <f aca="false">A6/(B6*(B6-A6))</f>
        <v>0.125</v>
      </c>
      <c r="E6" s="27" t="n">
        <f aca="false">D6*60</f>
        <v>7.5</v>
      </c>
      <c r="F6" s="27" t="n">
        <f aca="false">60/(B6-A6)</f>
        <v>10</v>
      </c>
      <c r="G6" s="28" t="n">
        <f aca="false">A6*D6</f>
        <v>2.25</v>
      </c>
      <c r="H6" s="28" t="n">
        <f aca="false">A6*F6/60</f>
        <v>3</v>
      </c>
      <c r="J6" s="7" t="s">
        <v>528</v>
      </c>
      <c r="K6" s="7" t="s">
        <v>526</v>
      </c>
      <c r="L6" s="7" t="s">
        <v>530</v>
      </c>
      <c r="M6" s="7" t="s">
        <v>532</v>
      </c>
    </row>
    <row r="7" customFormat="false" ht="15" hidden="false" customHeight="true" outlineLevel="0" collapsed="false">
      <c r="A7" s="3" t="s">
        <v>535</v>
      </c>
      <c r="B7" s="3"/>
      <c r="C7" s="3"/>
      <c r="D7" s="3"/>
      <c r="E7" s="3"/>
      <c r="F7" s="3"/>
      <c r="G7" s="3"/>
      <c r="H7" s="3"/>
      <c r="J7" s="25" t="n">
        <v>0.5</v>
      </c>
      <c r="K7" s="32" t="n">
        <f aca="false">J7*$K$5</f>
        <v>300</v>
      </c>
      <c r="L7" s="28" t="n">
        <f aca="false">K7/($K$5*($K$5-K7))*60</f>
        <v>0.1</v>
      </c>
      <c r="M7" s="27" t="n">
        <f aca="false">K7*L7/60</f>
        <v>0.5</v>
      </c>
    </row>
    <row r="8" customFormat="false" ht="15" hidden="false" customHeight="false" outlineLevel="0" collapsed="false">
      <c r="J8" s="25" t="n">
        <v>0.6</v>
      </c>
      <c r="K8" s="32" t="n">
        <f aca="false">J8*$K$5</f>
        <v>360</v>
      </c>
      <c r="L8" s="28" t="n">
        <f aca="false">K8/($K$5*($K$5-K8))*60</f>
        <v>0.15</v>
      </c>
      <c r="M8" s="27" t="n">
        <f aca="false">K8*L8/60</f>
        <v>0.9</v>
      </c>
    </row>
    <row r="9" customFormat="false" ht="15" hidden="false" customHeight="false" outlineLevel="0" collapsed="false">
      <c r="J9" s="25" t="n">
        <v>0.7</v>
      </c>
      <c r="K9" s="32" t="n">
        <f aca="false">J9*$K$5</f>
        <v>420</v>
      </c>
      <c r="L9" s="28" t="n">
        <f aca="false">K9/($K$5*($K$5-K9))*60</f>
        <v>0.233333333333333</v>
      </c>
      <c r="M9" s="27" t="n">
        <f aca="false">K9*L9/60</f>
        <v>1.63333333333333</v>
      </c>
    </row>
    <row r="10" customFormat="false" ht="15" hidden="false" customHeight="false" outlineLevel="0" collapsed="false">
      <c r="J10" s="25" t="n">
        <v>0.75</v>
      </c>
      <c r="K10" s="32" t="n">
        <f aca="false">J10*$K$5</f>
        <v>450</v>
      </c>
      <c r="L10" s="28" t="n">
        <f aca="false">K10/($K$5*($K$5-K10))*60</f>
        <v>0.3</v>
      </c>
      <c r="M10" s="27" t="n">
        <f aca="false">K10*L10/60</f>
        <v>2.25</v>
      </c>
    </row>
    <row r="11" customFormat="false" ht="15" hidden="false" customHeight="false" outlineLevel="0" collapsed="false">
      <c r="J11" s="25" t="n">
        <v>0.8</v>
      </c>
      <c r="K11" s="32" t="n">
        <f aca="false">J11*$K$5</f>
        <v>480</v>
      </c>
      <c r="L11" s="28" t="n">
        <f aca="false">K11/($K$5*($K$5-K11))*60</f>
        <v>0.4</v>
      </c>
      <c r="M11" s="27" t="n">
        <f aca="false">K11*L11/60</f>
        <v>3.2</v>
      </c>
    </row>
    <row r="12" customFormat="false" ht="15" hidden="false" customHeight="false" outlineLevel="0" collapsed="false">
      <c r="J12" s="25" t="n">
        <v>0.85</v>
      </c>
      <c r="K12" s="32" t="n">
        <f aca="false">J12*$K$5</f>
        <v>510</v>
      </c>
      <c r="L12" s="28" t="n">
        <f aca="false">K12/($K$5*($K$5-K12))*60</f>
        <v>0.566666666666667</v>
      </c>
      <c r="M12" s="27" t="n">
        <f aca="false">K12*L12/60</f>
        <v>4.81666666666667</v>
      </c>
    </row>
    <row r="13" customFormat="false" ht="15" hidden="false" customHeight="false" outlineLevel="0" collapsed="false">
      <c r="J13" s="25" t="n">
        <v>0.9</v>
      </c>
      <c r="K13" s="32" t="n">
        <f aca="false">J13*$K$5</f>
        <v>540</v>
      </c>
      <c r="L13" s="28" t="n">
        <f aca="false">K13/($K$5*($K$5-K13))*60</f>
        <v>0.9</v>
      </c>
      <c r="M13" s="27" t="n">
        <f aca="false">K13*L13/60</f>
        <v>8.1</v>
      </c>
    </row>
    <row r="14" customFormat="false" ht="15" hidden="false" customHeight="false" outlineLevel="0" collapsed="false">
      <c r="J14" s="25" t="n">
        <v>0.93</v>
      </c>
      <c r="K14" s="32" t="n">
        <f aca="false">J14*$K$5</f>
        <v>558</v>
      </c>
      <c r="L14" s="28" t="n">
        <f aca="false">K14/($K$5*($K$5-K14))*60</f>
        <v>1.32857142857143</v>
      </c>
      <c r="M14" s="27" t="n">
        <f aca="false">K14*L14/60</f>
        <v>12.3557142857143</v>
      </c>
    </row>
    <row r="15" customFormat="false" ht="15" hidden="false" customHeight="false" outlineLevel="0" collapsed="false">
      <c r="J15" s="25" t="n">
        <v>0.95</v>
      </c>
      <c r="K15" s="32" t="n">
        <f aca="false">J15*$K$5</f>
        <v>570</v>
      </c>
      <c r="L15" s="28" t="n">
        <f aca="false">K15/($K$5*($K$5-K15))*60</f>
        <v>1.9</v>
      </c>
      <c r="M15" s="27" t="n">
        <f aca="false">K15*L15/60</f>
        <v>18.05</v>
      </c>
    </row>
    <row r="16" customFormat="false" ht="15" hidden="false" customHeight="false" outlineLevel="0" collapsed="false">
      <c r="J16" s="25" t="n">
        <v>0.96</v>
      </c>
      <c r="K16" s="32" t="n">
        <f aca="false">J16*$K$5</f>
        <v>576</v>
      </c>
      <c r="L16" s="28" t="n">
        <f aca="false">K16/($K$5*($K$5-K16))*60</f>
        <v>2.4</v>
      </c>
      <c r="M16" s="27" t="n">
        <f aca="false">K16*L16/60</f>
        <v>23.04</v>
      </c>
    </row>
    <row r="17" customFormat="false" ht="15" hidden="false" customHeight="false" outlineLevel="0" collapsed="false">
      <c r="J17" s="25" t="n">
        <v>0.97</v>
      </c>
      <c r="K17" s="32" t="n">
        <f aca="false">J17*$K$5</f>
        <v>582</v>
      </c>
      <c r="L17" s="28" t="n">
        <f aca="false">K17/($K$5*($K$5-K17))*60</f>
        <v>3.23333333333333</v>
      </c>
      <c r="M17" s="27" t="n">
        <f aca="false">K17*L17/60</f>
        <v>31.3633333333333</v>
      </c>
    </row>
    <row r="18" customFormat="false" ht="15" hidden="false" customHeight="false" outlineLevel="0" collapsed="false">
      <c r="J18" s="25" t="n">
        <v>0.98</v>
      </c>
      <c r="K18" s="32" t="n">
        <f aca="false">J18*$K$5</f>
        <v>588</v>
      </c>
      <c r="L18" s="28" t="n">
        <f aca="false">K18/($K$5*($K$5-K18))*60</f>
        <v>4.9</v>
      </c>
      <c r="M18" s="27" t="n">
        <f aca="false">K18*L18/60</f>
        <v>48.02</v>
      </c>
    </row>
    <row r="22" customFormat="false" ht="15" hidden="false" customHeight="false" outlineLevel="0" collapsed="false">
      <c r="A22" s="4" t="s">
        <v>536</v>
      </c>
    </row>
    <row r="23" customFormat="false" ht="57.75" hidden="false" customHeight="true" outlineLevel="0" collapsed="false">
      <c r="A23" s="3" t="s">
        <v>537</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row>
    <row r="25" customFormat="false" ht="15" hidden="false" customHeight="true" outlineLevel="0" collapsed="false">
      <c r="A25" s="13" t="s">
        <v>538</v>
      </c>
      <c r="E25" s="41" t="n">
        <f aca="false">Inputs!$B$82/(Inputs!$B$82+Inputs!$B$83)</f>
        <v>0.5</v>
      </c>
      <c r="F25" s="3" t="s">
        <v>539</v>
      </c>
      <c r="G25" s="3"/>
      <c r="H25" s="3"/>
      <c r="I25" s="3"/>
      <c r="J25" s="3"/>
      <c r="K25" s="3"/>
      <c r="L25" s="3"/>
      <c r="M25" s="3"/>
      <c r="N25" s="3"/>
    </row>
    <row r="26" customFormat="false" ht="15" hidden="false" customHeight="true" outlineLevel="0" collapsed="false">
      <c r="A26" s="13" t="s">
        <v>540</v>
      </c>
      <c r="E26" s="41" t="n">
        <f aca="false">Inputs!$B$35+Inputs!$B$36*(E25-Inputs!$B$35)</f>
        <v>0.6188</v>
      </c>
      <c r="F26" s="3" t="s">
        <v>541</v>
      </c>
      <c r="G26" s="3"/>
      <c r="H26" s="3"/>
      <c r="I26" s="3"/>
      <c r="J26" s="3"/>
      <c r="K26" s="3"/>
      <c r="L26" s="3"/>
      <c r="M26" s="3"/>
      <c r="N26" s="3"/>
    </row>
    <row r="28" customFormat="false" ht="15" hidden="false" customHeight="true" outlineLevel="0" collapsed="false">
      <c r="E28" s="42" t="s">
        <v>542</v>
      </c>
      <c r="F28" s="42"/>
      <c r="G28" s="42"/>
      <c r="H28" s="42"/>
      <c r="I28" s="42"/>
      <c r="J28" s="42"/>
      <c r="K28" s="42"/>
      <c r="L28" s="42"/>
      <c r="M28" s="42"/>
      <c r="N28" s="42" t="s">
        <v>543</v>
      </c>
      <c r="O28" s="42"/>
      <c r="P28" s="42"/>
      <c r="Q28" s="42"/>
      <c r="R28" s="42"/>
      <c r="S28" s="42"/>
      <c r="T28" s="42"/>
      <c r="U28" s="42"/>
      <c r="V28" s="42"/>
      <c r="W28" s="42" t="s">
        <v>544</v>
      </c>
      <c r="X28" s="42"/>
      <c r="Y28" s="42"/>
      <c r="Z28" s="42"/>
      <c r="AA28" s="42"/>
      <c r="AB28" s="42"/>
      <c r="AC28" s="42"/>
      <c r="AD28" s="42"/>
      <c r="AE28" s="42"/>
      <c r="AF28" s="42" t="s">
        <v>545</v>
      </c>
      <c r="AG28" s="42"/>
      <c r="AH28" s="42"/>
      <c r="AI28" s="42"/>
      <c r="AJ28" s="42"/>
      <c r="AK28" s="42"/>
      <c r="AL28" s="42"/>
      <c r="AM28" s="42"/>
      <c r="AN28" s="42"/>
    </row>
    <row r="29" customFormat="false" ht="30" hidden="false" customHeight="true" outlineLevel="0" collapsed="false">
      <c r="A29" s="7" t="s">
        <v>546</v>
      </c>
      <c r="B29" s="7" t="s">
        <v>547</v>
      </c>
      <c r="C29" s="7" t="s">
        <v>548</v>
      </c>
      <c r="D29" s="7" t="s">
        <v>549</v>
      </c>
      <c r="E29" s="7" t="s">
        <v>550</v>
      </c>
      <c r="F29" s="7" t="s">
        <v>551</v>
      </c>
      <c r="G29" s="7" t="s">
        <v>528</v>
      </c>
      <c r="H29" s="7" t="s">
        <v>552</v>
      </c>
      <c r="I29" s="7" t="s">
        <v>553</v>
      </c>
      <c r="J29" s="7" t="s">
        <v>554</v>
      </c>
      <c r="K29" s="7" t="s">
        <v>555</v>
      </c>
      <c r="L29" s="7" t="s">
        <v>556</v>
      </c>
      <c r="M29" s="7" t="s">
        <v>557</v>
      </c>
      <c r="N29" s="7" t="s">
        <v>550</v>
      </c>
      <c r="O29" s="7" t="s">
        <v>551</v>
      </c>
      <c r="P29" s="7" t="s">
        <v>528</v>
      </c>
      <c r="Q29" s="7" t="s">
        <v>552</v>
      </c>
      <c r="R29" s="7" t="s">
        <v>553</v>
      </c>
      <c r="S29" s="7" t="s">
        <v>554</v>
      </c>
      <c r="T29" s="7" t="s">
        <v>555</v>
      </c>
      <c r="U29" s="7" t="s">
        <v>556</v>
      </c>
      <c r="V29" s="7" t="s">
        <v>557</v>
      </c>
      <c r="W29" s="7" t="s">
        <v>550</v>
      </c>
      <c r="X29" s="7" t="s">
        <v>551</v>
      </c>
      <c r="Y29" s="7" t="s">
        <v>528</v>
      </c>
      <c r="Z29" s="7" t="s">
        <v>552</v>
      </c>
      <c r="AA29" s="7" t="s">
        <v>553</v>
      </c>
      <c r="AB29" s="7" t="s">
        <v>554</v>
      </c>
      <c r="AC29" s="7" t="s">
        <v>555</v>
      </c>
      <c r="AD29" s="7" t="s">
        <v>556</v>
      </c>
      <c r="AE29" s="7" t="s">
        <v>557</v>
      </c>
      <c r="AF29" s="7" t="s">
        <v>550</v>
      </c>
      <c r="AG29" s="7" t="s">
        <v>551</v>
      </c>
      <c r="AH29" s="7" t="s">
        <v>528</v>
      </c>
      <c r="AI29" s="7" t="s">
        <v>552</v>
      </c>
      <c r="AJ29" s="7" t="s">
        <v>553</v>
      </c>
      <c r="AK29" s="7" t="s">
        <v>554</v>
      </c>
      <c r="AL29" s="7" t="s">
        <v>555</v>
      </c>
      <c r="AM29" s="7" t="s">
        <v>556</v>
      </c>
      <c r="AN29" s="7" t="s">
        <v>557</v>
      </c>
    </row>
    <row r="30" customFormat="false" ht="15" hidden="false" customHeight="false" outlineLevel="0" collapsed="false">
      <c r="A30" s="13" t="s">
        <v>92</v>
      </c>
      <c r="B30" s="41" t="n">
        <f aca="false">'Arrival Curve'!$L$19</f>
        <v>0</v>
      </c>
      <c r="C30" s="34" t="n">
        <f aca="false">'Arrival Curve'!$K$19</f>
        <v>0</v>
      </c>
      <c r="D30" s="27" t="n">
        <f aca="false">C30/10</f>
        <v>0</v>
      </c>
      <c r="E30" s="43" t="n">
        <f aca="false">$D30*Inputs!$B$35</f>
        <v>0</v>
      </c>
      <c r="F30" s="44" t="n">
        <f aca="false">E30/Inputs!$B$84</f>
        <v>0</v>
      </c>
      <c r="G30" s="44" t="n">
        <f aca="false">E30/(Inputs!$B$11*Inputs!$B$26)</f>
        <v>0</v>
      </c>
      <c r="H30" s="45" t="n">
        <f aca="false">IF(E30&gt;0,((MIN(E30,0.95*Inputs!$B$11*Inputs!$B$26)/Inputs!$B$26)^Inputs!$B$11/FACT(Inputs!$B$11)*Inputs!$B$11/(Inputs!$B$11-(MIN(E30,0.95*Inputs!$B$11*Inputs!$B$26)/Inputs!$B$26)))/(SUMPRODUCT(--({0,1,2,3,4,5,6,7,8,9}&lt;Inputs!$B$11),(MIN(E30,0.95*Inputs!$B$11*Inputs!$B$26)/Inputs!$B$26)^{0,1,2,3,4,5,6,7,8,9}/FACT({0,1,2,3,4,5,6,7,8,9}))+((MIN(E30,0.95*Inputs!$B$11*Inputs!$B$26)/Inputs!$B$26)^Inputs!$B$11/FACT(Inputs!$B$11)*Inputs!$B$11/(Inputs!$B$11-(MIN(E30,0.95*Inputs!$B$11*Inputs!$B$26)/Inputs!$B$26)))),0)</f>
        <v>0</v>
      </c>
      <c r="I30" s="45" t="n">
        <f aca="false">IF(E30&gt;0,H30/(Inputs!$B$11*Inputs!$B$26-MIN(E30,0.95*Inputs!$B$11*Inputs!$B$26)),0)</f>
        <v>0</v>
      </c>
      <c r="J30" s="34" t="n">
        <f aca="false">MAX(0,0+(E30-Inputs!$B$11*Inputs!$B$26)*10)</f>
        <v>0</v>
      </c>
      <c r="K30" s="43" t="n">
        <f aca="false">(0+J30)/2/(Inputs!$B$11*Inputs!$B$26)+I30</f>
        <v>0</v>
      </c>
      <c r="L30" s="43" t="n">
        <f aca="false">Inputs!$B$86+K30+1/Inputs!$B$26+Inputs!$B$87+Inputs!$B$88+Inputs!$B$89</f>
        <v>28.625</v>
      </c>
      <c r="M30" s="32" t="n">
        <f aca="false">E30*L30</f>
        <v>0</v>
      </c>
      <c r="N30" s="43" t="n">
        <f aca="false">$D30*(1-Inputs!$B$35)</f>
        <v>0</v>
      </c>
      <c r="O30" s="44" t="n">
        <f aca="false">N30/Inputs!$B$85</f>
        <v>0</v>
      </c>
      <c r="P30" s="44" t="n">
        <f aca="false">N30/(Inputs!$B$12*Inputs!$B$26)</f>
        <v>0</v>
      </c>
      <c r="Q30" s="45" t="n">
        <f aca="false">IF(N30&gt;0,((MIN(N30,0.95*Inputs!$B$12*Inputs!$B$26)/Inputs!$B$26)^Inputs!$B$12/FACT(Inputs!$B$12)*Inputs!$B$12/(Inputs!$B$12-(MIN(N30,0.95*Inputs!$B$12*Inputs!$B$26)/Inputs!$B$26)))/(SUMPRODUCT(--({0,1,2,3,4,5,6,7,8,9}&lt;Inputs!$B$12),(MIN(N30,0.95*Inputs!$B$12*Inputs!$B$26)/Inputs!$B$26)^{0,1,2,3,4,5,6,7,8,9}/FACT({0,1,2,3,4,5,6,7,8,9}))+((MIN(N30,0.95*Inputs!$B$12*Inputs!$B$26)/Inputs!$B$26)^Inputs!$B$12/FACT(Inputs!$B$12)*Inputs!$B$12/(Inputs!$B$12-(MIN(N30,0.95*Inputs!$B$12*Inputs!$B$26)/Inputs!$B$26)))),0)</f>
        <v>0</v>
      </c>
      <c r="R30" s="45" t="n">
        <f aca="false">IF(N30&gt;0,Q30/(Inputs!$B$12*Inputs!$B$26-MIN(N30,0.95*Inputs!$B$12*Inputs!$B$26)),0)</f>
        <v>0</v>
      </c>
      <c r="S30" s="34" t="n">
        <f aca="false">MAX(0,0+(N30-Inputs!$B$12*Inputs!$B$26)*10)</f>
        <v>0</v>
      </c>
      <c r="T30" s="43" t="n">
        <f aca="false">(0+S30)/2/(Inputs!$B$12*Inputs!$B$26)+R30</f>
        <v>0</v>
      </c>
      <c r="U30" s="43" t="n">
        <f aca="false">Inputs!$B$86+T30+1/Inputs!$B$26+Inputs!$B$87+Inputs!$B$88+Inputs!$B$89</f>
        <v>28.625</v>
      </c>
      <c r="V30" s="32" t="n">
        <f aca="false">N30*U30</f>
        <v>0</v>
      </c>
      <c r="W30" s="43" t="n">
        <f aca="false">$D30*$E$26</f>
        <v>0</v>
      </c>
      <c r="X30" s="44" t="n">
        <f aca="false">W30/Inputs!$B$84</f>
        <v>0</v>
      </c>
      <c r="Y30" s="44" t="n">
        <f aca="false">W30/(Inputs!$B$11*Inputs!$B$26)</f>
        <v>0</v>
      </c>
      <c r="Z30" s="45" t="n">
        <f aca="false">IF(W30&gt;0,((MIN(W30,0.95*Inputs!$B$11*Inputs!$B$26)/Inputs!$B$26)^Inputs!$B$11/FACT(Inputs!$B$11)*Inputs!$B$11/(Inputs!$B$11-(MIN(W30,0.95*Inputs!$B$11*Inputs!$B$26)/Inputs!$B$26)))/(SUMPRODUCT(--({0,1,2,3,4,5,6,7,8,9}&lt;Inputs!$B$11),(MIN(W30,0.95*Inputs!$B$11*Inputs!$B$26)/Inputs!$B$26)^{0,1,2,3,4,5,6,7,8,9}/FACT({0,1,2,3,4,5,6,7,8,9}))+((MIN(W30,0.95*Inputs!$B$11*Inputs!$B$26)/Inputs!$B$26)^Inputs!$B$11/FACT(Inputs!$B$11)*Inputs!$B$11/(Inputs!$B$11-(MIN(W30,0.95*Inputs!$B$11*Inputs!$B$26)/Inputs!$B$26)))),0)</f>
        <v>0</v>
      </c>
      <c r="AA30" s="45" t="n">
        <f aca="false">IF(W30&gt;0,Z30/(Inputs!$B$11*Inputs!$B$26-MIN(W30,0.95*Inputs!$B$11*Inputs!$B$26)),0)</f>
        <v>0</v>
      </c>
      <c r="AB30" s="34" t="n">
        <f aca="false">MAX(0,0+(W30-Inputs!$B$11*Inputs!$B$26)*10)</f>
        <v>0</v>
      </c>
      <c r="AC30" s="43" t="n">
        <f aca="false">(0+AB30)/2/(Inputs!$B$11*Inputs!$B$26)+AA30</f>
        <v>0</v>
      </c>
      <c r="AD30" s="43" t="n">
        <f aca="false">Inputs!$B$86+AC30+1/Inputs!$B$26+Inputs!$B$87+Inputs!$B$88+Inputs!$B$89</f>
        <v>28.625</v>
      </c>
      <c r="AE30" s="32" t="n">
        <f aca="false">W30*AD30</f>
        <v>0</v>
      </c>
      <c r="AF30" s="43" t="n">
        <f aca="false">$D30*(1-$E$26)</f>
        <v>0</v>
      </c>
      <c r="AG30" s="44" t="n">
        <f aca="false">AF30/Inputs!$B$85</f>
        <v>0</v>
      </c>
      <c r="AH30" s="44" t="n">
        <f aca="false">AF30/(Inputs!$B$12*Inputs!$B$26)</f>
        <v>0</v>
      </c>
      <c r="AI30" s="45" t="n">
        <f aca="false">IF(AF30&gt;0,((MIN(AF30,0.95*Inputs!$B$12*Inputs!$B$26)/Inputs!$B$26)^Inputs!$B$12/FACT(Inputs!$B$12)*Inputs!$B$12/(Inputs!$B$12-(MIN(AF30,0.95*Inputs!$B$12*Inputs!$B$26)/Inputs!$B$26)))/(SUMPRODUCT(--({0,1,2,3,4,5,6,7,8,9}&lt;Inputs!$B$12),(MIN(AF30,0.95*Inputs!$B$12*Inputs!$B$26)/Inputs!$B$26)^{0,1,2,3,4,5,6,7,8,9}/FACT({0,1,2,3,4,5,6,7,8,9}))+((MIN(AF30,0.95*Inputs!$B$12*Inputs!$B$26)/Inputs!$B$26)^Inputs!$B$12/FACT(Inputs!$B$12)*Inputs!$B$12/(Inputs!$B$12-(MIN(AF30,0.95*Inputs!$B$12*Inputs!$B$26)/Inputs!$B$26)))),0)</f>
        <v>0</v>
      </c>
      <c r="AJ30" s="45" t="n">
        <f aca="false">IF(AF30&gt;0,AI30/(Inputs!$B$12*Inputs!$B$26-MIN(AF30,0.95*Inputs!$B$12*Inputs!$B$26)),0)</f>
        <v>0</v>
      </c>
      <c r="AK30" s="34" t="n">
        <f aca="false">MAX(0,0+(AF30-Inputs!$B$12*Inputs!$B$26)*10)</f>
        <v>0</v>
      </c>
      <c r="AL30" s="43" t="n">
        <f aca="false">(0+AK30)/2/(Inputs!$B$12*Inputs!$B$26)+AJ30</f>
        <v>0</v>
      </c>
      <c r="AM30" s="43" t="n">
        <f aca="false">Inputs!$B$86+AL30+1/Inputs!$B$26+Inputs!$B$87+Inputs!$B$88+Inputs!$B$89</f>
        <v>28.625</v>
      </c>
      <c r="AN30" s="32" t="n">
        <f aca="false">AF30*AM30</f>
        <v>0</v>
      </c>
    </row>
    <row r="31" customFormat="false" ht="15" hidden="false" customHeight="false" outlineLevel="0" collapsed="false">
      <c r="A31" s="13" t="s">
        <v>501</v>
      </c>
      <c r="B31" s="41" t="n">
        <f aca="false">'Arrival Curve'!$L$20</f>
        <v>0</v>
      </c>
      <c r="C31" s="34" t="n">
        <f aca="false">'Arrival Curve'!$K$20</f>
        <v>0</v>
      </c>
      <c r="D31" s="27" t="n">
        <f aca="false">C31/10</f>
        <v>0</v>
      </c>
      <c r="E31" s="43" t="n">
        <f aca="false">$D31*Inputs!$B$35</f>
        <v>0</v>
      </c>
      <c r="F31" s="44" t="n">
        <f aca="false">E31/Inputs!$B$84</f>
        <v>0</v>
      </c>
      <c r="G31" s="44" t="n">
        <f aca="false">E31/(Inputs!$B$11*Inputs!$B$26)</f>
        <v>0</v>
      </c>
      <c r="H31" s="45" t="n">
        <f aca="false">IF(E31&gt;0,((MIN(E31,0.95*Inputs!$B$11*Inputs!$B$26)/Inputs!$B$26)^Inputs!$B$11/FACT(Inputs!$B$11)*Inputs!$B$11/(Inputs!$B$11-(MIN(E31,0.95*Inputs!$B$11*Inputs!$B$26)/Inputs!$B$26)))/(SUMPRODUCT(--({0,1,2,3,4,5,6,7,8,9}&lt;Inputs!$B$11),(MIN(E31,0.95*Inputs!$B$11*Inputs!$B$26)/Inputs!$B$26)^{0,1,2,3,4,5,6,7,8,9}/FACT({0,1,2,3,4,5,6,7,8,9}))+((MIN(E31,0.95*Inputs!$B$11*Inputs!$B$26)/Inputs!$B$26)^Inputs!$B$11/FACT(Inputs!$B$11)*Inputs!$B$11/(Inputs!$B$11-(MIN(E31,0.95*Inputs!$B$11*Inputs!$B$26)/Inputs!$B$26)))),0)</f>
        <v>0</v>
      </c>
      <c r="I31" s="45" t="n">
        <f aca="false">IF(E31&gt;0,H31/(Inputs!$B$11*Inputs!$B$26-MIN(E31,0.95*Inputs!$B$11*Inputs!$B$26)),0)</f>
        <v>0</v>
      </c>
      <c r="J31" s="34" t="n">
        <f aca="false">MAX(0,J30+(E31-Inputs!$B$11*Inputs!$B$26)*10)</f>
        <v>0</v>
      </c>
      <c r="K31" s="43" t="n">
        <f aca="false">(J30+J31)/2/(Inputs!$B$11*Inputs!$B$26)+I31</f>
        <v>0</v>
      </c>
      <c r="L31" s="43" t="n">
        <f aca="false">Inputs!$B$86+K31+1/Inputs!$B$26+Inputs!$B$87+Inputs!$B$88+Inputs!$B$89</f>
        <v>28.625</v>
      </c>
      <c r="M31" s="32" t="n">
        <f aca="false">E31*L31</f>
        <v>0</v>
      </c>
      <c r="N31" s="43" t="n">
        <f aca="false">$D31*(1-Inputs!$B$35)</f>
        <v>0</v>
      </c>
      <c r="O31" s="44" t="n">
        <f aca="false">N31/Inputs!$B$85</f>
        <v>0</v>
      </c>
      <c r="P31" s="44" t="n">
        <f aca="false">N31/(Inputs!$B$12*Inputs!$B$26)</f>
        <v>0</v>
      </c>
      <c r="Q31" s="45" t="n">
        <f aca="false">IF(N31&gt;0,((MIN(N31,0.95*Inputs!$B$12*Inputs!$B$26)/Inputs!$B$26)^Inputs!$B$12/FACT(Inputs!$B$12)*Inputs!$B$12/(Inputs!$B$12-(MIN(N31,0.95*Inputs!$B$12*Inputs!$B$26)/Inputs!$B$26)))/(SUMPRODUCT(--({0,1,2,3,4,5,6,7,8,9}&lt;Inputs!$B$12),(MIN(N31,0.95*Inputs!$B$12*Inputs!$B$26)/Inputs!$B$26)^{0,1,2,3,4,5,6,7,8,9}/FACT({0,1,2,3,4,5,6,7,8,9}))+((MIN(N31,0.95*Inputs!$B$12*Inputs!$B$26)/Inputs!$B$26)^Inputs!$B$12/FACT(Inputs!$B$12)*Inputs!$B$12/(Inputs!$B$12-(MIN(N31,0.95*Inputs!$B$12*Inputs!$B$26)/Inputs!$B$26)))),0)</f>
        <v>0</v>
      </c>
      <c r="R31" s="45" t="n">
        <f aca="false">IF(N31&gt;0,Q31/(Inputs!$B$12*Inputs!$B$26-MIN(N31,0.95*Inputs!$B$12*Inputs!$B$26)),0)</f>
        <v>0</v>
      </c>
      <c r="S31" s="34" t="n">
        <f aca="false">MAX(0,S30+(N31-Inputs!$B$12*Inputs!$B$26)*10)</f>
        <v>0</v>
      </c>
      <c r="T31" s="43" t="n">
        <f aca="false">(S30+S31)/2/(Inputs!$B$12*Inputs!$B$26)+R31</f>
        <v>0</v>
      </c>
      <c r="U31" s="43" t="n">
        <f aca="false">Inputs!$B$86+T31+1/Inputs!$B$26+Inputs!$B$87+Inputs!$B$88+Inputs!$B$89</f>
        <v>28.625</v>
      </c>
      <c r="V31" s="32" t="n">
        <f aca="false">N31*U31</f>
        <v>0</v>
      </c>
      <c r="W31" s="43" t="n">
        <f aca="false">$D31*$E$26</f>
        <v>0</v>
      </c>
      <c r="X31" s="44" t="n">
        <f aca="false">W31/Inputs!$B$84</f>
        <v>0</v>
      </c>
      <c r="Y31" s="44" t="n">
        <f aca="false">W31/(Inputs!$B$11*Inputs!$B$26)</f>
        <v>0</v>
      </c>
      <c r="Z31" s="45" t="n">
        <f aca="false">IF(W31&gt;0,((MIN(W31,0.95*Inputs!$B$11*Inputs!$B$26)/Inputs!$B$26)^Inputs!$B$11/FACT(Inputs!$B$11)*Inputs!$B$11/(Inputs!$B$11-(MIN(W31,0.95*Inputs!$B$11*Inputs!$B$26)/Inputs!$B$26)))/(SUMPRODUCT(--({0,1,2,3,4,5,6,7,8,9}&lt;Inputs!$B$11),(MIN(W31,0.95*Inputs!$B$11*Inputs!$B$26)/Inputs!$B$26)^{0,1,2,3,4,5,6,7,8,9}/FACT({0,1,2,3,4,5,6,7,8,9}))+((MIN(W31,0.95*Inputs!$B$11*Inputs!$B$26)/Inputs!$B$26)^Inputs!$B$11/FACT(Inputs!$B$11)*Inputs!$B$11/(Inputs!$B$11-(MIN(W31,0.95*Inputs!$B$11*Inputs!$B$26)/Inputs!$B$26)))),0)</f>
        <v>0</v>
      </c>
      <c r="AA31" s="45" t="n">
        <f aca="false">IF(W31&gt;0,Z31/(Inputs!$B$11*Inputs!$B$26-MIN(W31,0.95*Inputs!$B$11*Inputs!$B$26)),0)</f>
        <v>0</v>
      </c>
      <c r="AB31" s="34" t="n">
        <f aca="false">MAX(0,AB30+(W31-Inputs!$B$11*Inputs!$B$26)*10)</f>
        <v>0</v>
      </c>
      <c r="AC31" s="43" t="n">
        <f aca="false">(AB30+AB31)/2/(Inputs!$B$11*Inputs!$B$26)+AA31</f>
        <v>0</v>
      </c>
      <c r="AD31" s="43" t="n">
        <f aca="false">Inputs!$B$86+AC31+1/Inputs!$B$26+Inputs!$B$87+Inputs!$B$88+Inputs!$B$89</f>
        <v>28.625</v>
      </c>
      <c r="AE31" s="32" t="n">
        <f aca="false">W31*AD31</f>
        <v>0</v>
      </c>
      <c r="AF31" s="43" t="n">
        <f aca="false">$D31*(1-$E$26)</f>
        <v>0</v>
      </c>
      <c r="AG31" s="44" t="n">
        <f aca="false">AF31/Inputs!$B$85</f>
        <v>0</v>
      </c>
      <c r="AH31" s="44" t="n">
        <f aca="false">AF31/(Inputs!$B$12*Inputs!$B$26)</f>
        <v>0</v>
      </c>
      <c r="AI31" s="45" t="n">
        <f aca="false">IF(AF31&gt;0,((MIN(AF31,0.95*Inputs!$B$12*Inputs!$B$26)/Inputs!$B$26)^Inputs!$B$12/FACT(Inputs!$B$12)*Inputs!$B$12/(Inputs!$B$12-(MIN(AF31,0.95*Inputs!$B$12*Inputs!$B$26)/Inputs!$B$26)))/(SUMPRODUCT(--({0,1,2,3,4,5,6,7,8,9}&lt;Inputs!$B$12),(MIN(AF31,0.95*Inputs!$B$12*Inputs!$B$26)/Inputs!$B$26)^{0,1,2,3,4,5,6,7,8,9}/FACT({0,1,2,3,4,5,6,7,8,9}))+((MIN(AF31,0.95*Inputs!$B$12*Inputs!$B$26)/Inputs!$B$26)^Inputs!$B$12/FACT(Inputs!$B$12)*Inputs!$B$12/(Inputs!$B$12-(MIN(AF31,0.95*Inputs!$B$12*Inputs!$B$26)/Inputs!$B$26)))),0)</f>
        <v>0</v>
      </c>
      <c r="AJ31" s="45" t="n">
        <f aca="false">IF(AF31&gt;0,AI31/(Inputs!$B$12*Inputs!$B$26-MIN(AF31,0.95*Inputs!$B$12*Inputs!$B$26)),0)</f>
        <v>0</v>
      </c>
      <c r="AK31" s="34" t="n">
        <f aca="false">MAX(0,AK30+(AF31-Inputs!$B$12*Inputs!$B$26)*10)</f>
        <v>0</v>
      </c>
      <c r="AL31" s="43" t="n">
        <f aca="false">(AK30+AK31)/2/(Inputs!$B$12*Inputs!$B$26)+AJ31</f>
        <v>0</v>
      </c>
      <c r="AM31" s="43" t="n">
        <f aca="false">Inputs!$B$86+AL31+1/Inputs!$B$26+Inputs!$B$87+Inputs!$B$88+Inputs!$B$89</f>
        <v>28.625</v>
      </c>
      <c r="AN31" s="32" t="n">
        <f aca="false">AF31*AM31</f>
        <v>0</v>
      </c>
    </row>
    <row r="32" customFormat="false" ht="15" hidden="false" customHeight="false" outlineLevel="0" collapsed="false">
      <c r="A32" s="13" t="s">
        <v>502</v>
      </c>
      <c r="B32" s="41" t="n">
        <f aca="false">'Arrival Curve'!$L$21</f>
        <v>0</v>
      </c>
      <c r="C32" s="34" t="n">
        <f aca="false">'Arrival Curve'!$K$21</f>
        <v>0</v>
      </c>
      <c r="D32" s="27" t="n">
        <f aca="false">C32/10</f>
        <v>0</v>
      </c>
      <c r="E32" s="43" t="n">
        <f aca="false">$D32*Inputs!$B$35</f>
        <v>0</v>
      </c>
      <c r="F32" s="44" t="n">
        <f aca="false">E32/Inputs!$B$84</f>
        <v>0</v>
      </c>
      <c r="G32" s="44" t="n">
        <f aca="false">E32/(Inputs!$B$11*Inputs!$B$26)</f>
        <v>0</v>
      </c>
      <c r="H32" s="45" t="n">
        <f aca="false">IF(E32&gt;0,((MIN(E32,0.95*Inputs!$B$11*Inputs!$B$26)/Inputs!$B$26)^Inputs!$B$11/FACT(Inputs!$B$11)*Inputs!$B$11/(Inputs!$B$11-(MIN(E32,0.95*Inputs!$B$11*Inputs!$B$26)/Inputs!$B$26)))/(SUMPRODUCT(--({0,1,2,3,4,5,6,7,8,9}&lt;Inputs!$B$11),(MIN(E32,0.95*Inputs!$B$11*Inputs!$B$26)/Inputs!$B$26)^{0,1,2,3,4,5,6,7,8,9}/FACT({0,1,2,3,4,5,6,7,8,9}))+((MIN(E32,0.95*Inputs!$B$11*Inputs!$B$26)/Inputs!$B$26)^Inputs!$B$11/FACT(Inputs!$B$11)*Inputs!$B$11/(Inputs!$B$11-(MIN(E32,0.95*Inputs!$B$11*Inputs!$B$26)/Inputs!$B$26)))),0)</f>
        <v>0</v>
      </c>
      <c r="I32" s="45" t="n">
        <f aca="false">IF(E32&gt;0,H32/(Inputs!$B$11*Inputs!$B$26-MIN(E32,0.95*Inputs!$B$11*Inputs!$B$26)),0)</f>
        <v>0</v>
      </c>
      <c r="J32" s="34" t="n">
        <f aca="false">MAX(0,J31+(E32-Inputs!$B$11*Inputs!$B$26)*10)</f>
        <v>0</v>
      </c>
      <c r="K32" s="43" t="n">
        <f aca="false">(J31+J32)/2/(Inputs!$B$11*Inputs!$B$26)+I32</f>
        <v>0</v>
      </c>
      <c r="L32" s="43" t="n">
        <f aca="false">Inputs!$B$86+K32+1/Inputs!$B$26+Inputs!$B$87+Inputs!$B$88+Inputs!$B$89</f>
        <v>28.625</v>
      </c>
      <c r="M32" s="32" t="n">
        <f aca="false">E32*L32</f>
        <v>0</v>
      </c>
      <c r="N32" s="43" t="n">
        <f aca="false">$D32*(1-Inputs!$B$35)</f>
        <v>0</v>
      </c>
      <c r="O32" s="44" t="n">
        <f aca="false">N32/Inputs!$B$85</f>
        <v>0</v>
      </c>
      <c r="P32" s="44" t="n">
        <f aca="false">N32/(Inputs!$B$12*Inputs!$B$26)</f>
        <v>0</v>
      </c>
      <c r="Q32" s="45" t="n">
        <f aca="false">IF(N32&gt;0,((MIN(N32,0.95*Inputs!$B$12*Inputs!$B$26)/Inputs!$B$26)^Inputs!$B$12/FACT(Inputs!$B$12)*Inputs!$B$12/(Inputs!$B$12-(MIN(N32,0.95*Inputs!$B$12*Inputs!$B$26)/Inputs!$B$26)))/(SUMPRODUCT(--({0,1,2,3,4,5,6,7,8,9}&lt;Inputs!$B$12),(MIN(N32,0.95*Inputs!$B$12*Inputs!$B$26)/Inputs!$B$26)^{0,1,2,3,4,5,6,7,8,9}/FACT({0,1,2,3,4,5,6,7,8,9}))+((MIN(N32,0.95*Inputs!$B$12*Inputs!$B$26)/Inputs!$B$26)^Inputs!$B$12/FACT(Inputs!$B$12)*Inputs!$B$12/(Inputs!$B$12-(MIN(N32,0.95*Inputs!$B$12*Inputs!$B$26)/Inputs!$B$26)))),0)</f>
        <v>0</v>
      </c>
      <c r="R32" s="45" t="n">
        <f aca="false">IF(N32&gt;0,Q32/(Inputs!$B$12*Inputs!$B$26-MIN(N32,0.95*Inputs!$B$12*Inputs!$B$26)),0)</f>
        <v>0</v>
      </c>
      <c r="S32" s="34" t="n">
        <f aca="false">MAX(0,S31+(N32-Inputs!$B$12*Inputs!$B$26)*10)</f>
        <v>0</v>
      </c>
      <c r="T32" s="43" t="n">
        <f aca="false">(S31+S32)/2/(Inputs!$B$12*Inputs!$B$26)+R32</f>
        <v>0</v>
      </c>
      <c r="U32" s="43" t="n">
        <f aca="false">Inputs!$B$86+T32+1/Inputs!$B$26+Inputs!$B$87+Inputs!$B$88+Inputs!$B$89</f>
        <v>28.625</v>
      </c>
      <c r="V32" s="32" t="n">
        <f aca="false">N32*U32</f>
        <v>0</v>
      </c>
      <c r="W32" s="43" t="n">
        <f aca="false">$D32*$E$26</f>
        <v>0</v>
      </c>
      <c r="X32" s="44" t="n">
        <f aca="false">W32/Inputs!$B$84</f>
        <v>0</v>
      </c>
      <c r="Y32" s="44" t="n">
        <f aca="false">W32/(Inputs!$B$11*Inputs!$B$26)</f>
        <v>0</v>
      </c>
      <c r="Z32" s="45" t="n">
        <f aca="false">IF(W32&gt;0,((MIN(W32,0.95*Inputs!$B$11*Inputs!$B$26)/Inputs!$B$26)^Inputs!$B$11/FACT(Inputs!$B$11)*Inputs!$B$11/(Inputs!$B$11-(MIN(W32,0.95*Inputs!$B$11*Inputs!$B$26)/Inputs!$B$26)))/(SUMPRODUCT(--({0,1,2,3,4,5,6,7,8,9}&lt;Inputs!$B$11),(MIN(W32,0.95*Inputs!$B$11*Inputs!$B$26)/Inputs!$B$26)^{0,1,2,3,4,5,6,7,8,9}/FACT({0,1,2,3,4,5,6,7,8,9}))+((MIN(W32,0.95*Inputs!$B$11*Inputs!$B$26)/Inputs!$B$26)^Inputs!$B$11/FACT(Inputs!$B$11)*Inputs!$B$11/(Inputs!$B$11-(MIN(W32,0.95*Inputs!$B$11*Inputs!$B$26)/Inputs!$B$26)))),0)</f>
        <v>0</v>
      </c>
      <c r="AA32" s="45" t="n">
        <f aca="false">IF(W32&gt;0,Z32/(Inputs!$B$11*Inputs!$B$26-MIN(W32,0.95*Inputs!$B$11*Inputs!$B$26)),0)</f>
        <v>0</v>
      </c>
      <c r="AB32" s="34" t="n">
        <f aca="false">MAX(0,AB31+(W32-Inputs!$B$11*Inputs!$B$26)*10)</f>
        <v>0</v>
      </c>
      <c r="AC32" s="43" t="n">
        <f aca="false">(AB31+AB32)/2/(Inputs!$B$11*Inputs!$B$26)+AA32</f>
        <v>0</v>
      </c>
      <c r="AD32" s="43" t="n">
        <f aca="false">Inputs!$B$86+AC32+1/Inputs!$B$26+Inputs!$B$87+Inputs!$B$88+Inputs!$B$89</f>
        <v>28.625</v>
      </c>
      <c r="AE32" s="32" t="n">
        <f aca="false">W32*AD32</f>
        <v>0</v>
      </c>
      <c r="AF32" s="43" t="n">
        <f aca="false">$D32*(1-$E$26)</f>
        <v>0</v>
      </c>
      <c r="AG32" s="44" t="n">
        <f aca="false">AF32/Inputs!$B$85</f>
        <v>0</v>
      </c>
      <c r="AH32" s="44" t="n">
        <f aca="false">AF32/(Inputs!$B$12*Inputs!$B$26)</f>
        <v>0</v>
      </c>
      <c r="AI32" s="45" t="n">
        <f aca="false">IF(AF32&gt;0,((MIN(AF32,0.95*Inputs!$B$12*Inputs!$B$26)/Inputs!$B$26)^Inputs!$B$12/FACT(Inputs!$B$12)*Inputs!$B$12/(Inputs!$B$12-(MIN(AF32,0.95*Inputs!$B$12*Inputs!$B$26)/Inputs!$B$26)))/(SUMPRODUCT(--({0,1,2,3,4,5,6,7,8,9}&lt;Inputs!$B$12),(MIN(AF32,0.95*Inputs!$B$12*Inputs!$B$26)/Inputs!$B$26)^{0,1,2,3,4,5,6,7,8,9}/FACT({0,1,2,3,4,5,6,7,8,9}))+((MIN(AF32,0.95*Inputs!$B$12*Inputs!$B$26)/Inputs!$B$26)^Inputs!$B$12/FACT(Inputs!$B$12)*Inputs!$B$12/(Inputs!$B$12-(MIN(AF32,0.95*Inputs!$B$12*Inputs!$B$26)/Inputs!$B$26)))),0)</f>
        <v>0</v>
      </c>
      <c r="AJ32" s="45" t="n">
        <f aca="false">IF(AF32&gt;0,AI32/(Inputs!$B$12*Inputs!$B$26-MIN(AF32,0.95*Inputs!$B$12*Inputs!$B$26)),0)</f>
        <v>0</v>
      </c>
      <c r="AK32" s="34" t="n">
        <f aca="false">MAX(0,AK31+(AF32-Inputs!$B$12*Inputs!$B$26)*10)</f>
        <v>0</v>
      </c>
      <c r="AL32" s="43" t="n">
        <f aca="false">(AK31+AK32)/2/(Inputs!$B$12*Inputs!$B$26)+AJ32</f>
        <v>0</v>
      </c>
      <c r="AM32" s="43" t="n">
        <f aca="false">Inputs!$B$86+AL32+1/Inputs!$B$26+Inputs!$B$87+Inputs!$B$88+Inputs!$B$89</f>
        <v>28.625</v>
      </c>
      <c r="AN32" s="32" t="n">
        <f aca="false">AF32*AM32</f>
        <v>0</v>
      </c>
    </row>
    <row r="33" customFormat="false" ht="15" hidden="false" customHeight="false" outlineLevel="0" collapsed="false">
      <c r="A33" s="13" t="s">
        <v>503</v>
      </c>
      <c r="B33" s="41" t="n">
        <f aca="false">'Arrival Curve'!$L$22</f>
        <v>0.061322990795244</v>
      </c>
      <c r="C33" s="34" t="n">
        <f aca="false">'Arrival Curve'!$K$22</f>
        <v>181.516052753922</v>
      </c>
      <c r="D33" s="27" t="n">
        <f aca="false">C33/10</f>
        <v>18.1516052753922</v>
      </c>
      <c r="E33" s="43" t="n">
        <f aca="false">$D33*Inputs!$B$35</f>
        <v>14.4668294044876</v>
      </c>
      <c r="F33" s="44" t="n">
        <f aca="false">E33/Inputs!$B$84</f>
        <v>0.482227646816253</v>
      </c>
      <c r="G33" s="44" t="n">
        <f aca="false">E33/(Inputs!$B$11*Inputs!$B$26)</f>
        <v>0.72334147022438</v>
      </c>
      <c r="H33" s="45" t="n">
        <f aca="false">IF(E33&gt;0,((MIN(E33,0.95*Inputs!$B$11*Inputs!$B$26)/Inputs!$B$26)^Inputs!$B$11/FACT(Inputs!$B$11)*Inputs!$B$11/(Inputs!$B$11-(MIN(E33,0.95*Inputs!$B$11*Inputs!$B$26)/Inputs!$B$26)))/(SUMPRODUCT(--({0,1,2,3,4,5,6,7,8,9}&lt;Inputs!$B$11),(MIN(E33,0.95*Inputs!$B$11*Inputs!$B$26)/Inputs!$B$26)^{0,1,2,3,4,5,6,7,8,9}/FACT({0,1,2,3,4,5,6,7,8,9}))+((MIN(E33,0.95*Inputs!$B$11*Inputs!$B$26)/Inputs!$B$26)^Inputs!$B$11/FACT(Inputs!$B$11)*Inputs!$B$11/(Inputs!$B$11-(MIN(E33,0.95*Inputs!$B$11*Inputs!$B$26)/Inputs!$B$26)))),0)</f>
        <v>0.607219046934725</v>
      </c>
      <c r="I33" s="45" t="n">
        <f aca="false">IF(E33&gt;0,H33/(Inputs!$B$11*Inputs!$B$26-MIN(E33,0.95*Inputs!$B$11*Inputs!$B$26)),0)</f>
        <v>0.109741609526227</v>
      </c>
      <c r="J33" s="34" t="n">
        <f aca="false">MAX(0,J32+(E33-Inputs!$B$11*Inputs!$B$26)*10)</f>
        <v>0</v>
      </c>
      <c r="K33" s="43" t="n">
        <f aca="false">(J32+J33)/2/(Inputs!$B$11*Inputs!$B$26)+I33</f>
        <v>0.109741609526227</v>
      </c>
      <c r="L33" s="43" t="n">
        <f aca="false">Inputs!$B$86+K33+1/Inputs!$B$26+Inputs!$B$87+Inputs!$B$88+Inputs!$B$89</f>
        <v>28.7347416095262</v>
      </c>
      <c r="M33" s="32" t="n">
        <f aca="false">E33*L33</f>
        <v>415.700604847047</v>
      </c>
      <c r="N33" s="43" t="n">
        <f aca="false">$D33*(1-Inputs!$B$35)</f>
        <v>3.68477587090462</v>
      </c>
      <c r="O33" s="44" t="n">
        <f aca="false">N33/Inputs!$B$85</f>
        <v>0.122825862363487</v>
      </c>
      <c r="P33" s="44" t="n">
        <f aca="false">N33/(Inputs!$B$12*Inputs!$B$26)</f>
        <v>0.184238793545231</v>
      </c>
      <c r="Q33" s="45" t="n">
        <f aca="false">IF(N33&gt;0,((MIN(N33,0.95*Inputs!$B$12*Inputs!$B$26)/Inputs!$B$26)^Inputs!$B$12/FACT(Inputs!$B$12)*Inputs!$B$12/(Inputs!$B$12-(MIN(N33,0.95*Inputs!$B$12*Inputs!$B$26)/Inputs!$B$26)))/(SUMPRODUCT(--({0,1,2,3,4,5,6,7,8,9}&lt;Inputs!$B$12),(MIN(N33,0.95*Inputs!$B$12*Inputs!$B$26)/Inputs!$B$26)^{0,1,2,3,4,5,6,7,8,9}/FACT({0,1,2,3,4,5,6,7,8,9}))+((MIN(N33,0.95*Inputs!$B$12*Inputs!$B$26)/Inputs!$B$26)^Inputs!$B$12/FACT(Inputs!$B$12)*Inputs!$B$12/(Inputs!$B$12-(MIN(N33,0.95*Inputs!$B$12*Inputs!$B$26)/Inputs!$B$26)))),0)</f>
        <v>0.0573261629867487</v>
      </c>
      <c r="R33" s="45" t="n">
        <f aca="false">IF(N33&gt;0,Q33/(Inputs!$B$12*Inputs!$B$26-MIN(N33,0.95*Inputs!$B$12*Inputs!$B$26)),0)</f>
        <v>0.00351366077064901</v>
      </c>
      <c r="S33" s="34" t="n">
        <f aca="false">MAX(0,S32+(N33-Inputs!$B$12*Inputs!$B$26)*10)</f>
        <v>0</v>
      </c>
      <c r="T33" s="43" t="n">
        <f aca="false">(S32+S33)/2/(Inputs!$B$12*Inputs!$B$26)+R33</f>
        <v>0.00351366077064901</v>
      </c>
      <c r="U33" s="43" t="n">
        <f aca="false">Inputs!$B$86+T33+1/Inputs!$B$26+Inputs!$B$87+Inputs!$B$88+Inputs!$B$89</f>
        <v>28.6285136607707</v>
      </c>
      <c r="V33" s="32" t="n">
        <f aca="false">N33*U33</f>
        <v>105.489656357071</v>
      </c>
      <c r="W33" s="43" t="n">
        <f aca="false">$D33*$E$26</f>
        <v>11.2322133444127</v>
      </c>
      <c r="X33" s="44" t="n">
        <f aca="false">W33/Inputs!$B$84</f>
        <v>0.374407111480424</v>
      </c>
      <c r="Y33" s="44" t="n">
        <f aca="false">W33/(Inputs!$B$11*Inputs!$B$26)</f>
        <v>0.561610667220635</v>
      </c>
      <c r="Z33" s="45" t="n">
        <f aca="false">IF(W33&gt;0,((MIN(W33,0.95*Inputs!$B$11*Inputs!$B$26)/Inputs!$B$26)^Inputs!$B$11/FACT(Inputs!$B$11)*Inputs!$B$11/(Inputs!$B$11-(MIN(W33,0.95*Inputs!$B$11*Inputs!$B$26)/Inputs!$B$26)))/(SUMPRODUCT(--({0,1,2,3,4,5,6,7,8,9}&lt;Inputs!$B$11),(MIN(W33,0.95*Inputs!$B$11*Inputs!$B$26)/Inputs!$B$26)^{0,1,2,3,4,5,6,7,8,9}/FACT({0,1,2,3,4,5,6,7,8,9}))+((MIN(W33,0.95*Inputs!$B$11*Inputs!$B$26)/Inputs!$B$26)^Inputs!$B$11/FACT(Inputs!$B$11)*Inputs!$B$11/(Inputs!$B$11-(MIN(W33,0.95*Inputs!$B$11*Inputs!$B$26)/Inputs!$B$26)))),0)</f>
        <v>0.403950290756364</v>
      </c>
      <c r="AA33" s="45" t="n">
        <f aca="false">IF(W33&gt;0,Z33/(Inputs!$B$11*Inputs!$B$26-MIN(W33,0.95*Inputs!$B$11*Inputs!$B$26)),0)</f>
        <v>0.0460720939758434</v>
      </c>
      <c r="AB33" s="34" t="n">
        <f aca="false">MAX(0,AB32+(W33-Inputs!$B$11*Inputs!$B$26)*10)</f>
        <v>0</v>
      </c>
      <c r="AC33" s="43" t="n">
        <f aca="false">(AB32+AB33)/2/(Inputs!$B$11*Inputs!$B$26)+AA33</f>
        <v>0.0460720939758434</v>
      </c>
      <c r="AD33" s="43" t="n">
        <f aca="false">Inputs!$B$86+AC33+1/Inputs!$B$26+Inputs!$B$87+Inputs!$B$88+Inputs!$B$89</f>
        <v>28.6710720939758</v>
      </c>
      <c r="AE33" s="32" t="n">
        <f aca="false">W33*AD33</f>
        <v>322.039598572574</v>
      </c>
      <c r="AF33" s="43" t="n">
        <f aca="false">$D33*(1-$E$26)</f>
        <v>6.91939193097951</v>
      </c>
      <c r="AG33" s="44" t="n">
        <f aca="false">AF33/Inputs!$B$85</f>
        <v>0.230646397699317</v>
      </c>
      <c r="AH33" s="44" t="n">
        <f aca="false">AF33/(Inputs!$B$12*Inputs!$B$26)</f>
        <v>0.345969596548976</v>
      </c>
      <c r="AI33" s="45" t="n">
        <f aca="false">IF(AF33&gt;0,((MIN(AF33,0.95*Inputs!$B$12*Inputs!$B$26)/Inputs!$B$26)^Inputs!$B$12/FACT(Inputs!$B$12)*Inputs!$B$12/(Inputs!$B$12-(MIN(AF33,0.95*Inputs!$B$12*Inputs!$B$26)/Inputs!$B$26)))/(SUMPRODUCT(--({0,1,2,3,4,5,6,7,8,9}&lt;Inputs!$B$12),(MIN(AF33,0.95*Inputs!$B$12*Inputs!$B$26)/Inputs!$B$26)^{0,1,2,3,4,5,6,7,8,9}/FACT({0,1,2,3,4,5,6,7,8,9}))+((MIN(AF33,0.95*Inputs!$B$12*Inputs!$B$26)/Inputs!$B$26)^Inputs!$B$12/FACT(Inputs!$B$12)*Inputs!$B$12/(Inputs!$B$12-(MIN(AF33,0.95*Inputs!$B$12*Inputs!$B$26)/Inputs!$B$26)))),0)</f>
        <v>0.177856858049625</v>
      </c>
      <c r="AJ33" s="45" t="n">
        <f aca="false">IF(AF33&gt;0,AI33/(Inputs!$B$12*Inputs!$B$26-MIN(AF33,0.95*Inputs!$B$12*Inputs!$B$26)),0)</f>
        <v>0.0135969870139946</v>
      </c>
      <c r="AK33" s="34" t="n">
        <f aca="false">MAX(0,AK32+(AF33-Inputs!$B$12*Inputs!$B$26)*10)</f>
        <v>0</v>
      </c>
      <c r="AL33" s="43" t="n">
        <f aca="false">(AK32+AK33)/2/(Inputs!$B$12*Inputs!$B$26)+AJ33</f>
        <v>0.0135969870139946</v>
      </c>
      <c r="AM33" s="43" t="n">
        <f aca="false">Inputs!$B$86+AL33+1/Inputs!$B$26+Inputs!$B$87+Inputs!$B$88+Inputs!$B$89</f>
        <v>28.638596987014</v>
      </c>
      <c r="AN33" s="32" t="n">
        <f aca="false">AF33*AM33</f>
        <v>198.161676906519</v>
      </c>
    </row>
    <row r="34" customFormat="false" ht="15" hidden="false" customHeight="false" outlineLevel="0" collapsed="false">
      <c r="A34" s="13" t="s">
        <v>504</v>
      </c>
      <c r="B34" s="41" t="n">
        <f aca="false">'Arrival Curve'!$L$23</f>
        <v>0.0783351465881148</v>
      </c>
      <c r="C34" s="34" t="n">
        <f aca="false">'Arrival Curve'!$K$23</f>
        <v>231.87203390082</v>
      </c>
      <c r="D34" s="27" t="n">
        <f aca="false">C34/10</f>
        <v>23.187203390082</v>
      </c>
      <c r="E34" s="43" t="n">
        <f aca="false">$D34*Inputs!$B$35</f>
        <v>18.4802011018953</v>
      </c>
      <c r="F34" s="44" t="n">
        <f aca="false">E34/Inputs!$B$84</f>
        <v>0.616006703396511</v>
      </c>
      <c r="G34" s="44" t="n">
        <f aca="false">E34/(Inputs!$B$11*Inputs!$B$26)</f>
        <v>0.924010055094767</v>
      </c>
      <c r="H34" s="45" t="n">
        <f aca="false">IF(E34&gt;0,((MIN(E34,0.95*Inputs!$B$11*Inputs!$B$26)/Inputs!$B$26)^Inputs!$B$11/FACT(Inputs!$B$11)*Inputs!$B$11/(Inputs!$B$11-(MIN(E34,0.95*Inputs!$B$11*Inputs!$B$26)/Inputs!$B$26)))/(SUMPRODUCT(--({0,1,2,3,4,5,6,7,8,9}&lt;Inputs!$B$11),(MIN(E34,0.95*Inputs!$B$11*Inputs!$B$26)/Inputs!$B$26)^{0,1,2,3,4,5,6,7,8,9}/FACT({0,1,2,3,4,5,6,7,8,9}))+((MIN(E34,0.95*Inputs!$B$11*Inputs!$B$26)/Inputs!$B$26)^Inputs!$B$11/FACT(Inputs!$B$11)*Inputs!$B$11/(Inputs!$B$11-(MIN(E34,0.95*Inputs!$B$11*Inputs!$B$26)/Inputs!$B$26)))),0)</f>
        <v>0.887515717140242</v>
      </c>
      <c r="I34" s="45" t="n">
        <f aca="false">IF(E34&gt;0,H34/(Inputs!$B$11*Inputs!$B$26-MIN(E34,0.95*Inputs!$B$11*Inputs!$B$26)),0)</f>
        <v>0.58396918055873</v>
      </c>
      <c r="J34" s="34" t="n">
        <f aca="false">MAX(0,J33+(E34-Inputs!$B$11*Inputs!$B$26)*10)</f>
        <v>0</v>
      </c>
      <c r="K34" s="43" t="n">
        <f aca="false">(J33+J34)/2/(Inputs!$B$11*Inputs!$B$26)+I34</f>
        <v>0.58396918055873</v>
      </c>
      <c r="L34" s="43" t="n">
        <f aca="false">Inputs!$B$86+K34+1/Inputs!$B$26+Inputs!$B$87+Inputs!$B$88+Inputs!$B$89</f>
        <v>29.2089691805587</v>
      </c>
      <c r="M34" s="32" t="n">
        <f aca="false">E34*L34</f>
        <v>539.787624435788</v>
      </c>
      <c r="N34" s="43" t="n">
        <f aca="false">$D34*(1-Inputs!$B$35)</f>
        <v>4.70700228818664</v>
      </c>
      <c r="O34" s="44" t="n">
        <f aca="false">N34/Inputs!$B$85</f>
        <v>0.156900076272888</v>
      </c>
      <c r="P34" s="44" t="n">
        <f aca="false">N34/(Inputs!$B$12*Inputs!$B$26)</f>
        <v>0.235350114409332</v>
      </c>
      <c r="Q34" s="45" t="n">
        <f aca="false">IF(N34&gt;0,((MIN(N34,0.95*Inputs!$B$12*Inputs!$B$26)/Inputs!$B$26)^Inputs!$B$12/FACT(Inputs!$B$12)*Inputs!$B$12/(Inputs!$B$12-(MIN(N34,0.95*Inputs!$B$12*Inputs!$B$26)/Inputs!$B$26)))/(SUMPRODUCT(--({0,1,2,3,4,5,6,7,8,9}&lt;Inputs!$B$12),(MIN(N34,0.95*Inputs!$B$12*Inputs!$B$26)/Inputs!$B$26)^{0,1,2,3,4,5,6,7,8,9}/FACT({0,1,2,3,4,5,6,7,8,9}))+((MIN(N34,0.95*Inputs!$B$12*Inputs!$B$26)/Inputs!$B$26)^Inputs!$B$12/FACT(Inputs!$B$12)*Inputs!$B$12/(Inputs!$B$12-(MIN(N34,0.95*Inputs!$B$12*Inputs!$B$26)/Inputs!$B$26)))),0)</f>
        <v>0.0896744586112247</v>
      </c>
      <c r="R34" s="45" t="n">
        <f aca="false">IF(N34&gt;0,Q34/(Inputs!$B$12*Inputs!$B$26-MIN(N34,0.95*Inputs!$B$12*Inputs!$B$26)),0)</f>
        <v>0.00586375936890084</v>
      </c>
      <c r="S34" s="34" t="n">
        <f aca="false">MAX(0,S33+(N34-Inputs!$B$12*Inputs!$B$26)*10)</f>
        <v>0</v>
      </c>
      <c r="T34" s="43" t="n">
        <f aca="false">(S33+S34)/2/(Inputs!$B$12*Inputs!$B$26)+R34</f>
        <v>0.00586375936890084</v>
      </c>
      <c r="U34" s="43" t="n">
        <f aca="false">Inputs!$B$86+T34+1/Inputs!$B$26+Inputs!$B$87+Inputs!$B$88+Inputs!$B$89</f>
        <v>28.6308637593689</v>
      </c>
      <c r="V34" s="32" t="n">
        <f aca="false">N34*U34</f>
        <v>134.765541228109</v>
      </c>
      <c r="W34" s="43" t="n">
        <f aca="false">$D34*$E$26</f>
        <v>14.3482414577827</v>
      </c>
      <c r="X34" s="44" t="n">
        <f aca="false">W34/Inputs!$B$84</f>
        <v>0.478274715259424</v>
      </c>
      <c r="Y34" s="44" t="n">
        <f aca="false">W34/(Inputs!$B$11*Inputs!$B$26)</f>
        <v>0.717412072889136</v>
      </c>
      <c r="Z34" s="45" t="n">
        <f aca="false">IF(W34&gt;0,((MIN(W34,0.95*Inputs!$B$11*Inputs!$B$26)/Inputs!$B$26)^Inputs!$B$11/FACT(Inputs!$B$11)*Inputs!$B$11/(Inputs!$B$11-(MIN(W34,0.95*Inputs!$B$11*Inputs!$B$26)/Inputs!$B$26)))/(SUMPRODUCT(--({0,1,2,3,4,5,6,7,8,9}&lt;Inputs!$B$11),(MIN(W34,0.95*Inputs!$B$11*Inputs!$B$26)/Inputs!$B$26)^{0,1,2,3,4,5,6,7,8,9}/FACT({0,1,2,3,4,5,6,7,8,9}))+((MIN(W34,0.95*Inputs!$B$11*Inputs!$B$26)/Inputs!$B$26)^Inputs!$B$11/FACT(Inputs!$B$11)*Inputs!$B$11/(Inputs!$B$11-(MIN(W34,0.95*Inputs!$B$11*Inputs!$B$26)/Inputs!$B$26)))),0)</f>
        <v>0.599367024899576</v>
      </c>
      <c r="AA34" s="45" t="n">
        <f aca="false">IF(W34&gt;0,Z34/(Inputs!$B$11*Inputs!$B$26-MIN(W34,0.95*Inputs!$B$11*Inputs!$B$26)),0)</f>
        <v>0.106049651700873</v>
      </c>
      <c r="AB34" s="34" t="n">
        <f aca="false">MAX(0,AB33+(W34-Inputs!$B$11*Inputs!$B$26)*10)</f>
        <v>0</v>
      </c>
      <c r="AC34" s="43" t="n">
        <f aca="false">(AB33+AB34)/2/(Inputs!$B$11*Inputs!$B$26)+AA34</f>
        <v>0.106049651700873</v>
      </c>
      <c r="AD34" s="43" t="n">
        <f aca="false">Inputs!$B$86+AC34+1/Inputs!$B$26+Inputs!$B$87+Inputs!$B$88+Inputs!$B$89</f>
        <v>28.7310496517009</v>
      </c>
      <c r="AE34" s="32" t="n">
        <f aca="false">W34*AD34</f>
        <v>412.240037738148</v>
      </c>
      <c r="AF34" s="43" t="n">
        <f aca="false">$D34*(1-$E$26)</f>
        <v>8.83896193229925</v>
      </c>
      <c r="AG34" s="44" t="n">
        <f aca="false">AF34/Inputs!$B$85</f>
        <v>0.294632064409975</v>
      </c>
      <c r="AH34" s="44" t="n">
        <f aca="false">AF34/(Inputs!$B$12*Inputs!$B$26)</f>
        <v>0.441948096614962</v>
      </c>
      <c r="AI34" s="45" t="n">
        <f aca="false">IF(AF34&gt;0,((MIN(AF34,0.95*Inputs!$B$12*Inputs!$B$26)/Inputs!$B$26)^Inputs!$B$12/FACT(Inputs!$B$12)*Inputs!$B$12/(Inputs!$B$12-(MIN(AF34,0.95*Inputs!$B$12*Inputs!$B$26)/Inputs!$B$26)))/(SUMPRODUCT(--({0,1,2,3,4,5,6,7,8,9}&lt;Inputs!$B$12),(MIN(AF34,0.95*Inputs!$B$12*Inputs!$B$26)/Inputs!$B$26)^{0,1,2,3,4,5,6,7,8,9}/FACT({0,1,2,3,4,5,6,7,8,9}))+((MIN(AF34,0.95*Inputs!$B$12*Inputs!$B$26)/Inputs!$B$26)^Inputs!$B$12/FACT(Inputs!$B$12)*Inputs!$B$12/(Inputs!$B$12-(MIN(AF34,0.95*Inputs!$B$12*Inputs!$B$26)/Inputs!$B$26)))),0)</f>
        <v>0.270908669403713</v>
      </c>
      <c r="AJ34" s="45" t="n">
        <f aca="false">IF(AF34&gt;0,AI34/(Inputs!$B$12*Inputs!$B$26-MIN(AF34,0.95*Inputs!$B$12*Inputs!$B$26)),0)</f>
        <v>0.0242727126061601</v>
      </c>
      <c r="AK34" s="34" t="n">
        <f aca="false">MAX(0,AK33+(AF34-Inputs!$B$12*Inputs!$B$26)*10)</f>
        <v>0</v>
      </c>
      <c r="AL34" s="43" t="n">
        <f aca="false">(AK33+AK34)/2/(Inputs!$B$12*Inputs!$B$26)+AJ34</f>
        <v>0.0242727126061601</v>
      </c>
      <c r="AM34" s="43" t="n">
        <f aca="false">Inputs!$B$86+AL34+1/Inputs!$B$26+Inputs!$B$87+Inputs!$B$88+Inputs!$B$89</f>
        <v>28.6492727126062</v>
      </c>
      <c r="AN34" s="32" t="n">
        <f aca="false">AF34*AM34</f>
        <v>253.229830894785</v>
      </c>
    </row>
    <row r="35" customFormat="false" ht="15" hidden="false" customHeight="false" outlineLevel="0" collapsed="false">
      <c r="A35" s="13" t="s">
        <v>505</v>
      </c>
      <c r="B35" s="41" t="n">
        <f aca="false">'Arrival Curve'!$L$24</f>
        <v>0.0783351465881148</v>
      </c>
      <c r="C35" s="34" t="n">
        <f aca="false">'Arrival Curve'!$K$24</f>
        <v>231.87203390082</v>
      </c>
      <c r="D35" s="27" t="n">
        <f aca="false">C35/10</f>
        <v>23.187203390082</v>
      </c>
      <c r="E35" s="43" t="n">
        <f aca="false">$D35*Inputs!$B$35</f>
        <v>18.4802011018953</v>
      </c>
      <c r="F35" s="44" t="n">
        <f aca="false">E35/Inputs!$B$84</f>
        <v>0.616006703396511</v>
      </c>
      <c r="G35" s="44" t="n">
        <f aca="false">E35/(Inputs!$B$11*Inputs!$B$26)</f>
        <v>0.924010055094767</v>
      </c>
      <c r="H35" s="45" t="n">
        <f aca="false">IF(E35&gt;0,((MIN(E35,0.95*Inputs!$B$11*Inputs!$B$26)/Inputs!$B$26)^Inputs!$B$11/FACT(Inputs!$B$11)*Inputs!$B$11/(Inputs!$B$11-(MIN(E35,0.95*Inputs!$B$11*Inputs!$B$26)/Inputs!$B$26)))/(SUMPRODUCT(--({0,1,2,3,4,5,6,7,8,9}&lt;Inputs!$B$11),(MIN(E35,0.95*Inputs!$B$11*Inputs!$B$26)/Inputs!$B$26)^{0,1,2,3,4,5,6,7,8,9}/FACT({0,1,2,3,4,5,6,7,8,9}))+((MIN(E35,0.95*Inputs!$B$11*Inputs!$B$26)/Inputs!$B$26)^Inputs!$B$11/FACT(Inputs!$B$11)*Inputs!$B$11/(Inputs!$B$11-(MIN(E35,0.95*Inputs!$B$11*Inputs!$B$26)/Inputs!$B$26)))),0)</f>
        <v>0.887515717140242</v>
      </c>
      <c r="I35" s="45" t="n">
        <f aca="false">IF(E35&gt;0,H35/(Inputs!$B$11*Inputs!$B$26-MIN(E35,0.95*Inputs!$B$11*Inputs!$B$26)),0)</f>
        <v>0.58396918055873</v>
      </c>
      <c r="J35" s="34" t="n">
        <f aca="false">MAX(0,J34+(E35-Inputs!$B$11*Inputs!$B$26)*10)</f>
        <v>0</v>
      </c>
      <c r="K35" s="43" t="n">
        <f aca="false">(J34+J35)/2/(Inputs!$B$11*Inputs!$B$26)+I35</f>
        <v>0.58396918055873</v>
      </c>
      <c r="L35" s="43" t="n">
        <f aca="false">Inputs!$B$86+K35+1/Inputs!$B$26+Inputs!$B$87+Inputs!$B$88+Inputs!$B$89</f>
        <v>29.2089691805587</v>
      </c>
      <c r="M35" s="32" t="n">
        <f aca="false">E35*L35</f>
        <v>539.787624435788</v>
      </c>
      <c r="N35" s="43" t="n">
        <f aca="false">$D35*(1-Inputs!$B$35)</f>
        <v>4.70700228818664</v>
      </c>
      <c r="O35" s="44" t="n">
        <f aca="false">N35/Inputs!$B$85</f>
        <v>0.156900076272888</v>
      </c>
      <c r="P35" s="44" t="n">
        <f aca="false">N35/(Inputs!$B$12*Inputs!$B$26)</f>
        <v>0.235350114409332</v>
      </c>
      <c r="Q35" s="45" t="n">
        <f aca="false">IF(N35&gt;0,((MIN(N35,0.95*Inputs!$B$12*Inputs!$B$26)/Inputs!$B$26)^Inputs!$B$12/FACT(Inputs!$B$12)*Inputs!$B$12/(Inputs!$B$12-(MIN(N35,0.95*Inputs!$B$12*Inputs!$B$26)/Inputs!$B$26)))/(SUMPRODUCT(--({0,1,2,3,4,5,6,7,8,9}&lt;Inputs!$B$12),(MIN(N35,0.95*Inputs!$B$12*Inputs!$B$26)/Inputs!$B$26)^{0,1,2,3,4,5,6,7,8,9}/FACT({0,1,2,3,4,5,6,7,8,9}))+((MIN(N35,0.95*Inputs!$B$12*Inputs!$B$26)/Inputs!$B$26)^Inputs!$B$12/FACT(Inputs!$B$12)*Inputs!$B$12/(Inputs!$B$12-(MIN(N35,0.95*Inputs!$B$12*Inputs!$B$26)/Inputs!$B$26)))),0)</f>
        <v>0.0896744586112247</v>
      </c>
      <c r="R35" s="45" t="n">
        <f aca="false">IF(N35&gt;0,Q35/(Inputs!$B$12*Inputs!$B$26-MIN(N35,0.95*Inputs!$B$12*Inputs!$B$26)),0)</f>
        <v>0.00586375936890084</v>
      </c>
      <c r="S35" s="34" t="n">
        <f aca="false">MAX(0,S34+(N35-Inputs!$B$12*Inputs!$B$26)*10)</f>
        <v>0</v>
      </c>
      <c r="T35" s="43" t="n">
        <f aca="false">(S34+S35)/2/(Inputs!$B$12*Inputs!$B$26)+R35</f>
        <v>0.00586375936890084</v>
      </c>
      <c r="U35" s="43" t="n">
        <f aca="false">Inputs!$B$86+T35+1/Inputs!$B$26+Inputs!$B$87+Inputs!$B$88+Inputs!$B$89</f>
        <v>28.6308637593689</v>
      </c>
      <c r="V35" s="32" t="n">
        <f aca="false">N35*U35</f>
        <v>134.765541228109</v>
      </c>
      <c r="W35" s="43" t="n">
        <f aca="false">$D35*$E$26</f>
        <v>14.3482414577827</v>
      </c>
      <c r="X35" s="44" t="n">
        <f aca="false">W35/Inputs!$B$84</f>
        <v>0.478274715259424</v>
      </c>
      <c r="Y35" s="44" t="n">
        <f aca="false">W35/(Inputs!$B$11*Inputs!$B$26)</f>
        <v>0.717412072889136</v>
      </c>
      <c r="Z35" s="45" t="n">
        <f aca="false">IF(W35&gt;0,((MIN(W35,0.95*Inputs!$B$11*Inputs!$B$26)/Inputs!$B$26)^Inputs!$B$11/FACT(Inputs!$B$11)*Inputs!$B$11/(Inputs!$B$11-(MIN(W35,0.95*Inputs!$B$11*Inputs!$B$26)/Inputs!$B$26)))/(SUMPRODUCT(--({0,1,2,3,4,5,6,7,8,9}&lt;Inputs!$B$11),(MIN(W35,0.95*Inputs!$B$11*Inputs!$B$26)/Inputs!$B$26)^{0,1,2,3,4,5,6,7,8,9}/FACT({0,1,2,3,4,5,6,7,8,9}))+((MIN(W35,0.95*Inputs!$B$11*Inputs!$B$26)/Inputs!$B$26)^Inputs!$B$11/FACT(Inputs!$B$11)*Inputs!$B$11/(Inputs!$B$11-(MIN(W35,0.95*Inputs!$B$11*Inputs!$B$26)/Inputs!$B$26)))),0)</f>
        <v>0.599367024899576</v>
      </c>
      <c r="AA35" s="45" t="n">
        <f aca="false">IF(W35&gt;0,Z35/(Inputs!$B$11*Inputs!$B$26-MIN(W35,0.95*Inputs!$B$11*Inputs!$B$26)),0)</f>
        <v>0.106049651700873</v>
      </c>
      <c r="AB35" s="34" t="n">
        <f aca="false">MAX(0,AB34+(W35-Inputs!$B$11*Inputs!$B$26)*10)</f>
        <v>0</v>
      </c>
      <c r="AC35" s="43" t="n">
        <f aca="false">(AB34+AB35)/2/(Inputs!$B$11*Inputs!$B$26)+AA35</f>
        <v>0.106049651700873</v>
      </c>
      <c r="AD35" s="43" t="n">
        <f aca="false">Inputs!$B$86+AC35+1/Inputs!$B$26+Inputs!$B$87+Inputs!$B$88+Inputs!$B$89</f>
        <v>28.7310496517009</v>
      </c>
      <c r="AE35" s="32" t="n">
        <f aca="false">W35*AD35</f>
        <v>412.240037738148</v>
      </c>
      <c r="AF35" s="43" t="n">
        <f aca="false">$D35*(1-$E$26)</f>
        <v>8.83896193229925</v>
      </c>
      <c r="AG35" s="44" t="n">
        <f aca="false">AF35/Inputs!$B$85</f>
        <v>0.294632064409975</v>
      </c>
      <c r="AH35" s="44" t="n">
        <f aca="false">AF35/(Inputs!$B$12*Inputs!$B$26)</f>
        <v>0.441948096614962</v>
      </c>
      <c r="AI35" s="45" t="n">
        <f aca="false">IF(AF35&gt;0,((MIN(AF35,0.95*Inputs!$B$12*Inputs!$B$26)/Inputs!$B$26)^Inputs!$B$12/FACT(Inputs!$B$12)*Inputs!$B$12/(Inputs!$B$12-(MIN(AF35,0.95*Inputs!$B$12*Inputs!$B$26)/Inputs!$B$26)))/(SUMPRODUCT(--({0,1,2,3,4,5,6,7,8,9}&lt;Inputs!$B$12),(MIN(AF35,0.95*Inputs!$B$12*Inputs!$B$26)/Inputs!$B$26)^{0,1,2,3,4,5,6,7,8,9}/FACT({0,1,2,3,4,5,6,7,8,9}))+((MIN(AF35,0.95*Inputs!$B$12*Inputs!$B$26)/Inputs!$B$26)^Inputs!$B$12/FACT(Inputs!$B$12)*Inputs!$B$12/(Inputs!$B$12-(MIN(AF35,0.95*Inputs!$B$12*Inputs!$B$26)/Inputs!$B$26)))),0)</f>
        <v>0.270908669403713</v>
      </c>
      <c r="AJ35" s="45" t="n">
        <f aca="false">IF(AF35&gt;0,AI35/(Inputs!$B$12*Inputs!$B$26-MIN(AF35,0.95*Inputs!$B$12*Inputs!$B$26)),0)</f>
        <v>0.0242727126061601</v>
      </c>
      <c r="AK35" s="34" t="n">
        <f aca="false">MAX(0,AK34+(AF35-Inputs!$B$12*Inputs!$B$26)*10)</f>
        <v>0</v>
      </c>
      <c r="AL35" s="43" t="n">
        <f aca="false">(AK34+AK35)/2/(Inputs!$B$12*Inputs!$B$26)+AJ35</f>
        <v>0.0242727126061601</v>
      </c>
      <c r="AM35" s="43" t="n">
        <f aca="false">Inputs!$B$86+AL35+1/Inputs!$B$26+Inputs!$B$87+Inputs!$B$88+Inputs!$B$89</f>
        <v>28.6492727126062</v>
      </c>
      <c r="AN35" s="32" t="n">
        <f aca="false">AF35*AM35</f>
        <v>253.229830894785</v>
      </c>
    </row>
    <row r="36" customFormat="false" ht="15" hidden="false" customHeight="false" outlineLevel="0" collapsed="false">
      <c r="A36" s="13" t="s">
        <v>506</v>
      </c>
      <c r="B36" s="41" t="n">
        <f aca="false">'Arrival Curve'!$L$25</f>
        <v>0.0961986253707382</v>
      </c>
      <c r="C36" s="34" t="n">
        <f aca="false">'Arrival Curve'!$K$25</f>
        <v>284.747931097385</v>
      </c>
      <c r="D36" s="27" t="n">
        <f aca="false">C36/10</f>
        <v>28.4747931097385</v>
      </c>
      <c r="E36" s="43" t="n">
        <f aca="false">$D36*Inputs!$B$35</f>
        <v>22.6944101084616</v>
      </c>
      <c r="F36" s="44" t="n">
        <f aca="false">E36/Inputs!$B$84</f>
        <v>0.75648033694872</v>
      </c>
      <c r="G36" s="44" t="n">
        <f aca="false">E36/(Inputs!$B$11*Inputs!$B$26)</f>
        <v>1.13472050542308</v>
      </c>
      <c r="H36" s="45" t="n">
        <f aca="false">IF(E36&gt;0,((MIN(E36,0.95*Inputs!$B$11*Inputs!$B$26)/Inputs!$B$26)^Inputs!$B$11/FACT(Inputs!$B$11)*Inputs!$B$11/(Inputs!$B$11-(MIN(E36,0.95*Inputs!$B$11*Inputs!$B$26)/Inputs!$B$26)))/(SUMPRODUCT(--({0,1,2,3,4,5,6,7,8,9}&lt;Inputs!$B$11),(MIN(E36,0.95*Inputs!$B$11*Inputs!$B$26)/Inputs!$B$26)^{0,1,2,3,4,5,6,7,8,9}/FACT({0,1,2,3,4,5,6,7,8,9}))+((MIN(E36,0.95*Inputs!$B$11*Inputs!$B$26)/Inputs!$B$26)^Inputs!$B$11/FACT(Inputs!$B$11)*Inputs!$B$11/(Inputs!$B$11-(MIN(E36,0.95*Inputs!$B$11*Inputs!$B$26)/Inputs!$B$26)))),0)</f>
        <v>0.925641025641026</v>
      </c>
      <c r="I36" s="45" t="n">
        <f aca="false">IF(E36&gt;0,H36/(Inputs!$B$11*Inputs!$B$26-MIN(E36,0.95*Inputs!$B$11*Inputs!$B$26)),0)</f>
        <v>0.925641025641026</v>
      </c>
      <c r="J36" s="34" t="n">
        <f aca="false">MAX(0,J35+(E36-Inputs!$B$11*Inputs!$B$26)*10)</f>
        <v>26.9441010846159</v>
      </c>
      <c r="K36" s="43" t="n">
        <f aca="false">(J35+J36)/2/(Inputs!$B$11*Inputs!$B$26)+I36</f>
        <v>1.59924355275642</v>
      </c>
      <c r="L36" s="43" t="n">
        <f aca="false">Inputs!$B$86+K36+1/Inputs!$B$26+Inputs!$B$87+Inputs!$B$88+Inputs!$B$89</f>
        <v>30.2242435527564</v>
      </c>
      <c r="M36" s="32" t="n">
        <f aca="false">E36*L36</f>
        <v>685.921378404281</v>
      </c>
      <c r="N36" s="43" t="n">
        <f aca="false">$D36*(1-Inputs!$B$35)</f>
        <v>5.78038300127692</v>
      </c>
      <c r="O36" s="44" t="n">
        <f aca="false">N36/Inputs!$B$85</f>
        <v>0.192679433375897</v>
      </c>
      <c r="P36" s="44" t="n">
        <f aca="false">N36/(Inputs!$B$12*Inputs!$B$26)</f>
        <v>0.289019150063846</v>
      </c>
      <c r="Q36" s="45" t="n">
        <f aca="false">IF(N36&gt;0,((MIN(N36,0.95*Inputs!$B$12*Inputs!$B$26)/Inputs!$B$26)^Inputs!$B$12/FACT(Inputs!$B$12)*Inputs!$B$12/(Inputs!$B$12-(MIN(N36,0.95*Inputs!$B$12*Inputs!$B$26)/Inputs!$B$26)))/(SUMPRODUCT(--({0,1,2,3,4,5,6,7,8,9}&lt;Inputs!$B$12),(MIN(N36,0.95*Inputs!$B$12*Inputs!$B$26)/Inputs!$B$26)^{0,1,2,3,4,5,6,7,8,9}/FACT({0,1,2,3,4,5,6,7,8,9}))+((MIN(N36,0.95*Inputs!$B$12*Inputs!$B$26)/Inputs!$B$26)^Inputs!$B$12/FACT(Inputs!$B$12)*Inputs!$B$12/(Inputs!$B$12-(MIN(N36,0.95*Inputs!$B$12*Inputs!$B$26)/Inputs!$B$26)))),0)</f>
        <v>0.129605629364762</v>
      </c>
      <c r="R36" s="45" t="n">
        <f aca="false">IF(N36&gt;0,Q36/(Inputs!$B$12*Inputs!$B$26-MIN(N36,0.95*Inputs!$B$12*Inputs!$B$26)),0)</f>
        <v>0.00911456541877329</v>
      </c>
      <c r="S36" s="34" t="n">
        <f aca="false">MAX(0,S35+(N36-Inputs!$B$12*Inputs!$B$26)*10)</f>
        <v>0</v>
      </c>
      <c r="T36" s="43" t="n">
        <f aca="false">(S35+S36)/2/(Inputs!$B$12*Inputs!$B$26)+R36</f>
        <v>0.00911456541877329</v>
      </c>
      <c r="U36" s="43" t="n">
        <f aca="false">Inputs!$B$86+T36+1/Inputs!$B$26+Inputs!$B$87+Inputs!$B$88+Inputs!$B$89</f>
        <v>28.6341145654188</v>
      </c>
      <c r="V36" s="32" t="n">
        <f aca="false">N36*U36</f>
        <v>165.516149090562</v>
      </c>
      <c r="W36" s="43" t="n">
        <f aca="false">$D36*$E$26</f>
        <v>17.6202019763062</v>
      </c>
      <c r="X36" s="44" t="n">
        <f aca="false">W36/Inputs!$B$84</f>
        <v>0.587340065876873</v>
      </c>
      <c r="Y36" s="44" t="n">
        <f aca="false">W36/(Inputs!$B$11*Inputs!$B$26)</f>
        <v>0.88101009881531</v>
      </c>
      <c r="Z36" s="45" t="n">
        <f aca="false">IF(W36&gt;0,((MIN(W36,0.95*Inputs!$B$11*Inputs!$B$26)/Inputs!$B$26)^Inputs!$B$11/FACT(Inputs!$B$11)*Inputs!$B$11/(Inputs!$B$11-(MIN(W36,0.95*Inputs!$B$11*Inputs!$B$26)/Inputs!$B$26)))/(SUMPRODUCT(--({0,1,2,3,4,5,6,7,8,9}&lt;Inputs!$B$11),(MIN(W36,0.95*Inputs!$B$11*Inputs!$B$26)/Inputs!$B$26)^{0,1,2,3,4,5,6,7,8,9}/FACT({0,1,2,3,4,5,6,7,8,9}))+((MIN(W36,0.95*Inputs!$B$11*Inputs!$B$26)/Inputs!$B$26)^Inputs!$B$11/FACT(Inputs!$B$11)*Inputs!$B$11/(Inputs!$B$11-(MIN(W36,0.95*Inputs!$B$11*Inputs!$B$26)/Inputs!$B$26)))),0)</f>
        <v>0.825278710309329</v>
      </c>
      <c r="AA36" s="45" t="n">
        <f aca="false">IF(W36&gt;0,Z36/(Inputs!$B$11*Inputs!$B$26-MIN(W36,0.95*Inputs!$B$11*Inputs!$B$26)),0)</f>
        <v>0.346785190210542</v>
      </c>
      <c r="AB36" s="34" t="n">
        <f aca="false">MAX(0,AB35+(W36-Inputs!$B$11*Inputs!$B$26)*10)</f>
        <v>0</v>
      </c>
      <c r="AC36" s="43" t="n">
        <f aca="false">(AB35+AB36)/2/(Inputs!$B$11*Inputs!$B$26)+AA36</f>
        <v>0.346785190210542</v>
      </c>
      <c r="AD36" s="43" t="n">
        <f aca="false">Inputs!$B$86+AC36+1/Inputs!$B$26+Inputs!$B$87+Inputs!$B$88+Inputs!$B$89</f>
        <v>28.9717851902105</v>
      </c>
      <c r="AE36" s="32" t="n">
        <f aca="false">W36*AD36</f>
        <v>510.488706665666</v>
      </c>
      <c r="AF36" s="43" t="n">
        <f aca="false">$D36*(1-$E$26)</f>
        <v>10.8545911334323</v>
      </c>
      <c r="AG36" s="44" t="n">
        <f aca="false">AF36/Inputs!$B$85</f>
        <v>0.361819704447744</v>
      </c>
      <c r="AH36" s="44" t="n">
        <f aca="false">AF36/(Inputs!$B$12*Inputs!$B$26)</f>
        <v>0.542729556671616</v>
      </c>
      <c r="AI36" s="45" t="n">
        <f aca="false">IF(AF36&gt;0,((MIN(AF36,0.95*Inputs!$B$12*Inputs!$B$26)/Inputs!$B$26)^Inputs!$B$12/FACT(Inputs!$B$12)*Inputs!$B$12/(Inputs!$B$12-(MIN(AF36,0.95*Inputs!$B$12*Inputs!$B$26)/Inputs!$B$26)))/(SUMPRODUCT(--({0,1,2,3,4,5,6,7,8,9}&lt;Inputs!$B$12),(MIN(AF36,0.95*Inputs!$B$12*Inputs!$B$26)/Inputs!$B$26)^{0,1,2,3,4,5,6,7,8,9}/FACT({0,1,2,3,4,5,6,7,8,9}))+((MIN(AF36,0.95*Inputs!$B$12*Inputs!$B$26)/Inputs!$B$26)^Inputs!$B$12/FACT(Inputs!$B$12)*Inputs!$B$12/(Inputs!$B$12-(MIN(AF36,0.95*Inputs!$B$12*Inputs!$B$26)/Inputs!$B$26)))),0)</f>
        <v>0.381862615402873</v>
      </c>
      <c r="AJ36" s="45" t="n">
        <f aca="false">IF(AF36&gt;0,AI36/(Inputs!$B$12*Inputs!$B$26-MIN(AF36,0.95*Inputs!$B$12*Inputs!$B$26)),0)</f>
        <v>0.0417545700771045</v>
      </c>
      <c r="AK36" s="34" t="n">
        <f aca="false">MAX(0,AK35+(AF36-Inputs!$B$12*Inputs!$B$26)*10)</f>
        <v>0</v>
      </c>
      <c r="AL36" s="43" t="n">
        <f aca="false">(AK35+AK36)/2/(Inputs!$B$12*Inputs!$B$26)+AJ36</f>
        <v>0.0417545700771045</v>
      </c>
      <c r="AM36" s="43" t="n">
        <f aca="false">Inputs!$B$86+AL36+1/Inputs!$B$26+Inputs!$B$87+Inputs!$B$88+Inputs!$B$89</f>
        <v>28.6667545700771</v>
      </c>
      <c r="AN36" s="32" t="n">
        <f aca="false">AF36*AM36</f>
        <v>311.165899980639</v>
      </c>
    </row>
    <row r="37" customFormat="false" ht="15" hidden="false" customHeight="false" outlineLevel="0" collapsed="false">
      <c r="A37" s="13" t="s">
        <v>507</v>
      </c>
      <c r="B37" s="41" t="n">
        <f aca="false">'Arrival Curve'!$L$26</f>
        <v>0.0879422059296869</v>
      </c>
      <c r="C37" s="34" t="n">
        <f aca="false">'Arrival Curve'!$K$26</f>
        <v>260.308929551873</v>
      </c>
      <c r="D37" s="27" t="n">
        <f aca="false">C37/10</f>
        <v>26.0308929551873</v>
      </c>
      <c r="E37" s="43" t="n">
        <f aca="false">$D37*Inputs!$B$35</f>
        <v>20.7466216852843</v>
      </c>
      <c r="F37" s="44" t="n">
        <f aca="false">E37/Inputs!$B$84</f>
        <v>0.691554056176143</v>
      </c>
      <c r="G37" s="44" t="n">
        <f aca="false">E37/(Inputs!$B$11*Inputs!$B$26)</f>
        <v>1.03733108426421</v>
      </c>
      <c r="H37" s="45" t="n">
        <f aca="false">IF(E37&gt;0,((MIN(E37,0.95*Inputs!$B$11*Inputs!$B$26)/Inputs!$B$26)^Inputs!$B$11/FACT(Inputs!$B$11)*Inputs!$B$11/(Inputs!$B$11-(MIN(E37,0.95*Inputs!$B$11*Inputs!$B$26)/Inputs!$B$26)))/(SUMPRODUCT(--({0,1,2,3,4,5,6,7,8,9}&lt;Inputs!$B$11),(MIN(E37,0.95*Inputs!$B$11*Inputs!$B$26)/Inputs!$B$26)^{0,1,2,3,4,5,6,7,8,9}/FACT({0,1,2,3,4,5,6,7,8,9}))+((MIN(E37,0.95*Inputs!$B$11*Inputs!$B$26)/Inputs!$B$26)^Inputs!$B$11/FACT(Inputs!$B$11)*Inputs!$B$11/(Inputs!$B$11-(MIN(E37,0.95*Inputs!$B$11*Inputs!$B$26)/Inputs!$B$26)))),0)</f>
        <v>0.925641025641026</v>
      </c>
      <c r="I37" s="45" t="n">
        <f aca="false">IF(E37&gt;0,H37/(Inputs!$B$11*Inputs!$B$26-MIN(E37,0.95*Inputs!$B$11*Inputs!$B$26)),0)</f>
        <v>0.925641025641026</v>
      </c>
      <c r="J37" s="34" t="n">
        <f aca="false">MAX(0,J36+(E37-Inputs!$B$11*Inputs!$B$26)*10)</f>
        <v>34.4103179374589</v>
      </c>
      <c r="K37" s="43" t="n">
        <f aca="false">(J36+J37)/2/(Inputs!$B$11*Inputs!$B$26)+I37</f>
        <v>2.4595015011929</v>
      </c>
      <c r="L37" s="43" t="n">
        <f aca="false">Inputs!$B$86+K37+1/Inputs!$B$26+Inputs!$B$87+Inputs!$B$88+Inputs!$B$89</f>
        <v>31.0845015011929</v>
      </c>
      <c r="M37" s="32" t="n">
        <f aca="false">E37*L37</f>
        <v>644.898392920901</v>
      </c>
      <c r="N37" s="43" t="n">
        <f aca="false">$D37*(1-Inputs!$B$35)</f>
        <v>5.28427126990303</v>
      </c>
      <c r="O37" s="44" t="n">
        <f aca="false">N37/Inputs!$B$85</f>
        <v>0.176142375663434</v>
      </c>
      <c r="P37" s="44" t="n">
        <f aca="false">N37/(Inputs!$B$12*Inputs!$B$26)</f>
        <v>0.264213563495151</v>
      </c>
      <c r="Q37" s="45" t="n">
        <f aca="false">IF(N37&gt;0,((MIN(N37,0.95*Inputs!$B$12*Inputs!$B$26)/Inputs!$B$26)^Inputs!$B$12/FACT(Inputs!$B$12)*Inputs!$B$12/(Inputs!$B$12-(MIN(N37,0.95*Inputs!$B$12*Inputs!$B$26)/Inputs!$B$26)))/(SUMPRODUCT(--({0,1,2,3,4,5,6,7,8,9}&lt;Inputs!$B$12),(MIN(N37,0.95*Inputs!$B$12*Inputs!$B$26)/Inputs!$B$26)^{0,1,2,3,4,5,6,7,8,9}/FACT({0,1,2,3,4,5,6,7,8,9}))+((MIN(N37,0.95*Inputs!$B$12*Inputs!$B$26)/Inputs!$B$26)^Inputs!$B$12/FACT(Inputs!$B$12)*Inputs!$B$12/(Inputs!$B$12-(MIN(N37,0.95*Inputs!$B$12*Inputs!$B$26)/Inputs!$B$26)))),0)</f>
        <v>0.110438313826988</v>
      </c>
      <c r="R37" s="45" t="n">
        <f aca="false">IF(N37&gt;0,Q37/(Inputs!$B$12*Inputs!$B$26-MIN(N37,0.95*Inputs!$B$12*Inputs!$B$26)),0)</f>
        <v>0.00750478048709318</v>
      </c>
      <c r="S37" s="34" t="n">
        <f aca="false">MAX(0,S36+(N37-Inputs!$B$12*Inputs!$B$26)*10)</f>
        <v>0</v>
      </c>
      <c r="T37" s="43" t="n">
        <f aca="false">(S36+S37)/2/(Inputs!$B$12*Inputs!$B$26)+R37</f>
        <v>0.00750478048709318</v>
      </c>
      <c r="U37" s="43" t="n">
        <f aca="false">Inputs!$B$86+T37+1/Inputs!$B$26+Inputs!$B$87+Inputs!$B$88+Inputs!$B$89</f>
        <v>28.6325047804871</v>
      </c>
      <c r="V37" s="32" t="n">
        <f aca="false">N37*U37</f>
        <v>151.301922396889</v>
      </c>
      <c r="W37" s="43" t="n">
        <f aca="false">$D37*$E$26</f>
        <v>16.1079165606699</v>
      </c>
      <c r="X37" s="44" t="n">
        <f aca="false">W37/Inputs!$B$84</f>
        <v>0.536930552022331</v>
      </c>
      <c r="Y37" s="44" t="n">
        <f aca="false">W37/(Inputs!$B$11*Inputs!$B$26)</f>
        <v>0.805395828033496</v>
      </c>
      <c r="Z37" s="45" t="n">
        <f aca="false">IF(W37&gt;0,((MIN(W37,0.95*Inputs!$B$11*Inputs!$B$26)/Inputs!$B$26)^Inputs!$B$11/FACT(Inputs!$B$11)*Inputs!$B$11/(Inputs!$B$11-(MIN(W37,0.95*Inputs!$B$11*Inputs!$B$26)/Inputs!$B$26)))/(SUMPRODUCT(--({0,1,2,3,4,5,6,7,8,9}&lt;Inputs!$B$11),(MIN(W37,0.95*Inputs!$B$11*Inputs!$B$26)/Inputs!$B$26)^{0,1,2,3,4,5,6,7,8,9}/FACT({0,1,2,3,4,5,6,7,8,9}))+((MIN(W37,0.95*Inputs!$B$11*Inputs!$B$26)/Inputs!$B$26)^Inputs!$B$11/FACT(Inputs!$B$11)*Inputs!$B$11/(Inputs!$B$11-(MIN(W37,0.95*Inputs!$B$11*Inputs!$B$26)/Inputs!$B$26)))),0)</f>
        <v>0.718581963845909</v>
      </c>
      <c r="AA37" s="45" t="n">
        <f aca="false">IF(W37&gt;0,Z37/(Inputs!$B$11*Inputs!$B$26-MIN(W37,0.95*Inputs!$B$11*Inputs!$B$26)),0)</f>
        <v>0.184626556713695</v>
      </c>
      <c r="AB37" s="34" t="n">
        <f aca="false">MAX(0,AB36+(W37-Inputs!$B$11*Inputs!$B$26)*10)</f>
        <v>0</v>
      </c>
      <c r="AC37" s="43" t="n">
        <f aca="false">(AB36+AB37)/2/(Inputs!$B$11*Inputs!$B$26)+AA37</f>
        <v>0.184626556713695</v>
      </c>
      <c r="AD37" s="43" t="n">
        <f aca="false">Inputs!$B$86+AC37+1/Inputs!$B$26+Inputs!$B$87+Inputs!$B$88+Inputs!$B$89</f>
        <v>28.8096265567137</v>
      </c>
      <c r="AE37" s="32" t="n">
        <f aca="false">W37*AD37</f>
        <v>464.063060719604</v>
      </c>
      <c r="AF37" s="43" t="n">
        <f aca="false">$D37*(1-$E$26)</f>
        <v>9.92297639451741</v>
      </c>
      <c r="AG37" s="44" t="n">
        <f aca="false">AF37/Inputs!$B$85</f>
        <v>0.330765879817247</v>
      </c>
      <c r="AH37" s="44" t="n">
        <f aca="false">AF37/(Inputs!$B$12*Inputs!$B$26)</f>
        <v>0.49614881972587</v>
      </c>
      <c r="AI37" s="45" t="n">
        <f aca="false">IF(AF37&gt;0,((MIN(AF37,0.95*Inputs!$B$12*Inputs!$B$26)/Inputs!$B$26)^Inputs!$B$12/FACT(Inputs!$B$12)*Inputs!$B$12/(Inputs!$B$12-(MIN(AF37,0.95*Inputs!$B$12*Inputs!$B$26)/Inputs!$B$26)))/(SUMPRODUCT(--({0,1,2,3,4,5,6,7,8,9}&lt;Inputs!$B$12),(MIN(AF37,0.95*Inputs!$B$12*Inputs!$B$26)/Inputs!$B$26)^{0,1,2,3,4,5,6,7,8,9}/FACT({0,1,2,3,4,5,6,7,8,9}))+((MIN(AF37,0.95*Inputs!$B$12*Inputs!$B$26)/Inputs!$B$26)^Inputs!$B$12/FACT(Inputs!$B$12)*Inputs!$B$12/(Inputs!$B$12-(MIN(AF37,0.95*Inputs!$B$12*Inputs!$B$26)/Inputs!$B$26)))),0)</f>
        <v>0.329063055853598</v>
      </c>
      <c r="AJ37" s="45" t="n">
        <f aca="false">IF(AF37&gt;0,AI37/(Inputs!$B$12*Inputs!$B$26-MIN(AF37,0.95*Inputs!$B$12*Inputs!$B$26)),0)</f>
        <v>0.0326547866449936</v>
      </c>
      <c r="AK37" s="34" t="n">
        <f aca="false">MAX(0,AK36+(AF37-Inputs!$B$12*Inputs!$B$26)*10)</f>
        <v>0</v>
      </c>
      <c r="AL37" s="43" t="n">
        <f aca="false">(AK36+AK37)/2/(Inputs!$B$12*Inputs!$B$26)+AJ37</f>
        <v>0.0326547866449936</v>
      </c>
      <c r="AM37" s="43" t="n">
        <f aca="false">Inputs!$B$86+AL37+1/Inputs!$B$26+Inputs!$B$87+Inputs!$B$88+Inputs!$B$89</f>
        <v>28.657654786645</v>
      </c>
      <c r="AN37" s="32" t="n">
        <f aca="false">AF37*AM37</f>
        <v>284.369231970107</v>
      </c>
    </row>
    <row r="38" customFormat="false" ht="15" hidden="false" customHeight="false" outlineLevel="0" collapsed="false">
      <c r="A38" s="13" t="s">
        <v>508</v>
      </c>
      <c r="B38" s="41" t="n">
        <f aca="false">'Arrival Curve'!$L$27</f>
        <v>0.0729077837823687</v>
      </c>
      <c r="C38" s="34" t="n">
        <f aca="false">'Arrival Curve'!$K$27</f>
        <v>215.807039995811</v>
      </c>
      <c r="D38" s="27" t="n">
        <f aca="false">C38/10</f>
        <v>21.5807039995811</v>
      </c>
      <c r="E38" s="43" t="n">
        <f aca="false">$D38*Inputs!$B$35</f>
        <v>17.1998210876662</v>
      </c>
      <c r="F38" s="44" t="n">
        <f aca="false">E38/Inputs!$B$84</f>
        <v>0.573327369588872</v>
      </c>
      <c r="G38" s="44" t="n">
        <f aca="false">E38/(Inputs!$B$11*Inputs!$B$26)</f>
        <v>0.859991054383308</v>
      </c>
      <c r="H38" s="45" t="n">
        <f aca="false">IF(E38&gt;0,((MIN(E38,0.95*Inputs!$B$11*Inputs!$B$26)/Inputs!$B$26)^Inputs!$B$11/FACT(Inputs!$B$11)*Inputs!$B$11/(Inputs!$B$11-(MIN(E38,0.95*Inputs!$B$11*Inputs!$B$26)/Inputs!$B$26)))/(SUMPRODUCT(--({0,1,2,3,4,5,6,7,8,9}&lt;Inputs!$B$11),(MIN(E38,0.95*Inputs!$B$11*Inputs!$B$26)/Inputs!$B$26)^{0,1,2,3,4,5,6,7,8,9}/FACT({0,1,2,3,4,5,6,7,8,9}))+((MIN(E38,0.95*Inputs!$B$11*Inputs!$B$26)/Inputs!$B$26)^Inputs!$B$11/FACT(Inputs!$B$11)*Inputs!$B$11/(Inputs!$B$11-(MIN(E38,0.95*Inputs!$B$11*Inputs!$B$26)/Inputs!$B$26)))),0)</f>
        <v>0.795256097470348</v>
      </c>
      <c r="I38" s="45" t="n">
        <f aca="false">IF(E38&gt;0,H38/(Inputs!$B$11*Inputs!$B$26-MIN(E38,0.95*Inputs!$B$11*Inputs!$B$26)),0)</f>
        <v>0.284001887867777</v>
      </c>
      <c r="J38" s="34" t="n">
        <f aca="false">MAX(0,J37+(E38-Inputs!$B$11*Inputs!$B$26)*10)</f>
        <v>6.40852881412052</v>
      </c>
      <c r="K38" s="43" t="n">
        <f aca="false">(J37+J38)/2/(Inputs!$B$11*Inputs!$B$26)+I38</f>
        <v>1.30447305665726</v>
      </c>
      <c r="L38" s="43" t="n">
        <f aca="false">Inputs!$B$86+K38+1/Inputs!$B$26+Inputs!$B$87+Inputs!$B$88+Inputs!$B$89</f>
        <v>29.9294730566573</v>
      </c>
      <c r="M38" s="32" t="n">
        <f aca="false">E38*L38</f>
        <v>514.78158182263</v>
      </c>
      <c r="N38" s="43" t="n">
        <f aca="false">$D38*(1-Inputs!$B$35)</f>
        <v>4.38088291191497</v>
      </c>
      <c r="O38" s="44" t="n">
        <f aca="false">N38/Inputs!$B$85</f>
        <v>0.146029430397166</v>
      </c>
      <c r="P38" s="44" t="n">
        <f aca="false">N38/(Inputs!$B$12*Inputs!$B$26)</f>
        <v>0.219044145595748</v>
      </c>
      <c r="Q38" s="45" t="n">
        <f aca="false">IF(N38&gt;0,((MIN(N38,0.95*Inputs!$B$12*Inputs!$B$26)/Inputs!$B$26)^Inputs!$B$12/FACT(Inputs!$B$12)*Inputs!$B$12/(Inputs!$B$12-(MIN(N38,0.95*Inputs!$B$12*Inputs!$B$26)/Inputs!$B$26)))/(SUMPRODUCT(--({0,1,2,3,4,5,6,7,8,9}&lt;Inputs!$B$12),(MIN(N38,0.95*Inputs!$B$12*Inputs!$B$26)/Inputs!$B$26)^{0,1,2,3,4,5,6,7,8,9}/FACT({0,1,2,3,4,5,6,7,8,9}))+((MIN(N38,0.95*Inputs!$B$12*Inputs!$B$26)/Inputs!$B$26)^Inputs!$B$12/FACT(Inputs!$B$12)*Inputs!$B$12/(Inputs!$B$12-(MIN(N38,0.95*Inputs!$B$12*Inputs!$B$26)/Inputs!$B$26)))),0)</f>
        <v>0.0787179658638587</v>
      </c>
      <c r="R38" s="45" t="n">
        <f aca="false">IF(N38&gt;0,Q38/(Inputs!$B$12*Inputs!$B$26-MIN(N38,0.95*Inputs!$B$12*Inputs!$B$26)),0)</f>
        <v>0.00503984734988051</v>
      </c>
      <c r="S38" s="34" t="n">
        <f aca="false">MAX(0,S37+(N38-Inputs!$B$12*Inputs!$B$26)*10)</f>
        <v>0</v>
      </c>
      <c r="T38" s="43" t="n">
        <f aca="false">(S37+S38)/2/(Inputs!$B$12*Inputs!$B$26)+R38</f>
        <v>0.00503984734988051</v>
      </c>
      <c r="U38" s="43" t="n">
        <f aca="false">Inputs!$B$86+T38+1/Inputs!$B$26+Inputs!$B$87+Inputs!$B$88+Inputs!$B$89</f>
        <v>28.6300398473499</v>
      </c>
      <c r="V38" s="32" t="n">
        <f aca="false">N38*U38</f>
        <v>125.4248523347</v>
      </c>
      <c r="W38" s="43" t="n">
        <f aca="false">$D38*$E$26</f>
        <v>13.3541396349408</v>
      </c>
      <c r="X38" s="44" t="n">
        <f aca="false">W38/Inputs!$B$84</f>
        <v>0.44513798783136</v>
      </c>
      <c r="Y38" s="44" t="n">
        <f aca="false">W38/(Inputs!$B$11*Inputs!$B$26)</f>
        <v>0.66770698174704</v>
      </c>
      <c r="Z38" s="45" t="n">
        <f aca="false">IF(W38&gt;0,((MIN(W38,0.95*Inputs!$B$11*Inputs!$B$26)/Inputs!$B$26)^Inputs!$B$11/FACT(Inputs!$B$11)*Inputs!$B$11/(Inputs!$B$11-(MIN(W38,0.95*Inputs!$B$11*Inputs!$B$26)/Inputs!$B$26)))/(SUMPRODUCT(--({0,1,2,3,4,5,6,7,8,9}&lt;Inputs!$B$11),(MIN(W38,0.95*Inputs!$B$11*Inputs!$B$26)/Inputs!$B$26)^{0,1,2,3,4,5,6,7,8,9}/FACT({0,1,2,3,4,5,6,7,8,9}))+((MIN(W38,0.95*Inputs!$B$11*Inputs!$B$26)/Inputs!$B$26)^Inputs!$B$11/FACT(Inputs!$B$11)*Inputs!$B$11/(Inputs!$B$11-(MIN(W38,0.95*Inputs!$B$11*Inputs!$B$26)/Inputs!$B$26)))),0)</f>
        <v>0.534665403878925</v>
      </c>
      <c r="AA38" s="45" t="n">
        <f aca="false">IF(W38&gt;0,Z38/(Inputs!$B$11*Inputs!$B$26-MIN(W38,0.95*Inputs!$B$11*Inputs!$B$26)),0)</f>
        <v>0.0804508934147856</v>
      </c>
      <c r="AB38" s="34" t="n">
        <f aca="false">MAX(0,AB37+(W38-Inputs!$B$11*Inputs!$B$26)*10)</f>
        <v>0</v>
      </c>
      <c r="AC38" s="43" t="n">
        <f aca="false">(AB37+AB38)/2/(Inputs!$B$11*Inputs!$B$26)+AA38</f>
        <v>0.0804508934147856</v>
      </c>
      <c r="AD38" s="43" t="n">
        <f aca="false">Inputs!$B$86+AC38+1/Inputs!$B$26+Inputs!$B$87+Inputs!$B$88+Inputs!$B$89</f>
        <v>28.7054508934148</v>
      </c>
      <c r="AE38" s="32" t="n">
        <f aca="false">W38*AD38</f>
        <v>383.336599514597</v>
      </c>
      <c r="AF38" s="43" t="n">
        <f aca="false">$D38*(1-$E$26)</f>
        <v>8.22656436464033</v>
      </c>
      <c r="AG38" s="44" t="n">
        <f aca="false">AF38/Inputs!$B$85</f>
        <v>0.274218812154678</v>
      </c>
      <c r="AH38" s="44" t="n">
        <f aca="false">AF38/(Inputs!$B$12*Inputs!$B$26)</f>
        <v>0.411328218232016</v>
      </c>
      <c r="AI38" s="45" t="n">
        <f aca="false">IF(AF38&gt;0,((MIN(AF38,0.95*Inputs!$B$12*Inputs!$B$26)/Inputs!$B$26)^Inputs!$B$12/FACT(Inputs!$B$12)*Inputs!$B$12/(Inputs!$B$12-(MIN(AF38,0.95*Inputs!$B$12*Inputs!$B$26)/Inputs!$B$26)))/(SUMPRODUCT(--({0,1,2,3,4,5,6,7,8,9}&lt;Inputs!$B$12),(MIN(AF38,0.95*Inputs!$B$12*Inputs!$B$26)/Inputs!$B$26)^{0,1,2,3,4,5,6,7,8,9}/FACT({0,1,2,3,4,5,6,7,8,9}))+((MIN(AF38,0.95*Inputs!$B$12*Inputs!$B$26)/Inputs!$B$26)^Inputs!$B$12/FACT(Inputs!$B$12)*Inputs!$B$12/(Inputs!$B$12-(MIN(AF38,0.95*Inputs!$B$12*Inputs!$B$26)/Inputs!$B$26)))),0)</f>
        <v>0.23976124182633</v>
      </c>
      <c r="AJ38" s="45" t="n">
        <f aca="false">IF(AF38&gt;0,AI38/(Inputs!$B$12*Inputs!$B$26-MIN(AF38,0.95*Inputs!$B$12*Inputs!$B$26)),0)</f>
        <v>0.0203645944354802</v>
      </c>
      <c r="AK38" s="34" t="n">
        <f aca="false">MAX(0,AK37+(AF38-Inputs!$B$12*Inputs!$B$26)*10)</f>
        <v>0</v>
      </c>
      <c r="AL38" s="43" t="n">
        <f aca="false">(AK37+AK38)/2/(Inputs!$B$12*Inputs!$B$26)+AJ38</f>
        <v>0.0203645944354802</v>
      </c>
      <c r="AM38" s="43" t="n">
        <f aca="false">Inputs!$B$86+AL38+1/Inputs!$B$26+Inputs!$B$87+Inputs!$B$88+Inputs!$B$89</f>
        <v>28.6453645944355</v>
      </c>
      <c r="AN38" s="32" t="n">
        <f aca="false">AF38*AM38</f>
        <v>235.652935584713</v>
      </c>
    </row>
    <row r="39" customFormat="false" ht="15" hidden="false" customHeight="false" outlineLevel="0" collapsed="false">
      <c r="A39" s="13" t="s">
        <v>509</v>
      </c>
      <c r="B39" s="41" t="n">
        <f aca="false">'Arrival Curve'!$L$28</f>
        <v>0.0976760439422226</v>
      </c>
      <c r="C39" s="34" t="n">
        <f aca="false">'Arrival Curve'!$K$28</f>
        <v>289.121090068979</v>
      </c>
      <c r="D39" s="27" t="n">
        <f aca="false">C39/10</f>
        <v>28.9121090068979</v>
      </c>
      <c r="E39" s="43" t="n">
        <f aca="false">$D39*Inputs!$B$35</f>
        <v>23.0429508784976</v>
      </c>
      <c r="F39" s="44" t="n">
        <f aca="false">E39/Inputs!$B$84</f>
        <v>0.768098362616588</v>
      </c>
      <c r="G39" s="44" t="n">
        <f aca="false">E39/(Inputs!$B$11*Inputs!$B$26)</f>
        <v>1.15214754392488</v>
      </c>
      <c r="H39" s="45" t="n">
        <f aca="false">IF(E39&gt;0,((MIN(E39,0.95*Inputs!$B$11*Inputs!$B$26)/Inputs!$B$26)^Inputs!$B$11/FACT(Inputs!$B$11)*Inputs!$B$11/(Inputs!$B$11-(MIN(E39,0.95*Inputs!$B$11*Inputs!$B$26)/Inputs!$B$26)))/(SUMPRODUCT(--({0,1,2,3,4,5,6,7,8,9}&lt;Inputs!$B$11),(MIN(E39,0.95*Inputs!$B$11*Inputs!$B$26)/Inputs!$B$26)^{0,1,2,3,4,5,6,7,8,9}/FACT({0,1,2,3,4,5,6,7,8,9}))+((MIN(E39,0.95*Inputs!$B$11*Inputs!$B$26)/Inputs!$B$26)^Inputs!$B$11/FACT(Inputs!$B$11)*Inputs!$B$11/(Inputs!$B$11-(MIN(E39,0.95*Inputs!$B$11*Inputs!$B$26)/Inputs!$B$26)))),0)</f>
        <v>0.925641025641026</v>
      </c>
      <c r="I39" s="45" t="n">
        <f aca="false">IF(E39&gt;0,H39/(Inputs!$B$11*Inputs!$B$26-MIN(E39,0.95*Inputs!$B$11*Inputs!$B$26)),0)</f>
        <v>0.925641025641026</v>
      </c>
      <c r="J39" s="34" t="n">
        <f aca="false">MAX(0,J38+(E39-Inputs!$B$11*Inputs!$B$26)*10)</f>
        <v>36.8380375990968</v>
      </c>
      <c r="K39" s="43" t="n">
        <f aca="false">(J38+J39)/2/(Inputs!$B$11*Inputs!$B$26)+I39</f>
        <v>2.00680518597146</v>
      </c>
      <c r="L39" s="43" t="n">
        <f aca="false">Inputs!$B$86+K39+1/Inputs!$B$26+Inputs!$B$87+Inputs!$B$88+Inputs!$B$89</f>
        <v>30.6318051859715</v>
      </c>
      <c r="M39" s="32" t="n">
        <f aca="false">E39*L39</f>
        <v>705.847182220049</v>
      </c>
      <c r="N39" s="43" t="n">
        <f aca="false">$D39*(1-Inputs!$B$35)</f>
        <v>5.86915812840027</v>
      </c>
      <c r="O39" s="44" t="n">
        <f aca="false">N39/Inputs!$B$85</f>
        <v>0.195638604280009</v>
      </c>
      <c r="P39" s="44" t="n">
        <f aca="false">N39/(Inputs!$B$12*Inputs!$B$26)</f>
        <v>0.293457906420014</v>
      </c>
      <c r="Q39" s="45" t="n">
        <f aca="false">IF(N39&gt;0,((MIN(N39,0.95*Inputs!$B$12*Inputs!$B$26)/Inputs!$B$26)^Inputs!$B$12/FACT(Inputs!$B$12)*Inputs!$B$12/(Inputs!$B$12-(MIN(N39,0.95*Inputs!$B$12*Inputs!$B$26)/Inputs!$B$26)))/(SUMPRODUCT(--({0,1,2,3,4,5,6,7,8,9}&lt;Inputs!$B$12),(MIN(N39,0.95*Inputs!$B$12*Inputs!$B$26)/Inputs!$B$26)^{0,1,2,3,4,5,6,7,8,9}/FACT({0,1,2,3,4,5,6,7,8,9}))+((MIN(N39,0.95*Inputs!$B$12*Inputs!$B$26)/Inputs!$B$26)^Inputs!$B$12/FACT(Inputs!$B$12)*Inputs!$B$12/(Inputs!$B$12-(MIN(N39,0.95*Inputs!$B$12*Inputs!$B$26)/Inputs!$B$26)))),0)</f>
        <v>0.133158632241494</v>
      </c>
      <c r="R39" s="45" t="n">
        <f aca="false">IF(N39&gt;0,Q39/(Inputs!$B$12*Inputs!$B$26-MIN(N39,0.95*Inputs!$B$12*Inputs!$B$26)),0)</f>
        <v>0.00942326249571279</v>
      </c>
      <c r="S39" s="34" t="n">
        <f aca="false">MAX(0,S38+(N39-Inputs!$B$12*Inputs!$B$26)*10)</f>
        <v>0</v>
      </c>
      <c r="T39" s="43" t="n">
        <f aca="false">(S38+S39)/2/(Inputs!$B$12*Inputs!$B$26)+R39</f>
        <v>0.00942326249571279</v>
      </c>
      <c r="U39" s="43" t="n">
        <f aca="false">Inputs!$B$86+T39+1/Inputs!$B$26+Inputs!$B$87+Inputs!$B$88+Inputs!$B$89</f>
        <v>28.6344232624957</v>
      </c>
      <c r="V39" s="32" t="n">
        <f aca="false">N39*U39</f>
        <v>168.059958043131</v>
      </c>
      <c r="W39" s="43" t="n">
        <f aca="false">$D39*$E$26</f>
        <v>17.8908130534684</v>
      </c>
      <c r="X39" s="44" t="n">
        <f aca="false">W39/Inputs!$B$84</f>
        <v>0.596360435115614</v>
      </c>
      <c r="Y39" s="44" t="n">
        <f aca="false">W39/(Inputs!$B$11*Inputs!$B$26)</f>
        <v>0.894540652673421</v>
      </c>
      <c r="Z39" s="45" t="n">
        <f aca="false">IF(W39&gt;0,((MIN(W39,0.95*Inputs!$B$11*Inputs!$B$26)/Inputs!$B$26)^Inputs!$B$11/FACT(Inputs!$B$11)*Inputs!$B$11/(Inputs!$B$11-(MIN(W39,0.95*Inputs!$B$11*Inputs!$B$26)/Inputs!$B$26)))/(SUMPRODUCT(--({0,1,2,3,4,5,6,7,8,9}&lt;Inputs!$B$11),(MIN(W39,0.95*Inputs!$B$11*Inputs!$B$26)/Inputs!$B$26)^{0,1,2,3,4,5,6,7,8,9}/FACT({0,1,2,3,4,5,6,7,8,9}))+((MIN(W39,0.95*Inputs!$B$11*Inputs!$B$26)/Inputs!$B$26)^Inputs!$B$11/FACT(Inputs!$B$11)*Inputs!$B$11/(Inputs!$B$11-(MIN(W39,0.95*Inputs!$B$11*Inputs!$B$26)/Inputs!$B$26)))),0)</f>
        <v>0.844746169110923</v>
      </c>
      <c r="AA39" s="45" t="n">
        <f aca="false">IF(W39&gt;0,Z39/(Inputs!$B$11*Inputs!$B$26-MIN(W39,0.95*Inputs!$B$11*Inputs!$B$26)),0)</f>
        <v>0.400507963744064</v>
      </c>
      <c r="AB39" s="34" t="n">
        <f aca="false">MAX(0,AB38+(W39-Inputs!$B$11*Inputs!$B$26)*10)</f>
        <v>0</v>
      </c>
      <c r="AC39" s="43" t="n">
        <f aca="false">(AB38+AB39)/2/(Inputs!$B$11*Inputs!$B$26)+AA39</f>
        <v>0.400507963744064</v>
      </c>
      <c r="AD39" s="43" t="n">
        <f aca="false">Inputs!$B$86+AC39+1/Inputs!$B$26+Inputs!$B$87+Inputs!$B$88+Inputs!$B$89</f>
        <v>29.0255079637441</v>
      </c>
      <c r="AE39" s="32" t="n">
        <f aca="false">W39*AD39</f>
        <v>519.289936761304</v>
      </c>
      <c r="AF39" s="43" t="n">
        <f aca="false">$D39*(1-$E$26)</f>
        <v>11.0212959534295</v>
      </c>
      <c r="AG39" s="44" t="n">
        <f aca="false">AF39/Inputs!$B$85</f>
        <v>0.367376531780983</v>
      </c>
      <c r="AH39" s="44" t="n">
        <f aca="false">AF39/(Inputs!$B$12*Inputs!$B$26)</f>
        <v>0.551064797671474</v>
      </c>
      <c r="AI39" s="45" t="n">
        <f aca="false">IF(AF39&gt;0,((MIN(AF39,0.95*Inputs!$B$12*Inputs!$B$26)/Inputs!$B$26)^Inputs!$B$12/FACT(Inputs!$B$12)*Inputs!$B$12/(Inputs!$B$12-(MIN(AF39,0.95*Inputs!$B$12*Inputs!$B$26)/Inputs!$B$26)))/(SUMPRODUCT(--({0,1,2,3,4,5,6,7,8,9}&lt;Inputs!$B$12),(MIN(AF39,0.95*Inputs!$B$12*Inputs!$B$26)/Inputs!$B$26)^{0,1,2,3,4,5,6,7,8,9}/FACT({0,1,2,3,4,5,6,7,8,9}))+((MIN(AF39,0.95*Inputs!$B$12*Inputs!$B$26)/Inputs!$B$26)^Inputs!$B$12/FACT(Inputs!$B$12)*Inputs!$B$12/(Inputs!$B$12-(MIN(AF39,0.95*Inputs!$B$12*Inputs!$B$26)/Inputs!$B$26)))),0)</f>
        <v>0.391566376451311</v>
      </c>
      <c r="AJ39" s="45" t="n">
        <f aca="false">IF(AF39&gt;0,AI39/(Inputs!$B$12*Inputs!$B$26-MIN(AF39,0.95*Inputs!$B$12*Inputs!$B$26)),0)</f>
        <v>0.0436105672288945</v>
      </c>
      <c r="AK39" s="34" t="n">
        <f aca="false">MAX(0,AK38+(AF39-Inputs!$B$12*Inputs!$B$26)*10)</f>
        <v>0</v>
      </c>
      <c r="AL39" s="43" t="n">
        <f aca="false">(AK38+AK39)/2/(Inputs!$B$12*Inputs!$B$26)+AJ39</f>
        <v>0.0436105672288945</v>
      </c>
      <c r="AM39" s="43" t="n">
        <f aca="false">Inputs!$B$86+AL39+1/Inputs!$B$26+Inputs!$B$87+Inputs!$B$88+Inputs!$B$89</f>
        <v>28.6686105672289</v>
      </c>
      <c r="AN39" s="32" t="n">
        <f aca="false">AF39*AM39</f>
        <v>315.965241635045</v>
      </c>
    </row>
    <row r="40" customFormat="false" ht="15" hidden="false" customHeight="false" outlineLevel="0" collapsed="false">
      <c r="A40" s="13" t="s">
        <v>510</v>
      </c>
      <c r="B40" s="41" t="n">
        <f aca="false">'Arrival Curve'!$L$29</f>
        <v>0.126472113523222</v>
      </c>
      <c r="C40" s="34" t="n">
        <f aca="false">'Arrival Curve'!$K$29</f>
        <v>374.357456028736</v>
      </c>
      <c r="D40" s="27" t="n">
        <f aca="false">C40/10</f>
        <v>37.4357456028736</v>
      </c>
      <c r="E40" s="43" t="n">
        <f aca="false">$D40*Inputs!$B$35</f>
        <v>29.8362892454903</v>
      </c>
      <c r="F40" s="44" t="n">
        <f aca="false">E40/Inputs!$B$84</f>
        <v>0.994542974849676</v>
      </c>
      <c r="G40" s="44" t="n">
        <f aca="false">E40/(Inputs!$B$11*Inputs!$B$26)</f>
        <v>1.49181446227451</v>
      </c>
      <c r="H40" s="45" t="n">
        <f aca="false">IF(E40&gt;0,((MIN(E40,0.95*Inputs!$B$11*Inputs!$B$26)/Inputs!$B$26)^Inputs!$B$11/FACT(Inputs!$B$11)*Inputs!$B$11/(Inputs!$B$11-(MIN(E40,0.95*Inputs!$B$11*Inputs!$B$26)/Inputs!$B$26)))/(SUMPRODUCT(--({0,1,2,3,4,5,6,7,8,9}&lt;Inputs!$B$11),(MIN(E40,0.95*Inputs!$B$11*Inputs!$B$26)/Inputs!$B$26)^{0,1,2,3,4,5,6,7,8,9}/FACT({0,1,2,3,4,5,6,7,8,9}))+((MIN(E40,0.95*Inputs!$B$11*Inputs!$B$26)/Inputs!$B$26)^Inputs!$B$11/FACT(Inputs!$B$11)*Inputs!$B$11/(Inputs!$B$11-(MIN(E40,0.95*Inputs!$B$11*Inputs!$B$26)/Inputs!$B$26)))),0)</f>
        <v>0.925641025641026</v>
      </c>
      <c r="I40" s="45" t="n">
        <f aca="false">IF(E40&gt;0,H40/(Inputs!$B$11*Inputs!$B$26-MIN(E40,0.95*Inputs!$B$11*Inputs!$B$26)),0)</f>
        <v>0.925641025641026</v>
      </c>
      <c r="J40" s="34" t="n">
        <f aca="false">MAX(0,J39+(E40-Inputs!$B$11*Inputs!$B$26)*10)</f>
        <v>135.200930054</v>
      </c>
      <c r="K40" s="43" t="n">
        <f aca="false">(J39+J40)/2/(Inputs!$B$11*Inputs!$B$26)+I40</f>
        <v>5.22661521696844</v>
      </c>
      <c r="L40" s="43" t="n">
        <f aca="false">Inputs!$B$86+K40+1/Inputs!$B$26+Inputs!$B$87+Inputs!$B$88+Inputs!$B$89</f>
        <v>33.8516152169684</v>
      </c>
      <c r="M40" s="32" t="n">
        <f aca="false">E40*L40</f>
        <v>1010.00658304051</v>
      </c>
      <c r="N40" s="43" t="n">
        <f aca="false">$D40*(1-Inputs!$B$35)</f>
        <v>7.59945635738335</v>
      </c>
      <c r="O40" s="44" t="n">
        <f aca="false">N40/Inputs!$B$85</f>
        <v>0.253315211912778</v>
      </c>
      <c r="P40" s="44" t="n">
        <f aca="false">N40/(Inputs!$B$12*Inputs!$B$26)</f>
        <v>0.379972817869167</v>
      </c>
      <c r="Q40" s="45" t="n">
        <f aca="false">IF(N40&gt;0,((MIN(N40,0.95*Inputs!$B$12*Inputs!$B$26)/Inputs!$B$26)^Inputs!$B$12/FACT(Inputs!$B$12)*Inputs!$B$12/(Inputs!$B$12-(MIN(N40,0.95*Inputs!$B$12*Inputs!$B$26)/Inputs!$B$26)))/(SUMPRODUCT(--({0,1,2,3,4,5,6,7,8,9}&lt;Inputs!$B$12),(MIN(N40,0.95*Inputs!$B$12*Inputs!$B$26)/Inputs!$B$26)^{0,1,2,3,4,5,6,7,8,9}/FACT({0,1,2,3,4,5,6,7,8,9}))+((MIN(N40,0.95*Inputs!$B$12*Inputs!$B$26)/Inputs!$B$26)^Inputs!$B$12/FACT(Inputs!$B$12)*Inputs!$B$12/(Inputs!$B$12-(MIN(N40,0.95*Inputs!$B$12*Inputs!$B$26)/Inputs!$B$26)))),0)</f>
        <v>0.209249545280716</v>
      </c>
      <c r="R40" s="45" t="n">
        <f aca="false">IF(N40&gt;0,Q40/(Inputs!$B$12*Inputs!$B$26-MIN(N40,0.95*Inputs!$B$12*Inputs!$B$26)),0)</f>
        <v>0.0168742235269099</v>
      </c>
      <c r="S40" s="34" t="n">
        <f aca="false">MAX(0,S39+(N40-Inputs!$B$12*Inputs!$B$26)*10)</f>
        <v>0</v>
      </c>
      <c r="T40" s="43" t="n">
        <f aca="false">(S39+S40)/2/(Inputs!$B$12*Inputs!$B$26)+R40</f>
        <v>0.0168742235269099</v>
      </c>
      <c r="U40" s="43" t="n">
        <f aca="false">Inputs!$B$86+T40+1/Inputs!$B$26+Inputs!$B$87+Inputs!$B$88+Inputs!$B$89</f>
        <v>28.6418742235269</v>
      </c>
      <c r="V40" s="32" t="n">
        <f aca="false">N40*U40</f>
        <v>217.662673155356</v>
      </c>
      <c r="W40" s="43" t="n">
        <f aca="false">$D40*$E$26</f>
        <v>23.1652393790582</v>
      </c>
      <c r="X40" s="44" t="n">
        <f aca="false">W40/Inputs!$B$84</f>
        <v>0.772174645968607</v>
      </c>
      <c r="Y40" s="44" t="n">
        <f aca="false">W40/(Inputs!$B$11*Inputs!$B$26)</f>
        <v>1.15826196895291</v>
      </c>
      <c r="Z40" s="45" t="n">
        <f aca="false">IF(W40&gt;0,((MIN(W40,0.95*Inputs!$B$11*Inputs!$B$26)/Inputs!$B$26)^Inputs!$B$11/FACT(Inputs!$B$11)*Inputs!$B$11/(Inputs!$B$11-(MIN(W40,0.95*Inputs!$B$11*Inputs!$B$26)/Inputs!$B$26)))/(SUMPRODUCT(--({0,1,2,3,4,5,6,7,8,9}&lt;Inputs!$B$11),(MIN(W40,0.95*Inputs!$B$11*Inputs!$B$26)/Inputs!$B$26)^{0,1,2,3,4,5,6,7,8,9}/FACT({0,1,2,3,4,5,6,7,8,9}))+((MIN(W40,0.95*Inputs!$B$11*Inputs!$B$26)/Inputs!$B$26)^Inputs!$B$11/FACT(Inputs!$B$11)*Inputs!$B$11/(Inputs!$B$11-(MIN(W40,0.95*Inputs!$B$11*Inputs!$B$26)/Inputs!$B$26)))),0)</f>
        <v>0.925641025641026</v>
      </c>
      <c r="AA40" s="45" t="n">
        <f aca="false">IF(W40&gt;0,Z40/(Inputs!$B$11*Inputs!$B$26-MIN(W40,0.95*Inputs!$B$11*Inputs!$B$26)),0)</f>
        <v>0.925641025641026</v>
      </c>
      <c r="AB40" s="34" t="n">
        <f aca="false">MAX(0,AB39+(W40-Inputs!$B$11*Inputs!$B$26)*10)</f>
        <v>31.6523937905821</v>
      </c>
      <c r="AC40" s="43" t="n">
        <f aca="false">(AB39+AB40)/2/(Inputs!$B$11*Inputs!$B$26)+AA40</f>
        <v>1.71695087040558</v>
      </c>
      <c r="AD40" s="43" t="n">
        <f aca="false">Inputs!$B$86+AC40+1/Inputs!$B$26+Inputs!$B$87+Inputs!$B$88+Inputs!$B$89</f>
        <v>30.3419508704056</v>
      </c>
      <c r="AE40" s="32" t="n">
        <f aca="false">W40*AD40</f>
        <v>702.878555140569</v>
      </c>
      <c r="AF40" s="43" t="n">
        <f aca="false">$D40*(1-$E$26)</f>
        <v>14.2705062238154</v>
      </c>
      <c r="AG40" s="44" t="n">
        <f aca="false">AF40/Inputs!$B$85</f>
        <v>0.475683540793848</v>
      </c>
      <c r="AH40" s="44" t="n">
        <f aca="false">AF40/(Inputs!$B$12*Inputs!$B$26)</f>
        <v>0.713525311190771</v>
      </c>
      <c r="AI40" s="45" t="n">
        <f aca="false">IF(AF40&gt;0,((MIN(AF40,0.95*Inputs!$B$12*Inputs!$B$26)/Inputs!$B$26)^Inputs!$B$12/FACT(Inputs!$B$12)*Inputs!$B$12/(Inputs!$B$12-(MIN(AF40,0.95*Inputs!$B$12*Inputs!$B$26)/Inputs!$B$26)))/(SUMPRODUCT(--({0,1,2,3,4,5,6,7,8,9}&lt;Inputs!$B$12),(MIN(AF40,0.95*Inputs!$B$12*Inputs!$B$26)/Inputs!$B$26)^{0,1,2,3,4,5,6,7,8,9}/FACT({0,1,2,3,4,5,6,7,8,9}))+((MIN(AF40,0.95*Inputs!$B$12*Inputs!$B$26)/Inputs!$B$26)^Inputs!$B$12/FACT(Inputs!$B$12)*Inputs!$B$12/(Inputs!$B$12-(MIN(AF40,0.95*Inputs!$B$12*Inputs!$B$26)/Inputs!$B$26)))),0)</f>
        <v>0.594235015245953</v>
      </c>
      <c r="AJ40" s="45" t="n">
        <f aca="false">IF(AF40&gt;0,AI40/(Inputs!$B$12*Inputs!$B$26-MIN(AF40,0.95*Inputs!$B$12*Inputs!$B$26)),0)</f>
        <v>0.103715099179612</v>
      </c>
      <c r="AK40" s="34" t="n">
        <f aca="false">MAX(0,AK39+(AF40-Inputs!$B$12*Inputs!$B$26)*10)</f>
        <v>0</v>
      </c>
      <c r="AL40" s="43" t="n">
        <f aca="false">(AK39+AK40)/2/(Inputs!$B$12*Inputs!$B$26)+AJ40</f>
        <v>0.103715099179612</v>
      </c>
      <c r="AM40" s="43" t="n">
        <f aca="false">Inputs!$B$86+AL40+1/Inputs!$B$26+Inputs!$B$87+Inputs!$B$88+Inputs!$B$89</f>
        <v>28.7287150991796</v>
      </c>
      <c r="AN40" s="32" t="n">
        <f aca="false">AF40*AM40</f>
        <v>409.973307625063</v>
      </c>
    </row>
    <row r="41" customFormat="false" ht="15" hidden="false" customHeight="false" outlineLevel="0" collapsed="false">
      <c r="A41" s="13" t="s">
        <v>511</v>
      </c>
      <c r="B41" s="41" t="n">
        <f aca="false">'Arrival Curve'!$L$30</f>
        <v>0.11995494728952</v>
      </c>
      <c r="C41" s="34" t="n">
        <f aca="false">'Arrival Curve'!$K$30</f>
        <v>355.06664397698</v>
      </c>
      <c r="D41" s="27" t="n">
        <f aca="false">C41/10</f>
        <v>35.506664397698</v>
      </c>
      <c r="E41" s="43" t="n">
        <f aca="false">$D41*Inputs!$B$35</f>
        <v>28.2988115249653</v>
      </c>
      <c r="F41" s="44" t="n">
        <f aca="false">E41/Inputs!$B$84</f>
        <v>0.943293717498845</v>
      </c>
      <c r="G41" s="44" t="n">
        <f aca="false">E41/(Inputs!$B$11*Inputs!$B$26)</f>
        <v>1.41494057624827</v>
      </c>
      <c r="H41" s="45" t="n">
        <f aca="false">IF(E41&gt;0,((MIN(E41,0.95*Inputs!$B$11*Inputs!$B$26)/Inputs!$B$26)^Inputs!$B$11/FACT(Inputs!$B$11)*Inputs!$B$11/(Inputs!$B$11-(MIN(E41,0.95*Inputs!$B$11*Inputs!$B$26)/Inputs!$B$26)))/(SUMPRODUCT(--({0,1,2,3,4,5,6,7,8,9}&lt;Inputs!$B$11),(MIN(E41,0.95*Inputs!$B$11*Inputs!$B$26)/Inputs!$B$26)^{0,1,2,3,4,5,6,7,8,9}/FACT({0,1,2,3,4,5,6,7,8,9}))+((MIN(E41,0.95*Inputs!$B$11*Inputs!$B$26)/Inputs!$B$26)^Inputs!$B$11/FACT(Inputs!$B$11)*Inputs!$B$11/(Inputs!$B$11-(MIN(E41,0.95*Inputs!$B$11*Inputs!$B$26)/Inputs!$B$26)))),0)</f>
        <v>0.925641025641026</v>
      </c>
      <c r="I41" s="45" t="n">
        <f aca="false">IF(E41&gt;0,H41/(Inputs!$B$11*Inputs!$B$26-MIN(E41,0.95*Inputs!$B$11*Inputs!$B$26)),0)</f>
        <v>0.925641025641026</v>
      </c>
      <c r="J41" s="34" t="n">
        <f aca="false">MAX(0,J40+(E41-Inputs!$B$11*Inputs!$B$26)*10)</f>
        <v>218.189045303653</v>
      </c>
      <c r="K41" s="43" t="n">
        <f aca="false">(J40+J41)/2/(Inputs!$B$11*Inputs!$B$26)+I41</f>
        <v>9.76039040958235</v>
      </c>
      <c r="L41" s="43" t="n">
        <f aca="false">Inputs!$B$86+K41+1/Inputs!$B$26+Inputs!$B$87+Inputs!$B$88+Inputs!$B$89</f>
        <v>38.3853904095823</v>
      </c>
      <c r="M41" s="32" t="n">
        <f aca="false">E41*L41</f>
        <v>1086.26092851298</v>
      </c>
      <c r="N41" s="43" t="n">
        <f aca="false">$D41*(1-Inputs!$B$35)</f>
        <v>7.2078528727327</v>
      </c>
      <c r="O41" s="44" t="n">
        <f aca="false">N41/Inputs!$B$85</f>
        <v>0.240261762424423</v>
      </c>
      <c r="P41" s="44" t="n">
        <f aca="false">N41/(Inputs!$B$12*Inputs!$B$26)</f>
        <v>0.360392643636635</v>
      </c>
      <c r="Q41" s="45" t="n">
        <f aca="false">IF(N41&gt;0,((MIN(N41,0.95*Inputs!$B$12*Inputs!$B$26)/Inputs!$B$26)^Inputs!$B$12/FACT(Inputs!$B$12)*Inputs!$B$12/(Inputs!$B$12-(MIN(N41,0.95*Inputs!$B$12*Inputs!$B$26)/Inputs!$B$26)))/(SUMPRODUCT(--({0,1,2,3,4,5,6,7,8,9}&lt;Inputs!$B$12),(MIN(N41,0.95*Inputs!$B$12*Inputs!$B$26)/Inputs!$B$26)^{0,1,2,3,4,5,6,7,8,9}/FACT({0,1,2,3,4,5,6,7,8,9}))+((MIN(N41,0.95*Inputs!$B$12*Inputs!$B$26)/Inputs!$B$26)^Inputs!$B$12/FACT(Inputs!$B$12)*Inputs!$B$12/(Inputs!$B$12-(MIN(N41,0.95*Inputs!$B$12*Inputs!$B$26)/Inputs!$B$26)))),0)</f>
        <v>0.190949073703011</v>
      </c>
      <c r="R41" s="45" t="n">
        <f aca="false">IF(N41&gt;0,Q41/(Inputs!$B$12*Inputs!$B$26-MIN(N41,0.95*Inputs!$B$12*Inputs!$B$26)),0)</f>
        <v>0.0149270542156281</v>
      </c>
      <c r="S41" s="34" t="n">
        <f aca="false">MAX(0,S40+(N41-Inputs!$B$12*Inputs!$B$26)*10)</f>
        <v>0</v>
      </c>
      <c r="T41" s="43" t="n">
        <f aca="false">(S40+S41)/2/(Inputs!$B$12*Inputs!$B$26)+R41</f>
        <v>0.0149270542156281</v>
      </c>
      <c r="U41" s="43" t="n">
        <f aca="false">Inputs!$B$86+T41+1/Inputs!$B$26+Inputs!$B$87+Inputs!$B$88+Inputs!$B$89</f>
        <v>28.6399270542156</v>
      </c>
      <c r="V41" s="32" t="n">
        <f aca="false">N41*U41</f>
        <v>206.432380492583</v>
      </c>
      <c r="W41" s="43" t="n">
        <f aca="false">$D41*$E$26</f>
        <v>21.9715239292955</v>
      </c>
      <c r="X41" s="44" t="n">
        <f aca="false">W41/Inputs!$B$84</f>
        <v>0.732384130976518</v>
      </c>
      <c r="Y41" s="44" t="n">
        <f aca="false">W41/(Inputs!$B$11*Inputs!$B$26)</f>
        <v>1.09857619646478</v>
      </c>
      <c r="Z41" s="45" t="n">
        <f aca="false">IF(W41&gt;0,((MIN(W41,0.95*Inputs!$B$11*Inputs!$B$26)/Inputs!$B$26)^Inputs!$B$11/FACT(Inputs!$B$11)*Inputs!$B$11/(Inputs!$B$11-(MIN(W41,0.95*Inputs!$B$11*Inputs!$B$26)/Inputs!$B$26)))/(SUMPRODUCT(--({0,1,2,3,4,5,6,7,8,9}&lt;Inputs!$B$11),(MIN(W41,0.95*Inputs!$B$11*Inputs!$B$26)/Inputs!$B$26)^{0,1,2,3,4,5,6,7,8,9}/FACT({0,1,2,3,4,5,6,7,8,9}))+((MIN(W41,0.95*Inputs!$B$11*Inputs!$B$26)/Inputs!$B$26)^Inputs!$B$11/FACT(Inputs!$B$11)*Inputs!$B$11/(Inputs!$B$11-(MIN(W41,0.95*Inputs!$B$11*Inputs!$B$26)/Inputs!$B$26)))),0)</f>
        <v>0.925641025641026</v>
      </c>
      <c r="AA41" s="45" t="n">
        <f aca="false">IF(W41&gt;0,Z41/(Inputs!$B$11*Inputs!$B$26-MIN(W41,0.95*Inputs!$B$11*Inputs!$B$26)),0)</f>
        <v>0.925641025641026</v>
      </c>
      <c r="AB41" s="34" t="n">
        <f aca="false">MAX(0,AB40+(W41-Inputs!$B$11*Inputs!$B$26)*10)</f>
        <v>51.3676330835375</v>
      </c>
      <c r="AC41" s="43" t="n">
        <f aca="false">(AB40+AB41)/2/(Inputs!$B$11*Inputs!$B$26)+AA41</f>
        <v>3.00114169749402</v>
      </c>
      <c r="AD41" s="43" t="n">
        <f aca="false">Inputs!$B$86+AC41+1/Inputs!$B$26+Inputs!$B$87+Inputs!$B$88+Inputs!$B$89</f>
        <v>31.626141697494</v>
      </c>
      <c r="AE41" s="32" t="n">
        <f aca="false">W41*AD41</f>
        <v>694.874529097781</v>
      </c>
      <c r="AF41" s="43" t="n">
        <f aca="false">$D41*(1-$E$26)</f>
        <v>13.5351404684025</v>
      </c>
      <c r="AG41" s="44" t="n">
        <f aca="false">AF41/Inputs!$B$85</f>
        <v>0.45117134894675</v>
      </c>
      <c r="AH41" s="44" t="n">
        <f aca="false">AF41/(Inputs!$B$12*Inputs!$B$26)</f>
        <v>0.676757023420125</v>
      </c>
      <c r="AI41" s="45" t="n">
        <f aca="false">IF(AF41&gt;0,((MIN(AF41,0.95*Inputs!$B$12*Inputs!$B$26)/Inputs!$B$26)^Inputs!$B$12/FACT(Inputs!$B$12)*Inputs!$B$12/(Inputs!$B$12-(MIN(AF41,0.95*Inputs!$B$12*Inputs!$B$26)/Inputs!$B$26)))/(SUMPRODUCT(--({0,1,2,3,4,5,6,7,8,9}&lt;Inputs!$B$12),(MIN(AF41,0.95*Inputs!$B$12*Inputs!$B$26)/Inputs!$B$26)^{0,1,2,3,4,5,6,7,8,9}/FACT({0,1,2,3,4,5,6,7,8,9}))+((MIN(AF41,0.95*Inputs!$B$12*Inputs!$B$26)/Inputs!$B$26)^Inputs!$B$12/FACT(Inputs!$B$12)*Inputs!$B$12/(Inputs!$B$12-(MIN(AF41,0.95*Inputs!$B$12*Inputs!$B$26)/Inputs!$B$26)))),0)</f>
        <v>0.546292709499761</v>
      </c>
      <c r="AJ41" s="45" t="n">
        <f aca="false">IF(AF41&gt;0,AI41/(Inputs!$B$12*Inputs!$B$26-MIN(AF41,0.95*Inputs!$B$12*Inputs!$B$26)),0)</f>
        <v>0.0845018684210713</v>
      </c>
      <c r="AK41" s="34" t="n">
        <f aca="false">MAX(0,AK40+(AF41-Inputs!$B$12*Inputs!$B$26)*10)</f>
        <v>0</v>
      </c>
      <c r="AL41" s="43" t="n">
        <f aca="false">(AK40+AK41)/2/(Inputs!$B$12*Inputs!$B$26)+AJ41</f>
        <v>0.0845018684210713</v>
      </c>
      <c r="AM41" s="43" t="n">
        <f aca="false">Inputs!$B$86+AL41+1/Inputs!$B$26+Inputs!$B$87+Inputs!$B$88+Inputs!$B$89</f>
        <v>28.7095018684211</v>
      </c>
      <c r="AN41" s="32" t="n">
        <f aca="false">AF41*AM41</f>
        <v>388.587140566943</v>
      </c>
    </row>
    <row r="42" customFormat="false" ht="15" hidden="false" customHeight="false" outlineLevel="0" collapsed="false">
      <c r="A42" s="13" t="s">
        <v>512</v>
      </c>
      <c r="B42" s="41" t="n">
        <f aca="false">'Arrival Curve'!$L$31</f>
        <v>0.0910826714897166</v>
      </c>
      <c r="C42" s="34" t="n">
        <f aca="false">'Arrival Curve'!$K$31</f>
        <v>269.604707609561</v>
      </c>
      <c r="D42" s="27" t="n">
        <f aca="false">C42/10</f>
        <v>26.9604707609561</v>
      </c>
      <c r="E42" s="43" t="n">
        <f aca="false">$D42*Inputs!$B$35</f>
        <v>21.487495196482</v>
      </c>
      <c r="F42" s="44" t="n">
        <f aca="false">E42/Inputs!$B$84</f>
        <v>0.716249839882734</v>
      </c>
      <c r="G42" s="44" t="n">
        <f aca="false">E42/(Inputs!$B$11*Inputs!$B$26)</f>
        <v>1.0743747598241</v>
      </c>
      <c r="H42" s="45" t="n">
        <f aca="false">IF(E42&gt;0,((MIN(E42,0.95*Inputs!$B$11*Inputs!$B$26)/Inputs!$B$26)^Inputs!$B$11/FACT(Inputs!$B$11)*Inputs!$B$11/(Inputs!$B$11-(MIN(E42,0.95*Inputs!$B$11*Inputs!$B$26)/Inputs!$B$26)))/(SUMPRODUCT(--({0,1,2,3,4,5,6,7,8,9}&lt;Inputs!$B$11),(MIN(E42,0.95*Inputs!$B$11*Inputs!$B$26)/Inputs!$B$26)^{0,1,2,3,4,5,6,7,8,9}/FACT({0,1,2,3,4,5,6,7,8,9}))+((MIN(E42,0.95*Inputs!$B$11*Inputs!$B$26)/Inputs!$B$26)^Inputs!$B$11/FACT(Inputs!$B$11)*Inputs!$B$11/(Inputs!$B$11-(MIN(E42,0.95*Inputs!$B$11*Inputs!$B$26)/Inputs!$B$26)))),0)</f>
        <v>0.925641025641026</v>
      </c>
      <c r="I42" s="45" t="n">
        <f aca="false">IF(E42&gt;0,H42/(Inputs!$B$11*Inputs!$B$26-MIN(E42,0.95*Inputs!$B$11*Inputs!$B$26)),0)</f>
        <v>0.925641025641026</v>
      </c>
      <c r="J42" s="34" t="n">
        <f aca="false">MAX(0,J41+(E42-Inputs!$B$11*Inputs!$B$26)*10)</f>
        <v>233.063997268473</v>
      </c>
      <c r="K42" s="43" t="n">
        <f aca="false">(J41+J42)/2/(Inputs!$B$11*Inputs!$B$26)+I42</f>
        <v>12.2069670899442</v>
      </c>
      <c r="L42" s="43" t="n">
        <f aca="false">Inputs!$B$86+K42+1/Inputs!$B$26+Inputs!$B$87+Inputs!$B$88+Inputs!$B$89</f>
        <v>40.8319670899442</v>
      </c>
      <c r="M42" s="32" t="n">
        <f aca="false">E42*L42</f>
        <v>877.376696708088</v>
      </c>
      <c r="N42" s="43" t="n">
        <f aca="false">$D42*(1-Inputs!$B$35)</f>
        <v>5.47297556447409</v>
      </c>
      <c r="O42" s="44" t="n">
        <f aca="false">N42/Inputs!$B$85</f>
        <v>0.182432518815803</v>
      </c>
      <c r="P42" s="44" t="n">
        <f aca="false">N42/(Inputs!$B$12*Inputs!$B$26)</f>
        <v>0.273648778223704</v>
      </c>
      <c r="Q42" s="45" t="n">
        <f aca="false">IF(N42&gt;0,((MIN(N42,0.95*Inputs!$B$12*Inputs!$B$26)/Inputs!$B$26)^Inputs!$B$12/FACT(Inputs!$B$12)*Inputs!$B$12/(Inputs!$B$12-(MIN(N42,0.95*Inputs!$B$12*Inputs!$B$26)/Inputs!$B$26)))/(SUMPRODUCT(--({0,1,2,3,4,5,6,7,8,9}&lt;Inputs!$B$12),(MIN(N42,0.95*Inputs!$B$12*Inputs!$B$26)/Inputs!$B$26)^{0,1,2,3,4,5,6,7,8,9}/FACT({0,1,2,3,4,5,6,7,8,9}))+((MIN(N42,0.95*Inputs!$B$12*Inputs!$B$26)/Inputs!$B$26)^Inputs!$B$12/FACT(Inputs!$B$12)*Inputs!$B$12/(Inputs!$B$12-(MIN(N42,0.95*Inputs!$B$12*Inputs!$B$26)/Inputs!$B$26)))),0)</f>
        <v>0.117589173881614</v>
      </c>
      <c r="R42" s="45" t="n">
        <f aca="false">IF(N42&gt;0,Q42/(Inputs!$B$12*Inputs!$B$26-MIN(N42,0.95*Inputs!$B$12*Inputs!$B$26)),0)</f>
        <v>0.00809451201817001</v>
      </c>
      <c r="S42" s="34" t="n">
        <f aca="false">MAX(0,S41+(N42-Inputs!$B$12*Inputs!$B$26)*10)</f>
        <v>0</v>
      </c>
      <c r="T42" s="43" t="n">
        <f aca="false">(S41+S42)/2/(Inputs!$B$12*Inputs!$B$26)+R42</f>
        <v>0.00809451201817001</v>
      </c>
      <c r="U42" s="43" t="n">
        <f aca="false">Inputs!$B$86+T42+1/Inputs!$B$26+Inputs!$B$87+Inputs!$B$88+Inputs!$B$89</f>
        <v>28.6330945120182</v>
      </c>
      <c r="V42" s="32" t="n">
        <f aca="false">N42*U42</f>
        <v>156.708226599553</v>
      </c>
      <c r="W42" s="43" t="n">
        <f aca="false">$D42*$E$26</f>
        <v>16.6831393068796</v>
      </c>
      <c r="X42" s="44" t="n">
        <f aca="false">W42/Inputs!$B$84</f>
        <v>0.556104643562655</v>
      </c>
      <c r="Y42" s="44" t="n">
        <f aca="false">W42/(Inputs!$B$11*Inputs!$B$26)</f>
        <v>0.834156965343982</v>
      </c>
      <c r="Z42" s="45" t="n">
        <f aca="false">IF(W42&gt;0,((MIN(W42,0.95*Inputs!$B$11*Inputs!$B$26)/Inputs!$B$26)^Inputs!$B$11/FACT(Inputs!$B$11)*Inputs!$B$11/(Inputs!$B$11-(MIN(W42,0.95*Inputs!$B$11*Inputs!$B$26)/Inputs!$B$26)))/(SUMPRODUCT(--({0,1,2,3,4,5,6,7,8,9}&lt;Inputs!$B$11),(MIN(W42,0.95*Inputs!$B$11*Inputs!$B$26)/Inputs!$B$26)^{0,1,2,3,4,5,6,7,8,9}/FACT({0,1,2,3,4,5,6,7,8,9}))+((MIN(W42,0.95*Inputs!$B$11*Inputs!$B$26)/Inputs!$B$26)^Inputs!$B$11/FACT(Inputs!$B$11)*Inputs!$B$11/(Inputs!$B$11-(MIN(W42,0.95*Inputs!$B$11*Inputs!$B$26)/Inputs!$B$26)))),0)</f>
        <v>0.758733146594557</v>
      </c>
      <c r="AA42" s="45" t="n">
        <f aca="false">IF(W42&gt;0,Z42/(Inputs!$B$11*Inputs!$B$26-MIN(W42,0.95*Inputs!$B$11*Inputs!$B$26)),0)</f>
        <v>0.228750380794791</v>
      </c>
      <c r="AB42" s="34" t="n">
        <f aca="false">MAX(0,AB41+(W42-Inputs!$B$11*Inputs!$B$26)*10)</f>
        <v>18.1990261523339</v>
      </c>
      <c r="AC42" s="43" t="n">
        <f aca="false">(AB41+AB42)/2/(Inputs!$B$11*Inputs!$B$26)+AA42</f>
        <v>1.96791686169158</v>
      </c>
      <c r="AD42" s="43" t="n">
        <f aca="false">Inputs!$B$86+AC42+1/Inputs!$B$26+Inputs!$B$87+Inputs!$B$88+Inputs!$B$89</f>
        <v>30.5929168616916</v>
      </c>
      <c r="AE42" s="32" t="n">
        <f aca="false">W42*AD42</f>
        <v>510.385893807388</v>
      </c>
      <c r="AF42" s="43" t="n">
        <f aca="false">$D42*(1-$E$26)</f>
        <v>10.2773314540765</v>
      </c>
      <c r="AG42" s="44" t="n">
        <f aca="false">AF42/Inputs!$B$85</f>
        <v>0.342577715135882</v>
      </c>
      <c r="AH42" s="44" t="n">
        <f aca="false">AF42/(Inputs!$B$12*Inputs!$B$26)</f>
        <v>0.513866572703823</v>
      </c>
      <c r="AI42" s="45" t="n">
        <f aca="false">IF(AF42&gt;0,((MIN(AF42,0.95*Inputs!$B$12*Inputs!$B$26)/Inputs!$B$26)^Inputs!$B$12/FACT(Inputs!$B$12)*Inputs!$B$12/(Inputs!$B$12-(MIN(AF42,0.95*Inputs!$B$12*Inputs!$B$26)/Inputs!$B$26)))/(SUMPRODUCT(--({0,1,2,3,4,5,6,7,8,9}&lt;Inputs!$B$12),(MIN(AF42,0.95*Inputs!$B$12*Inputs!$B$26)/Inputs!$B$26)^{0,1,2,3,4,5,6,7,8,9}/FACT({0,1,2,3,4,5,6,7,8,9}))+((MIN(AF42,0.95*Inputs!$B$12*Inputs!$B$26)/Inputs!$B$26)^Inputs!$B$12/FACT(Inputs!$B$12)*Inputs!$B$12/(Inputs!$B$12-(MIN(AF42,0.95*Inputs!$B$12*Inputs!$B$26)/Inputs!$B$26)))),0)</f>
        <v>0.348853537429992</v>
      </c>
      <c r="AJ42" s="45" t="n">
        <f aca="false">IF(AF42&gt;0,AI42/(Inputs!$B$12*Inputs!$B$26-MIN(AF42,0.95*Inputs!$B$12*Inputs!$B$26)),0)</f>
        <v>0.0358804309518767</v>
      </c>
      <c r="AK42" s="34" t="n">
        <f aca="false">MAX(0,AK41+(AF42-Inputs!$B$12*Inputs!$B$26)*10)</f>
        <v>0</v>
      </c>
      <c r="AL42" s="43" t="n">
        <f aca="false">(AK41+AK42)/2/(Inputs!$B$12*Inputs!$B$26)+AJ42</f>
        <v>0.0358804309518767</v>
      </c>
      <c r="AM42" s="43" t="n">
        <f aca="false">Inputs!$B$86+AL42+1/Inputs!$B$26+Inputs!$B$87+Inputs!$B$88+Inputs!$B$89</f>
        <v>28.6608804309519</v>
      </c>
      <c r="AN42" s="32" t="n">
        <f aca="false">AF42*AM42</f>
        <v>294.557367954546</v>
      </c>
    </row>
    <row r="43" customFormat="false" ht="15" hidden="false" customHeight="false" outlineLevel="0" collapsed="false">
      <c r="A43" s="13" t="s">
        <v>513</v>
      </c>
      <c r="B43" s="41" t="n">
        <f aca="false">'Arrival Curve'!$L$32</f>
        <v>0.0592265136377192</v>
      </c>
      <c r="C43" s="34" t="n">
        <f aca="false">'Arrival Curve'!$K$32</f>
        <v>175.310480367649</v>
      </c>
      <c r="D43" s="27" t="n">
        <f aca="false">C43/10</f>
        <v>17.5310480367649</v>
      </c>
      <c r="E43" s="43" t="n">
        <f aca="false">$D43*Inputs!$B$35</f>
        <v>13.9722452853016</v>
      </c>
      <c r="F43" s="44" t="n">
        <f aca="false">E43/Inputs!$B$84</f>
        <v>0.465741509510054</v>
      </c>
      <c r="G43" s="44" t="n">
        <f aca="false">E43/(Inputs!$B$11*Inputs!$B$26)</f>
        <v>0.698612264265081</v>
      </c>
      <c r="H43" s="45" t="n">
        <f aca="false">IF(E43&gt;0,((MIN(E43,0.95*Inputs!$B$11*Inputs!$B$26)/Inputs!$B$26)^Inputs!$B$11/FACT(Inputs!$B$11)*Inputs!$B$11/(Inputs!$B$11-(MIN(E43,0.95*Inputs!$B$11*Inputs!$B$26)/Inputs!$B$26)))/(SUMPRODUCT(--({0,1,2,3,4,5,6,7,8,9}&lt;Inputs!$B$11),(MIN(E43,0.95*Inputs!$B$11*Inputs!$B$26)/Inputs!$B$26)^{0,1,2,3,4,5,6,7,8,9}/FACT({0,1,2,3,4,5,6,7,8,9}))+((MIN(E43,0.95*Inputs!$B$11*Inputs!$B$26)/Inputs!$B$26)^Inputs!$B$11/FACT(Inputs!$B$11)*Inputs!$B$11/(Inputs!$B$11-(MIN(E43,0.95*Inputs!$B$11*Inputs!$B$26)/Inputs!$B$26)))),0)</f>
        <v>0.574656272121933</v>
      </c>
      <c r="I43" s="45" t="n">
        <f aca="false">IF(E43&gt;0,H43/(Inputs!$B$11*Inputs!$B$26-MIN(E43,0.95*Inputs!$B$11*Inputs!$B$26)),0)</f>
        <v>0.0953350458539167</v>
      </c>
      <c r="J43" s="34" t="n">
        <f aca="false">MAX(0,J42+(E43-Inputs!$B$11*Inputs!$B$26)*10)</f>
        <v>172.786450121489</v>
      </c>
      <c r="K43" s="43" t="n">
        <f aca="false">(J42+J43)/2/(Inputs!$B$11*Inputs!$B$26)+I43</f>
        <v>10.241596230603</v>
      </c>
      <c r="L43" s="43" t="n">
        <f aca="false">Inputs!$B$86+K43+1/Inputs!$B$26+Inputs!$B$87+Inputs!$B$88+Inputs!$B$89</f>
        <v>38.866596230603</v>
      </c>
      <c r="M43" s="32" t="n">
        <f aca="false">E43*L43</f>
        <v>543.053615938764</v>
      </c>
      <c r="N43" s="43" t="n">
        <f aca="false">$D43*(1-Inputs!$B$35)</f>
        <v>3.55880275146327</v>
      </c>
      <c r="O43" s="44" t="n">
        <f aca="false">N43/Inputs!$B$85</f>
        <v>0.118626758382109</v>
      </c>
      <c r="P43" s="44" t="n">
        <f aca="false">N43/(Inputs!$B$12*Inputs!$B$26)</f>
        <v>0.177940137573164</v>
      </c>
      <c r="Q43" s="45" t="n">
        <f aca="false">IF(N43&gt;0,((MIN(N43,0.95*Inputs!$B$12*Inputs!$B$26)/Inputs!$B$26)^Inputs!$B$12/FACT(Inputs!$B$12)*Inputs!$B$12/(Inputs!$B$12-(MIN(N43,0.95*Inputs!$B$12*Inputs!$B$26)/Inputs!$B$26)))/(SUMPRODUCT(--({0,1,2,3,4,5,6,7,8,9}&lt;Inputs!$B$12),(MIN(N43,0.95*Inputs!$B$12*Inputs!$B$26)/Inputs!$B$26)^{0,1,2,3,4,5,6,7,8,9}/FACT({0,1,2,3,4,5,6,7,8,9}))+((MIN(N43,0.95*Inputs!$B$12*Inputs!$B$26)/Inputs!$B$26)^Inputs!$B$12/FACT(Inputs!$B$12)*Inputs!$B$12/(Inputs!$B$12-(MIN(N43,0.95*Inputs!$B$12*Inputs!$B$26)/Inputs!$B$26)))),0)</f>
        <v>0.0537594255422675</v>
      </c>
      <c r="R43" s="45" t="n">
        <f aca="false">IF(N43&gt;0,Q43/(Inputs!$B$12*Inputs!$B$26-MIN(N43,0.95*Inputs!$B$12*Inputs!$B$26)),0)</f>
        <v>0.00326979992573546</v>
      </c>
      <c r="S43" s="34" t="n">
        <f aca="false">MAX(0,S42+(N43-Inputs!$B$12*Inputs!$B$26)*10)</f>
        <v>0</v>
      </c>
      <c r="T43" s="43" t="n">
        <f aca="false">(S42+S43)/2/(Inputs!$B$12*Inputs!$B$26)+R43</f>
        <v>0.00326979992573546</v>
      </c>
      <c r="U43" s="43" t="n">
        <f aca="false">Inputs!$B$86+T43+1/Inputs!$B$26+Inputs!$B$87+Inputs!$B$88+Inputs!$B$89</f>
        <v>28.6282697999257</v>
      </c>
      <c r="V43" s="32" t="n">
        <f aca="false">N43*U43</f>
        <v>101.882365333609</v>
      </c>
      <c r="W43" s="43" t="n">
        <f aca="false">$D43*$E$26</f>
        <v>10.8482125251501</v>
      </c>
      <c r="X43" s="44" t="n">
        <f aca="false">W43/Inputs!$B$84</f>
        <v>0.361607084171671</v>
      </c>
      <c r="Y43" s="44" t="n">
        <f aca="false">W43/(Inputs!$B$11*Inputs!$B$26)</f>
        <v>0.542410626257506</v>
      </c>
      <c r="Z43" s="45" t="n">
        <f aca="false">IF(W43&gt;0,((MIN(W43,0.95*Inputs!$B$11*Inputs!$B$26)/Inputs!$B$26)^Inputs!$B$11/FACT(Inputs!$B$11)*Inputs!$B$11/(Inputs!$B$11-(MIN(W43,0.95*Inputs!$B$11*Inputs!$B$26)/Inputs!$B$26)))/(SUMPRODUCT(--({0,1,2,3,4,5,6,7,8,9}&lt;Inputs!$B$11),(MIN(W43,0.95*Inputs!$B$11*Inputs!$B$26)/Inputs!$B$26)^{0,1,2,3,4,5,6,7,8,9}/FACT({0,1,2,3,4,5,6,7,8,9}))+((MIN(W43,0.95*Inputs!$B$11*Inputs!$B$26)/Inputs!$B$26)^Inputs!$B$11/FACT(Inputs!$B$11)*Inputs!$B$11/(Inputs!$B$11-(MIN(W43,0.95*Inputs!$B$11*Inputs!$B$26)/Inputs!$B$26)))),0)</f>
        <v>0.381492817111779</v>
      </c>
      <c r="AA43" s="45" t="n">
        <f aca="false">IF(W43&gt;0,Z43/(Inputs!$B$11*Inputs!$B$26-MIN(W43,0.95*Inputs!$B$11*Inputs!$B$26)),0)</f>
        <v>0.0416850607774889</v>
      </c>
      <c r="AB43" s="34" t="n">
        <f aca="false">MAX(0,AB42+(W43-Inputs!$B$11*Inputs!$B$26)*10)</f>
        <v>0</v>
      </c>
      <c r="AC43" s="43" t="n">
        <f aca="false">(AB42+AB43)/2/(Inputs!$B$11*Inputs!$B$26)+AA43</f>
        <v>0.496660714585837</v>
      </c>
      <c r="AD43" s="43" t="n">
        <f aca="false">Inputs!$B$86+AC43+1/Inputs!$B$26+Inputs!$B$87+Inputs!$B$88+Inputs!$B$89</f>
        <v>29.1216607145858</v>
      </c>
      <c r="AE43" s="32" t="n">
        <f aca="false">W43*AD43</f>
        <v>315.917964517142</v>
      </c>
      <c r="AF43" s="43" t="n">
        <f aca="false">$D43*(1-$E$26)</f>
        <v>6.68283551161478</v>
      </c>
      <c r="AG43" s="44" t="n">
        <f aca="false">AF43/Inputs!$B$85</f>
        <v>0.222761183720493</v>
      </c>
      <c r="AH43" s="44" t="n">
        <f aca="false">AF43/(Inputs!$B$12*Inputs!$B$26)</f>
        <v>0.334141775580739</v>
      </c>
      <c r="AI43" s="45" t="n">
        <f aca="false">IF(AF43&gt;0,((MIN(AF43,0.95*Inputs!$B$12*Inputs!$B$26)/Inputs!$B$26)^Inputs!$B$12/FACT(Inputs!$B$12)*Inputs!$B$12/(Inputs!$B$12-(MIN(AF43,0.95*Inputs!$B$12*Inputs!$B$26)/Inputs!$B$26)))/(SUMPRODUCT(--({0,1,2,3,4,5,6,7,8,9}&lt;Inputs!$B$12),(MIN(AF43,0.95*Inputs!$B$12*Inputs!$B$26)/Inputs!$B$26)^{0,1,2,3,4,5,6,7,8,9}/FACT({0,1,2,3,4,5,6,7,8,9}))+((MIN(AF43,0.95*Inputs!$B$12*Inputs!$B$26)/Inputs!$B$26)^Inputs!$B$12/FACT(Inputs!$B$12)*Inputs!$B$12/(Inputs!$B$12-(MIN(AF43,0.95*Inputs!$B$12*Inputs!$B$26)/Inputs!$B$26)))),0)</f>
        <v>0.167374604756153</v>
      </c>
      <c r="AJ43" s="45" t="n">
        <f aca="false">IF(AF43&gt;0,AI43/(Inputs!$B$12*Inputs!$B$26-MIN(AF43,0.95*Inputs!$B$12*Inputs!$B$26)),0)</f>
        <v>0.0125683365180426</v>
      </c>
      <c r="AK43" s="34" t="n">
        <f aca="false">MAX(0,AK42+(AF43-Inputs!$B$12*Inputs!$B$26)*10)</f>
        <v>0</v>
      </c>
      <c r="AL43" s="43" t="n">
        <f aca="false">(AK42+AK43)/2/(Inputs!$B$12*Inputs!$B$26)+AJ43</f>
        <v>0.0125683365180426</v>
      </c>
      <c r="AM43" s="43" t="n">
        <f aca="false">Inputs!$B$86+AL43+1/Inputs!$B$26+Inputs!$B$87+Inputs!$B$88+Inputs!$B$89</f>
        <v>28.637568336518</v>
      </c>
      <c r="AN43" s="32" t="n">
        <f aca="false">AF43*AM43</f>
        <v>191.380158645578</v>
      </c>
    </row>
    <row r="44" customFormat="false" ht="15" hidden="false" customHeight="false" outlineLevel="0" collapsed="false">
      <c r="A44" s="13" t="s">
        <v>514</v>
      </c>
      <c r="B44" s="41" t="n">
        <f aca="false">'Arrival Curve'!$L$33</f>
        <v>0.0305458110633321</v>
      </c>
      <c r="C44" s="34" t="n">
        <f aca="false">'Arrival Curve'!$K$33</f>
        <v>90.415600747463</v>
      </c>
      <c r="D44" s="27" t="n">
        <f aca="false">C44/10</f>
        <v>9.0415600747463</v>
      </c>
      <c r="E44" s="43" t="n">
        <f aca="false">$D44*Inputs!$B$35</f>
        <v>7.2061233795728</v>
      </c>
      <c r="F44" s="44" t="n">
        <f aca="false">E44/Inputs!$B$84</f>
        <v>0.240204112652427</v>
      </c>
      <c r="G44" s="44" t="n">
        <f aca="false">E44/(Inputs!$B$11*Inputs!$B$26)</f>
        <v>0.36030616897864</v>
      </c>
      <c r="H44" s="45" t="n">
        <f aca="false">IF(E44&gt;0,((MIN(E44,0.95*Inputs!$B$11*Inputs!$B$26)/Inputs!$B$26)^Inputs!$B$11/FACT(Inputs!$B$11)*Inputs!$B$11/(Inputs!$B$11-(MIN(E44,0.95*Inputs!$B$11*Inputs!$B$26)/Inputs!$B$26)))/(SUMPRODUCT(--({0,1,2,3,4,5,6,7,8,9}&lt;Inputs!$B$11),(MIN(E44,0.95*Inputs!$B$11*Inputs!$B$26)/Inputs!$B$26)^{0,1,2,3,4,5,6,7,8,9}/FACT({0,1,2,3,4,5,6,7,8,9}))+((MIN(E44,0.95*Inputs!$B$11*Inputs!$B$26)/Inputs!$B$26)^Inputs!$B$11/FACT(Inputs!$B$11)*Inputs!$B$11/(Inputs!$B$11-(MIN(E44,0.95*Inputs!$B$11*Inputs!$B$26)/Inputs!$B$26)))),0)</f>
        <v>0.19086958269334</v>
      </c>
      <c r="I44" s="45" t="n">
        <f aca="false">IF(E44&gt;0,H44/(Inputs!$B$11*Inputs!$B$26-MIN(E44,0.95*Inputs!$B$11*Inputs!$B$26)),0)</f>
        <v>0.0149188231492392</v>
      </c>
      <c r="J44" s="34" t="n">
        <f aca="false">MAX(0,J43+(E44-Inputs!$B$11*Inputs!$B$26)*10)</f>
        <v>44.8476839172174</v>
      </c>
      <c r="K44" s="43" t="n">
        <f aca="false">(J43+J44)/2/(Inputs!$B$11*Inputs!$B$26)+I44</f>
        <v>5.45577217411691</v>
      </c>
      <c r="L44" s="43" t="n">
        <f aca="false">Inputs!$B$86+K44+1/Inputs!$B$26+Inputs!$B$87+Inputs!$B$88+Inputs!$B$89</f>
        <v>34.0807721741169</v>
      </c>
      <c r="M44" s="32" t="n">
        <f aca="false">E44*L44</f>
        <v>245.590249157798</v>
      </c>
      <c r="N44" s="43" t="n">
        <f aca="false">$D44*(1-Inputs!$B$35)</f>
        <v>1.8354366951735</v>
      </c>
      <c r="O44" s="44" t="n">
        <f aca="false">N44/Inputs!$B$85</f>
        <v>0.0611812231724499</v>
      </c>
      <c r="P44" s="44" t="n">
        <f aca="false">N44/(Inputs!$B$12*Inputs!$B$26)</f>
        <v>0.0917718347586749</v>
      </c>
      <c r="Q44" s="45" t="n">
        <f aca="false">IF(N44&gt;0,((MIN(N44,0.95*Inputs!$B$12*Inputs!$B$26)/Inputs!$B$26)^Inputs!$B$12/FACT(Inputs!$B$12)*Inputs!$B$12/(Inputs!$B$12-(MIN(N44,0.95*Inputs!$B$12*Inputs!$B$26)/Inputs!$B$26)))/(SUMPRODUCT(--({0,1,2,3,4,5,6,7,8,9}&lt;Inputs!$B$12),(MIN(N44,0.95*Inputs!$B$12*Inputs!$B$26)/Inputs!$B$26)^{0,1,2,3,4,5,6,7,8,9}/FACT({0,1,2,3,4,5,6,7,8,9}))+((MIN(N44,0.95*Inputs!$B$12*Inputs!$B$26)/Inputs!$B$26)^Inputs!$B$12/FACT(Inputs!$B$12)*Inputs!$B$12/(Inputs!$B$12-(MIN(N44,0.95*Inputs!$B$12*Inputs!$B$26)/Inputs!$B$26)))),0)</f>
        <v>0.0154282596176978</v>
      </c>
      <c r="R44" s="45" t="n">
        <f aca="false">IF(N44&gt;0,Q44/(Inputs!$B$12*Inputs!$B$26-MIN(N44,0.95*Inputs!$B$12*Inputs!$B$26)),0)</f>
        <v>0.000849360337421287</v>
      </c>
      <c r="S44" s="34" t="n">
        <f aca="false">MAX(0,S43+(N44-Inputs!$B$12*Inputs!$B$26)*10)</f>
        <v>0</v>
      </c>
      <c r="T44" s="43" t="n">
        <f aca="false">(S43+S44)/2/(Inputs!$B$12*Inputs!$B$26)+R44</f>
        <v>0.000849360337421287</v>
      </c>
      <c r="U44" s="43" t="n">
        <f aca="false">Inputs!$B$86+T44+1/Inputs!$B$26+Inputs!$B$87+Inputs!$B$88+Inputs!$B$89</f>
        <v>28.6258493603374</v>
      </c>
      <c r="V44" s="32" t="n">
        <f aca="false">N44*U44</f>
        <v>52.5409343464721</v>
      </c>
      <c r="W44" s="43" t="n">
        <f aca="false">$D44*$E$26</f>
        <v>5.59491737425301</v>
      </c>
      <c r="X44" s="44" t="n">
        <f aca="false">W44/Inputs!$B$84</f>
        <v>0.186497245808434</v>
      </c>
      <c r="Y44" s="44" t="n">
        <f aca="false">W44/(Inputs!$B$11*Inputs!$B$26)</f>
        <v>0.27974586871265</v>
      </c>
      <c r="Z44" s="45" t="n">
        <f aca="false">IF(W44&gt;0,((MIN(W44,0.95*Inputs!$B$11*Inputs!$B$26)/Inputs!$B$26)^Inputs!$B$11/FACT(Inputs!$B$11)*Inputs!$B$11/(Inputs!$B$11-(MIN(W44,0.95*Inputs!$B$11*Inputs!$B$26)/Inputs!$B$26)))/(SUMPRODUCT(--({0,1,2,3,4,5,6,7,8,9}&lt;Inputs!$B$11),(MIN(W44,0.95*Inputs!$B$11*Inputs!$B$26)/Inputs!$B$26)^{0,1,2,3,4,5,6,7,8,9}/FACT({0,1,2,3,4,5,6,7,8,9}))+((MIN(W44,0.95*Inputs!$B$11*Inputs!$B$26)/Inputs!$B$26)^Inputs!$B$11/FACT(Inputs!$B$11)*Inputs!$B$11/(Inputs!$B$11-(MIN(W44,0.95*Inputs!$B$11*Inputs!$B$26)/Inputs!$B$26)))),0)</f>
        <v>0.122302017885032</v>
      </c>
      <c r="AA44" s="45" t="n">
        <f aca="false">IF(W44&gt;0,Z44/(Inputs!$B$11*Inputs!$B$26-MIN(W44,0.95*Inputs!$B$11*Inputs!$B$26)),0)</f>
        <v>0.00849019898479689</v>
      </c>
      <c r="AB44" s="34" t="n">
        <f aca="false">MAX(0,AB43+(W44-Inputs!$B$11*Inputs!$B$26)*10)</f>
        <v>0</v>
      </c>
      <c r="AC44" s="43" t="n">
        <f aca="false">(AB43+AB44)/2/(Inputs!$B$11*Inputs!$B$26)+AA44</f>
        <v>0.00849019898479689</v>
      </c>
      <c r="AD44" s="43" t="n">
        <f aca="false">Inputs!$B$86+AC44+1/Inputs!$B$26+Inputs!$B$87+Inputs!$B$88+Inputs!$B$89</f>
        <v>28.6334901989848</v>
      </c>
      <c r="AE44" s="32" t="n">
        <f aca="false">W44*AD44</f>
        <v>160.202011799803</v>
      </c>
      <c r="AF44" s="43" t="n">
        <f aca="false">$D44*(1-$E$26)</f>
        <v>3.44664270049329</v>
      </c>
      <c r="AG44" s="44" t="n">
        <f aca="false">AF44/Inputs!$B$85</f>
        <v>0.114888090016443</v>
      </c>
      <c r="AH44" s="44" t="n">
        <f aca="false">AF44/(Inputs!$B$12*Inputs!$B$26)</f>
        <v>0.172332135024664</v>
      </c>
      <c r="AI44" s="45" t="n">
        <f aca="false">IF(AF44&gt;0,((MIN(AF44,0.95*Inputs!$B$12*Inputs!$B$26)/Inputs!$B$26)^Inputs!$B$12/FACT(Inputs!$B$12)*Inputs!$B$12/(Inputs!$B$12-(MIN(AF44,0.95*Inputs!$B$12*Inputs!$B$26)/Inputs!$B$26)))/(SUMPRODUCT(--({0,1,2,3,4,5,6,7,8,9}&lt;Inputs!$B$12),(MIN(AF44,0.95*Inputs!$B$12*Inputs!$B$26)/Inputs!$B$26)^{0,1,2,3,4,5,6,7,8,9}/FACT({0,1,2,3,4,5,6,7,8,9}))+((MIN(AF44,0.95*Inputs!$B$12*Inputs!$B$26)/Inputs!$B$26)^Inputs!$B$12/FACT(Inputs!$B$12)*Inputs!$B$12/(Inputs!$B$12-(MIN(AF44,0.95*Inputs!$B$12*Inputs!$B$26)/Inputs!$B$26)))),0)</f>
        <v>0.0506654451838162</v>
      </c>
      <c r="AJ44" s="45" t="n">
        <f aca="false">IF(AF44&gt;0,AI44/(Inputs!$B$12*Inputs!$B$26-MIN(AF44,0.95*Inputs!$B$12*Inputs!$B$26)),0)</f>
        <v>0.00306073530988943</v>
      </c>
      <c r="AK44" s="34" t="n">
        <f aca="false">MAX(0,AK43+(AF44-Inputs!$B$12*Inputs!$B$26)*10)</f>
        <v>0</v>
      </c>
      <c r="AL44" s="43" t="n">
        <f aca="false">(AK43+AK44)/2/(Inputs!$B$12*Inputs!$B$26)+AJ44</f>
        <v>0.00306073530988943</v>
      </c>
      <c r="AM44" s="43" t="n">
        <f aca="false">Inputs!$B$86+AL44+1/Inputs!$B$26+Inputs!$B$87+Inputs!$B$88+Inputs!$B$89</f>
        <v>28.6280607353099</v>
      </c>
      <c r="AN44" s="32" t="n">
        <f aca="false">AF44*AM44</f>
        <v>98.6706965626344</v>
      </c>
    </row>
    <row r="45" customFormat="false" ht="15" hidden="false" customHeight="false" outlineLevel="0" collapsed="false">
      <c r="A45" s="13" t="s">
        <v>515</v>
      </c>
      <c r="B45" s="41" t="n">
        <f aca="false">'Arrival Curve'!$L$34</f>
        <v>0</v>
      </c>
      <c r="C45" s="34" t="n">
        <f aca="false">'Arrival Curve'!$K$34</f>
        <v>0</v>
      </c>
      <c r="D45" s="27" t="n">
        <f aca="false">C45/10</f>
        <v>0</v>
      </c>
      <c r="E45" s="43" t="n">
        <f aca="false">$D45*Inputs!$B$35</f>
        <v>0</v>
      </c>
      <c r="F45" s="44" t="n">
        <f aca="false">E45/Inputs!$B$84</f>
        <v>0</v>
      </c>
      <c r="G45" s="44" t="n">
        <f aca="false">E45/(Inputs!$B$11*Inputs!$B$26)</f>
        <v>0</v>
      </c>
      <c r="H45" s="45" t="n">
        <f aca="false">IF(E45&gt;0,((MIN(E45,0.95*Inputs!$B$11*Inputs!$B$26)/Inputs!$B$26)^Inputs!$B$11/FACT(Inputs!$B$11)*Inputs!$B$11/(Inputs!$B$11-(MIN(E45,0.95*Inputs!$B$11*Inputs!$B$26)/Inputs!$B$26)))/(SUMPRODUCT(--({0,1,2,3,4,5,6,7,8,9}&lt;Inputs!$B$11),(MIN(E45,0.95*Inputs!$B$11*Inputs!$B$26)/Inputs!$B$26)^{0,1,2,3,4,5,6,7,8,9}/FACT({0,1,2,3,4,5,6,7,8,9}))+((MIN(E45,0.95*Inputs!$B$11*Inputs!$B$26)/Inputs!$B$26)^Inputs!$B$11/FACT(Inputs!$B$11)*Inputs!$B$11/(Inputs!$B$11-(MIN(E45,0.95*Inputs!$B$11*Inputs!$B$26)/Inputs!$B$26)))),0)</f>
        <v>0</v>
      </c>
      <c r="I45" s="45" t="n">
        <f aca="false">IF(E45&gt;0,H45/(Inputs!$B$11*Inputs!$B$26-MIN(E45,0.95*Inputs!$B$11*Inputs!$B$26)),0)</f>
        <v>0</v>
      </c>
      <c r="J45" s="34" t="n">
        <f aca="false">MAX(0,J44+(E45-Inputs!$B$11*Inputs!$B$26)*10)</f>
        <v>0</v>
      </c>
      <c r="K45" s="43" t="n">
        <f aca="false">(J44+J45)/2/(Inputs!$B$11*Inputs!$B$26)+I45</f>
        <v>1.12119209793044</v>
      </c>
      <c r="L45" s="43" t="n">
        <f aca="false">Inputs!$B$86+K45+1/Inputs!$B$26+Inputs!$B$87+Inputs!$B$88+Inputs!$B$89</f>
        <v>29.7461920979304</v>
      </c>
      <c r="M45" s="32" t="n">
        <f aca="false">E45*L45</f>
        <v>0</v>
      </c>
      <c r="N45" s="43" t="n">
        <f aca="false">$D45*(1-Inputs!$B$35)</f>
        <v>0</v>
      </c>
      <c r="O45" s="44" t="n">
        <f aca="false">N45/Inputs!$B$85</f>
        <v>0</v>
      </c>
      <c r="P45" s="44" t="n">
        <f aca="false">N45/(Inputs!$B$12*Inputs!$B$26)</f>
        <v>0</v>
      </c>
      <c r="Q45" s="45" t="n">
        <f aca="false">IF(N45&gt;0,((MIN(N45,0.95*Inputs!$B$12*Inputs!$B$26)/Inputs!$B$26)^Inputs!$B$12/FACT(Inputs!$B$12)*Inputs!$B$12/(Inputs!$B$12-(MIN(N45,0.95*Inputs!$B$12*Inputs!$B$26)/Inputs!$B$26)))/(SUMPRODUCT(--({0,1,2,3,4,5,6,7,8,9}&lt;Inputs!$B$12),(MIN(N45,0.95*Inputs!$B$12*Inputs!$B$26)/Inputs!$B$26)^{0,1,2,3,4,5,6,7,8,9}/FACT({0,1,2,3,4,5,6,7,8,9}))+((MIN(N45,0.95*Inputs!$B$12*Inputs!$B$26)/Inputs!$B$26)^Inputs!$B$12/FACT(Inputs!$B$12)*Inputs!$B$12/(Inputs!$B$12-(MIN(N45,0.95*Inputs!$B$12*Inputs!$B$26)/Inputs!$B$26)))),0)</f>
        <v>0</v>
      </c>
      <c r="R45" s="45" t="n">
        <f aca="false">IF(N45&gt;0,Q45/(Inputs!$B$12*Inputs!$B$26-MIN(N45,0.95*Inputs!$B$12*Inputs!$B$26)),0)</f>
        <v>0</v>
      </c>
      <c r="S45" s="34" t="n">
        <f aca="false">MAX(0,S44+(N45-Inputs!$B$12*Inputs!$B$26)*10)</f>
        <v>0</v>
      </c>
      <c r="T45" s="43" t="n">
        <f aca="false">(S44+S45)/2/(Inputs!$B$12*Inputs!$B$26)+R45</f>
        <v>0</v>
      </c>
      <c r="U45" s="43" t="n">
        <f aca="false">Inputs!$B$86+T45+1/Inputs!$B$26+Inputs!$B$87+Inputs!$B$88+Inputs!$B$89</f>
        <v>28.625</v>
      </c>
      <c r="V45" s="32" t="n">
        <f aca="false">N45*U45</f>
        <v>0</v>
      </c>
      <c r="W45" s="43" t="n">
        <f aca="false">$D45*$E$26</f>
        <v>0</v>
      </c>
      <c r="X45" s="44" t="n">
        <f aca="false">W45/Inputs!$B$84</f>
        <v>0</v>
      </c>
      <c r="Y45" s="44" t="n">
        <f aca="false">W45/(Inputs!$B$11*Inputs!$B$26)</f>
        <v>0</v>
      </c>
      <c r="Z45" s="45" t="n">
        <f aca="false">IF(W45&gt;0,((MIN(W45,0.95*Inputs!$B$11*Inputs!$B$26)/Inputs!$B$26)^Inputs!$B$11/FACT(Inputs!$B$11)*Inputs!$B$11/(Inputs!$B$11-(MIN(W45,0.95*Inputs!$B$11*Inputs!$B$26)/Inputs!$B$26)))/(SUMPRODUCT(--({0,1,2,3,4,5,6,7,8,9}&lt;Inputs!$B$11),(MIN(W45,0.95*Inputs!$B$11*Inputs!$B$26)/Inputs!$B$26)^{0,1,2,3,4,5,6,7,8,9}/FACT({0,1,2,3,4,5,6,7,8,9}))+((MIN(W45,0.95*Inputs!$B$11*Inputs!$B$26)/Inputs!$B$26)^Inputs!$B$11/FACT(Inputs!$B$11)*Inputs!$B$11/(Inputs!$B$11-(MIN(W45,0.95*Inputs!$B$11*Inputs!$B$26)/Inputs!$B$26)))),0)</f>
        <v>0</v>
      </c>
      <c r="AA45" s="45" t="n">
        <f aca="false">IF(W45&gt;0,Z45/(Inputs!$B$11*Inputs!$B$26-MIN(W45,0.95*Inputs!$B$11*Inputs!$B$26)),0)</f>
        <v>0</v>
      </c>
      <c r="AB45" s="34" t="n">
        <f aca="false">MAX(0,AB44+(W45-Inputs!$B$11*Inputs!$B$26)*10)</f>
        <v>0</v>
      </c>
      <c r="AC45" s="43" t="n">
        <f aca="false">(AB44+AB45)/2/(Inputs!$B$11*Inputs!$B$26)+AA45</f>
        <v>0</v>
      </c>
      <c r="AD45" s="43" t="n">
        <f aca="false">Inputs!$B$86+AC45+1/Inputs!$B$26+Inputs!$B$87+Inputs!$B$88+Inputs!$B$89</f>
        <v>28.625</v>
      </c>
      <c r="AE45" s="32" t="n">
        <f aca="false">W45*AD45</f>
        <v>0</v>
      </c>
      <c r="AF45" s="43" t="n">
        <f aca="false">$D45*(1-$E$26)</f>
        <v>0</v>
      </c>
      <c r="AG45" s="44" t="n">
        <f aca="false">AF45/Inputs!$B$85</f>
        <v>0</v>
      </c>
      <c r="AH45" s="44" t="n">
        <f aca="false">AF45/(Inputs!$B$12*Inputs!$B$26)</f>
        <v>0</v>
      </c>
      <c r="AI45" s="45" t="n">
        <f aca="false">IF(AF45&gt;0,((MIN(AF45,0.95*Inputs!$B$12*Inputs!$B$26)/Inputs!$B$26)^Inputs!$B$12/FACT(Inputs!$B$12)*Inputs!$B$12/(Inputs!$B$12-(MIN(AF45,0.95*Inputs!$B$12*Inputs!$B$26)/Inputs!$B$26)))/(SUMPRODUCT(--({0,1,2,3,4,5,6,7,8,9}&lt;Inputs!$B$12),(MIN(AF45,0.95*Inputs!$B$12*Inputs!$B$26)/Inputs!$B$26)^{0,1,2,3,4,5,6,7,8,9}/FACT({0,1,2,3,4,5,6,7,8,9}))+((MIN(AF45,0.95*Inputs!$B$12*Inputs!$B$26)/Inputs!$B$26)^Inputs!$B$12/FACT(Inputs!$B$12)*Inputs!$B$12/(Inputs!$B$12-(MIN(AF45,0.95*Inputs!$B$12*Inputs!$B$26)/Inputs!$B$26)))),0)</f>
        <v>0</v>
      </c>
      <c r="AJ45" s="45" t="n">
        <f aca="false">IF(AF45&gt;0,AI45/(Inputs!$B$12*Inputs!$B$26-MIN(AF45,0.95*Inputs!$B$12*Inputs!$B$26)),0)</f>
        <v>0</v>
      </c>
      <c r="AK45" s="34" t="n">
        <f aca="false">MAX(0,AK44+(AF45-Inputs!$B$12*Inputs!$B$26)*10)</f>
        <v>0</v>
      </c>
      <c r="AL45" s="43" t="n">
        <f aca="false">(AK44+AK45)/2/(Inputs!$B$12*Inputs!$B$26)+AJ45</f>
        <v>0</v>
      </c>
      <c r="AM45" s="43" t="n">
        <f aca="false">Inputs!$B$86+AL45+1/Inputs!$B$26+Inputs!$B$87+Inputs!$B$88+Inputs!$B$89</f>
        <v>28.625</v>
      </c>
      <c r="AN45" s="32" t="n">
        <f aca="false">AF45*AM45</f>
        <v>0</v>
      </c>
    </row>
    <row r="46" customFormat="false" ht="15" hidden="false" customHeight="false" outlineLevel="0" collapsed="false">
      <c r="A46" s="13" t="s">
        <v>516</v>
      </c>
      <c r="B46" s="41" t="n">
        <f aca="false">'Arrival Curve'!$L$35</f>
        <v>0</v>
      </c>
      <c r="C46" s="34" t="n">
        <f aca="false">'Arrival Curve'!$K$35</f>
        <v>0</v>
      </c>
      <c r="D46" s="27" t="n">
        <f aca="false">C46/10</f>
        <v>0</v>
      </c>
      <c r="E46" s="43" t="n">
        <f aca="false">$D46*Inputs!$B$35</f>
        <v>0</v>
      </c>
      <c r="F46" s="44" t="n">
        <f aca="false">E46/Inputs!$B$84</f>
        <v>0</v>
      </c>
      <c r="G46" s="44" t="n">
        <f aca="false">E46/(Inputs!$B$11*Inputs!$B$26)</f>
        <v>0</v>
      </c>
      <c r="H46" s="45" t="n">
        <f aca="false">IF(E46&gt;0,((MIN(E46,0.95*Inputs!$B$11*Inputs!$B$26)/Inputs!$B$26)^Inputs!$B$11/FACT(Inputs!$B$11)*Inputs!$B$11/(Inputs!$B$11-(MIN(E46,0.95*Inputs!$B$11*Inputs!$B$26)/Inputs!$B$26)))/(SUMPRODUCT(--({0,1,2,3,4,5,6,7,8,9}&lt;Inputs!$B$11),(MIN(E46,0.95*Inputs!$B$11*Inputs!$B$26)/Inputs!$B$26)^{0,1,2,3,4,5,6,7,8,9}/FACT({0,1,2,3,4,5,6,7,8,9}))+((MIN(E46,0.95*Inputs!$B$11*Inputs!$B$26)/Inputs!$B$26)^Inputs!$B$11/FACT(Inputs!$B$11)*Inputs!$B$11/(Inputs!$B$11-(MIN(E46,0.95*Inputs!$B$11*Inputs!$B$26)/Inputs!$B$26)))),0)</f>
        <v>0</v>
      </c>
      <c r="I46" s="45" t="n">
        <f aca="false">IF(E46&gt;0,H46/(Inputs!$B$11*Inputs!$B$26-MIN(E46,0.95*Inputs!$B$11*Inputs!$B$26)),0)</f>
        <v>0</v>
      </c>
      <c r="J46" s="34" t="n">
        <f aca="false">MAX(0,J45+(E46-Inputs!$B$11*Inputs!$B$26)*10)</f>
        <v>0</v>
      </c>
      <c r="K46" s="43" t="n">
        <f aca="false">(J45+J46)/2/(Inputs!$B$11*Inputs!$B$26)+I46</f>
        <v>0</v>
      </c>
      <c r="L46" s="43" t="n">
        <f aca="false">Inputs!$B$86+K46+1/Inputs!$B$26+Inputs!$B$87+Inputs!$B$88+Inputs!$B$89</f>
        <v>28.625</v>
      </c>
      <c r="M46" s="32" t="n">
        <f aca="false">E46*L46</f>
        <v>0</v>
      </c>
      <c r="N46" s="43" t="n">
        <f aca="false">$D46*(1-Inputs!$B$35)</f>
        <v>0</v>
      </c>
      <c r="O46" s="44" t="n">
        <f aca="false">N46/Inputs!$B$85</f>
        <v>0</v>
      </c>
      <c r="P46" s="44" t="n">
        <f aca="false">N46/(Inputs!$B$12*Inputs!$B$26)</f>
        <v>0</v>
      </c>
      <c r="Q46" s="45" t="n">
        <f aca="false">IF(N46&gt;0,((MIN(N46,0.95*Inputs!$B$12*Inputs!$B$26)/Inputs!$B$26)^Inputs!$B$12/FACT(Inputs!$B$12)*Inputs!$B$12/(Inputs!$B$12-(MIN(N46,0.95*Inputs!$B$12*Inputs!$B$26)/Inputs!$B$26)))/(SUMPRODUCT(--({0,1,2,3,4,5,6,7,8,9}&lt;Inputs!$B$12),(MIN(N46,0.95*Inputs!$B$12*Inputs!$B$26)/Inputs!$B$26)^{0,1,2,3,4,5,6,7,8,9}/FACT({0,1,2,3,4,5,6,7,8,9}))+((MIN(N46,0.95*Inputs!$B$12*Inputs!$B$26)/Inputs!$B$26)^Inputs!$B$12/FACT(Inputs!$B$12)*Inputs!$B$12/(Inputs!$B$12-(MIN(N46,0.95*Inputs!$B$12*Inputs!$B$26)/Inputs!$B$26)))),0)</f>
        <v>0</v>
      </c>
      <c r="R46" s="45" t="n">
        <f aca="false">IF(N46&gt;0,Q46/(Inputs!$B$12*Inputs!$B$26-MIN(N46,0.95*Inputs!$B$12*Inputs!$B$26)),0)</f>
        <v>0</v>
      </c>
      <c r="S46" s="34" t="n">
        <f aca="false">MAX(0,S45+(N46-Inputs!$B$12*Inputs!$B$26)*10)</f>
        <v>0</v>
      </c>
      <c r="T46" s="43" t="n">
        <f aca="false">(S45+S46)/2/(Inputs!$B$12*Inputs!$B$26)+R46</f>
        <v>0</v>
      </c>
      <c r="U46" s="43" t="n">
        <f aca="false">Inputs!$B$86+T46+1/Inputs!$B$26+Inputs!$B$87+Inputs!$B$88+Inputs!$B$89</f>
        <v>28.625</v>
      </c>
      <c r="V46" s="32" t="n">
        <f aca="false">N46*U46</f>
        <v>0</v>
      </c>
      <c r="W46" s="43" t="n">
        <f aca="false">$D46*$E$26</f>
        <v>0</v>
      </c>
      <c r="X46" s="44" t="n">
        <f aca="false">W46/Inputs!$B$84</f>
        <v>0</v>
      </c>
      <c r="Y46" s="44" t="n">
        <f aca="false">W46/(Inputs!$B$11*Inputs!$B$26)</f>
        <v>0</v>
      </c>
      <c r="Z46" s="45" t="n">
        <f aca="false">IF(W46&gt;0,((MIN(W46,0.95*Inputs!$B$11*Inputs!$B$26)/Inputs!$B$26)^Inputs!$B$11/FACT(Inputs!$B$11)*Inputs!$B$11/(Inputs!$B$11-(MIN(W46,0.95*Inputs!$B$11*Inputs!$B$26)/Inputs!$B$26)))/(SUMPRODUCT(--({0,1,2,3,4,5,6,7,8,9}&lt;Inputs!$B$11),(MIN(W46,0.95*Inputs!$B$11*Inputs!$B$26)/Inputs!$B$26)^{0,1,2,3,4,5,6,7,8,9}/FACT({0,1,2,3,4,5,6,7,8,9}))+((MIN(W46,0.95*Inputs!$B$11*Inputs!$B$26)/Inputs!$B$26)^Inputs!$B$11/FACT(Inputs!$B$11)*Inputs!$B$11/(Inputs!$B$11-(MIN(W46,0.95*Inputs!$B$11*Inputs!$B$26)/Inputs!$B$26)))),0)</f>
        <v>0</v>
      </c>
      <c r="AA46" s="45" t="n">
        <f aca="false">IF(W46&gt;0,Z46/(Inputs!$B$11*Inputs!$B$26-MIN(W46,0.95*Inputs!$B$11*Inputs!$B$26)),0)</f>
        <v>0</v>
      </c>
      <c r="AB46" s="34" t="n">
        <f aca="false">MAX(0,AB45+(W46-Inputs!$B$11*Inputs!$B$26)*10)</f>
        <v>0</v>
      </c>
      <c r="AC46" s="43" t="n">
        <f aca="false">(AB45+AB46)/2/(Inputs!$B$11*Inputs!$B$26)+AA46</f>
        <v>0</v>
      </c>
      <c r="AD46" s="43" t="n">
        <f aca="false">Inputs!$B$86+AC46+1/Inputs!$B$26+Inputs!$B$87+Inputs!$B$88+Inputs!$B$89</f>
        <v>28.625</v>
      </c>
      <c r="AE46" s="32" t="n">
        <f aca="false">W46*AD46</f>
        <v>0</v>
      </c>
      <c r="AF46" s="43" t="n">
        <f aca="false">$D46*(1-$E$26)</f>
        <v>0</v>
      </c>
      <c r="AG46" s="44" t="n">
        <f aca="false">AF46/Inputs!$B$85</f>
        <v>0</v>
      </c>
      <c r="AH46" s="44" t="n">
        <f aca="false">AF46/(Inputs!$B$12*Inputs!$B$26)</f>
        <v>0</v>
      </c>
      <c r="AI46" s="45" t="n">
        <f aca="false">IF(AF46&gt;0,((MIN(AF46,0.95*Inputs!$B$12*Inputs!$B$26)/Inputs!$B$26)^Inputs!$B$12/FACT(Inputs!$B$12)*Inputs!$B$12/(Inputs!$B$12-(MIN(AF46,0.95*Inputs!$B$12*Inputs!$B$26)/Inputs!$B$26)))/(SUMPRODUCT(--({0,1,2,3,4,5,6,7,8,9}&lt;Inputs!$B$12),(MIN(AF46,0.95*Inputs!$B$12*Inputs!$B$26)/Inputs!$B$26)^{0,1,2,3,4,5,6,7,8,9}/FACT({0,1,2,3,4,5,6,7,8,9}))+((MIN(AF46,0.95*Inputs!$B$12*Inputs!$B$26)/Inputs!$B$26)^Inputs!$B$12/FACT(Inputs!$B$12)*Inputs!$B$12/(Inputs!$B$12-(MIN(AF46,0.95*Inputs!$B$12*Inputs!$B$26)/Inputs!$B$26)))),0)</f>
        <v>0</v>
      </c>
      <c r="AJ46" s="45" t="n">
        <f aca="false">IF(AF46&gt;0,AI46/(Inputs!$B$12*Inputs!$B$26-MIN(AF46,0.95*Inputs!$B$12*Inputs!$B$26)),0)</f>
        <v>0</v>
      </c>
      <c r="AK46" s="34" t="n">
        <f aca="false">MAX(0,AK45+(AF46-Inputs!$B$12*Inputs!$B$26)*10)</f>
        <v>0</v>
      </c>
      <c r="AL46" s="43" t="n">
        <f aca="false">(AK45+AK46)/2/(Inputs!$B$12*Inputs!$B$26)+AJ46</f>
        <v>0</v>
      </c>
      <c r="AM46" s="43" t="n">
        <f aca="false">Inputs!$B$86+AL46+1/Inputs!$B$26+Inputs!$B$87+Inputs!$B$88+Inputs!$B$89</f>
        <v>28.625</v>
      </c>
      <c r="AN46" s="32" t="n">
        <f aca="false">AF46*AM46</f>
        <v>0</v>
      </c>
    </row>
    <row r="47" customFormat="false" ht="15" hidden="false" customHeight="false" outlineLevel="0" collapsed="false">
      <c r="A47" s="13" t="s">
        <v>517</v>
      </c>
      <c r="B47" s="41" t="n">
        <f aca="false">'Arrival Curve'!$L$36</f>
        <v>0</v>
      </c>
      <c r="C47" s="34" t="n">
        <f aca="false">'Arrival Curve'!$K$36</f>
        <v>0</v>
      </c>
      <c r="D47" s="27" t="n">
        <f aca="false">C47/10</f>
        <v>0</v>
      </c>
      <c r="E47" s="43" t="n">
        <f aca="false">$D47*Inputs!$B$35</f>
        <v>0</v>
      </c>
      <c r="F47" s="44" t="n">
        <f aca="false">E47/Inputs!$B$84</f>
        <v>0</v>
      </c>
      <c r="G47" s="44" t="n">
        <f aca="false">E47/(Inputs!$B$11*Inputs!$B$26)</f>
        <v>0</v>
      </c>
      <c r="H47" s="45" t="n">
        <f aca="false">IF(E47&gt;0,((MIN(E47,0.95*Inputs!$B$11*Inputs!$B$26)/Inputs!$B$26)^Inputs!$B$11/FACT(Inputs!$B$11)*Inputs!$B$11/(Inputs!$B$11-(MIN(E47,0.95*Inputs!$B$11*Inputs!$B$26)/Inputs!$B$26)))/(SUMPRODUCT(--({0,1,2,3,4,5,6,7,8,9}&lt;Inputs!$B$11),(MIN(E47,0.95*Inputs!$B$11*Inputs!$B$26)/Inputs!$B$26)^{0,1,2,3,4,5,6,7,8,9}/FACT({0,1,2,3,4,5,6,7,8,9}))+((MIN(E47,0.95*Inputs!$B$11*Inputs!$B$26)/Inputs!$B$26)^Inputs!$B$11/FACT(Inputs!$B$11)*Inputs!$B$11/(Inputs!$B$11-(MIN(E47,0.95*Inputs!$B$11*Inputs!$B$26)/Inputs!$B$26)))),0)</f>
        <v>0</v>
      </c>
      <c r="I47" s="45" t="n">
        <f aca="false">IF(E47&gt;0,H47/(Inputs!$B$11*Inputs!$B$26-MIN(E47,0.95*Inputs!$B$11*Inputs!$B$26)),0)</f>
        <v>0</v>
      </c>
      <c r="J47" s="34" t="n">
        <f aca="false">MAX(0,J46+(E47-Inputs!$B$11*Inputs!$B$26)*10)</f>
        <v>0</v>
      </c>
      <c r="K47" s="43" t="n">
        <f aca="false">(J46+J47)/2/(Inputs!$B$11*Inputs!$B$26)+I47</f>
        <v>0</v>
      </c>
      <c r="L47" s="43" t="n">
        <f aca="false">Inputs!$B$86+K47+1/Inputs!$B$26+Inputs!$B$87+Inputs!$B$88+Inputs!$B$89</f>
        <v>28.625</v>
      </c>
      <c r="M47" s="32" t="n">
        <f aca="false">E47*L47</f>
        <v>0</v>
      </c>
      <c r="N47" s="43" t="n">
        <f aca="false">$D47*(1-Inputs!$B$35)</f>
        <v>0</v>
      </c>
      <c r="O47" s="44" t="n">
        <f aca="false">N47/Inputs!$B$85</f>
        <v>0</v>
      </c>
      <c r="P47" s="44" t="n">
        <f aca="false">N47/(Inputs!$B$12*Inputs!$B$26)</f>
        <v>0</v>
      </c>
      <c r="Q47" s="45" t="n">
        <f aca="false">IF(N47&gt;0,((MIN(N47,0.95*Inputs!$B$12*Inputs!$B$26)/Inputs!$B$26)^Inputs!$B$12/FACT(Inputs!$B$12)*Inputs!$B$12/(Inputs!$B$12-(MIN(N47,0.95*Inputs!$B$12*Inputs!$B$26)/Inputs!$B$26)))/(SUMPRODUCT(--({0,1,2,3,4,5,6,7,8,9}&lt;Inputs!$B$12),(MIN(N47,0.95*Inputs!$B$12*Inputs!$B$26)/Inputs!$B$26)^{0,1,2,3,4,5,6,7,8,9}/FACT({0,1,2,3,4,5,6,7,8,9}))+((MIN(N47,0.95*Inputs!$B$12*Inputs!$B$26)/Inputs!$B$26)^Inputs!$B$12/FACT(Inputs!$B$12)*Inputs!$B$12/(Inputs!$B$12-(MIN(N47,0.95*Inputs!$B$12*Inputs!$B$26)/Inputs!$B$26)))),0)</f>
        <v>0</v>
      </c>
      <c r="R47" s="45" t="n">
        <f aca="false">IF(N47&gt;0,Q47/(Inputs!$B$12*Inputs!$B$26-MIN(N47,0.95*Inputs!$B$12*Inputs!$B$26)),0)</f>
        <v>0</v>
      </c>
      <c r="S47" s="34" t="n">
        <f aca="false">MAX(0,S46+(N47-Inputs!$B$12*Inputs!$B$26)*10)</f>
        <v>0</v>
      </c>
      <c r="T47" s="43" t="n">
        <f aca="false">(S46+S47)/2/(Inputs!$B$12*Inputs!$B$26)+R47</f>
        <v>0</v>
      </c>
      <c r="U47" s="43" t="n">
        <f aca="false">Inputs!$B$86+T47+1/Inputs!$B$26+Inputs!$B$87+Inputs!$B$88+Inputs!$B$89</f>
        <v>28.625</v>
      </c>
      <c r="V47" s="32" t="n">
        <f aca="false">N47*U47</f>
        <v>0</v>
      </c>
      <c r="W47" s="43" t="n">
        <f aca="false">$D47*$E$26</f>
        <v>0</v>
      </c>
      <c r="X47" s="44" t="n">
        <f aca="false">W47/Inputs!$B$84</f>
        <v>0</v>
      </c>
      <c r="Y47" s="44" t="n">
        <f aca="false">W47/(Inputs!$B$11*Inputs!$B$26)</f>
        <v>0</v>
      </c>
      <c r="Z47" s="45" t="n">
        <f aca="false">IF(W47&gt;0,((MIN(W47,0.95*Inputs!$B$11*Inputs!$B$26)/Inputs!$B$26)^Inputs!$B$11/FACT(Inputs!$B$11)*Inputs!$B$11/(Inputs!$B$11-(MIN(W47,0.95*Inputs!$B$11*Inputs!$B$26)/Inputs!$B$26)))/(SUMPRODUCT(--({0,1,2,3,4,5,6,7,8,9}&lt;Inputs!$B$11),(MIN(W47,0.95*Inputs!$B$11*Inputs!$B$26)/Inputs!$B$26)^{0,1,2,3,4,5,6,7,8,9}/FACT({0,1,2,3,4,5,6,7,8,9}))+((MIN(W47,0.95*Inputs!$B$11*Inputs!$B$26)/Inputs!$B$26)^Inputs!$B$11/FACT(Inputs!$B$11)*Inputs!$B$11/(Inputs!$B$11-(MIN(W47,0.95*Inputs!$B$11*Inputs!$B$26)/Inputs!$B$26)))),0)</f>
        <v>0</v>
      </c>
      <c r="AA47" s="45" t="n">
        <f aca="false">IF(W47&gt;0,Z47/(Inputs!$B$11*Inputs!$B$26-MIN(W47,0.95*Inputs!$B$11*Inputs!$B$26)),0)</f>
        <v>0</v>
      </c>
      <c r="AB47" s="34" t="n">
        <f aca="false">MAX(0,AB46+(W47-Inputs!$B$11*Inputs!$B$26)*10)</f>
        <v>0</v>
      </c>
      <c r="AC47" s="43" t="n">
        <f aca="false">(AB46+AB47)/2/(Inputs!$B$11*Inputs!$B$26)+AA47</f>
        <v>0</v>
      </c>
      <c r="AD47" s="43" t="n">
        <f aca="false">Inputs!$B$86+AC47+1/Inputs!$B$26+Inputs!$B$87+Inputs!$B$88+Inputs!$B$89</f>
        <v>28.625</v>
      </c>
      <c r="AE47" s="32" t="n">
        <f aca="false">W47*AD47</f>
        <v>0</v>
      </c>
      <c r="AF47" s="43" t="n">
        <f aca="false">$D47*(1-$E$26)</f>
        <v>0</v>
      </c>
      <c r="AG47" s="44" t="n">
        <f aca="false">AF47/Inputs!$B$85</f>
        <v>0</v>
      </c>
      <c r="AH47" s="44" t="n">
        <f aca="false">AF47/(Inputs!$B$12*Inputs!$B$26)</f>
        <v>0</v>
      </c>
      <c r="AI47" s="45" t="n">
        <f aca="false">IF(AF47&gt;0,((MIN(AF47,0.95*Inputs!$B$12*Inputs!$B$26)/Inputs!$B$26)^Inputs!$B$12/FACT(Inputs!$B$12)*Inputs!$B$12/(Inputs!$B$12-(MIN(AF47,0.95*Inputs!$B$12*Inputs!$B$26)/Inputs!$B$26)))/(SUMPRODUCT(--({0,1,2,3,4,5,6,7,8,9}&lt;Inputs!$B$12),(MIN(AF47,0.95*Inputs!$B$12*Inputs!$B$26)/Inputs!$B$26)^{0,1,2,3,4,5,6,7,8,9}/FACT({0,1,2,3,4,5,6,7,8,9}))+((MIN(AF47,0.95*Inputs!$B$12*Inputs!$B$26)/Inputs!$B$26)^Inputs!$B$12/FACT(Inputs!$B$12)*Inputs!$B$12/(Inputs!$B$12-(MIN(AF47,0.95*Inputs!$B$12*Inputs!$B$26)/Inputs!$B$26)))),0)</f>
        <v>0</v>
      </c>
      <c r="AJ47" s="45" t="n">
        <f aca="false">IF(AF47&gt;0,AI47/(Inputs!$B$12*Inputs!$B$26-MIN(AF47,0.95*Inputs!$B$12*Inputs!$B$26)),0)</f>
        <v>0</v>
      </c>
      <c r="AK47" s="34" t="n">
        <f aca="false">MAX(0,AK46+(AF47-Inputs!$B$12*Inputs!$B$26)*10)</f>
        <v>0</v>
      </c>
      <c r="AL47" s="43" t="n">
        <f aca="false">(AK46+AK47)/2/(Inputs!$B$12*Inputs!$B$26)+AJ47</f>
        <v>0</v>
      </c>
      <c r="AM47" s="43" t="n">
        <f aca="false">Inputs!$B$86+AL47+1/Inputs!$B$26+Inputs!$B$87+Inputs!$B$88+Inputs!$B$89</f>
        <v>28.625</v>
      </c>
      <c r="AN47" s="32" t="n">
        <f aca="false">AF47*AM47</f>
        <v>0</v>
      </c>
    </row>
    <row r="49" customFormat="false" ht="15" hidden="false" customHeight="false" outlineLevel="0" collapsed="false">
      <c r="A49" s="4" t="s">
        <v>558</v>
      </c>
    </row>
    <row r="50" customFormat="false" ht="23.85" hidden="false" customHeight="false" outlineLevel="0" collapsed="false">
      <c r="A50" s="7" t="s">
        <v>559</v>
      </c>
      <c r="B50" s="7"/>
      <c r="C50" s="7"/>
      <c r="D50" s="7"/>
      <c r="E50" s="7" t="s">
        <v>560</v>
      </c>
      <c r="F50" s="7" t="s">
        <v>561</v>
      </c>
      <c r="G50" s="7" t="s">
        <v>562</v>
      </c>
      <c r="H50" s="7" t="s">
        <v>563</v>
      </c>
      <c r="I50" s="7" t="s">
        <v>564</v>
      </c>
      <c r="J50" s="7" t="s">
        <v>565</v>
      </c>
    </row>
    <row r="51" customFormat="false" ht="15" hidden="false" customHeight="false" outlineLevel="0" collapsed="false">
      <c r="A51" s="5" t="s">
        <v>566</v>
      </c>
      <c r="B51" s="5"/>
      <c r="C51" s="5"/>
      <c r="D51" s="5"/>
      <c r="E51" s="28" t="n">
        <f aca="false">SUMPRODUCT(K30:K47,E30:E47)/SUM(E30:E47)</f>
        <v>4.47637874480581</v>
      </c>
      <c r="F51" s="28" t="n">
        <f aca="false">SUMPRODUCT(T30:T47,N30:N47)/SUM(N30:N47)</f>
        <v>0.0088403775486603</v>
      </c>
      <c r="G51" s="28" t="n">
        <f aca="false">SUMPRODUCT(AC30:AC47,W30:W47)/SUM(W30:W47)</f>
        <v>0.900088510853209</v>
      </c>
      <c r="H51" s="28" t="n">
        <f aca="false">SUMPRODUCT(AL30:AL47,AF30:AF47)/SUM(AF30:AF47)</f>
        <v>0.0446289741265027</v>
      </c>
      <c r="I51" s="46" t="n">
        <f aca="false">(E51*SUM(E30:E47)+F51*SUM(N30:N47))/SUM(D30:D47)</f>
        <v>3.56946845625261</v>
      </c>
      <c r="J51" s="46" t="n">
        <f aca="false">(G51*SUM(W30:W47)+H51*SUM(AF30:AF47))/SUM(D30:D47)</f>
        <v>0.573987335452989</v>
      </c>
    </row>
    <row r="52" customFormat="false" ht="15" hidden="false" customHeight="false" outlineLevel="0" collapsed="false">
      <c r="A52" s="5" t="s">
        <v>567</v>
      </c>
      <c r="B52" s="5"/>
      <c r="C52" s="5"/>
      <c r="D52" s="5"/>
      <c r="E52" s="27" t="n">
        <f aca="false">SUMPRODUCT(L30:L47,E30:E47)/SUM(E30:E47)</f>
        <v>33.1013787448058</v>
      </c>
      <c r="F52" s="27" t="n">
        <f aca="false">SUMPRODUCT(U30:U47,N30:N47)/SUM(N30:N47)</f>
        <v>28.6338403775487</v>
      </c>
      <c r="G52" s="27" t="n">
        <f aca="false">SUMPRODUCT(AD30:AD47,W30:W47)/SUM(W30:W47)</f>
        <v>29.5250885108532</v>
      </c>
      <c r="H52" s="27" t="n">
        <f aca="false">SUMPRODUCT(AM30:AM47,AF30:AF47)/SUM(AF30:AF47)</f>
        <v>28.6696289741265</v>
      </c>
      <c r="I52" s="47" t="n">
        <f aca="false">(E52*SUM(E30:E47)+F52*SUM(N30:N47))/SUM(D30:D47)</f>
        <v>32.1944684562526</v>
      </c>
      <c r="J52" s="47" t="n">
        <f aca="false">(G52*SUM(W30:W47)+H52*SUM(AF30:AF47))/SUM(D30:D47)</f>
        <v>29.198987335453</v>
      </c>
    </row>
    <row r="53" customFormat="false" ht="15" hidden="false" customHeight="false" outlineLevel="0" collapsed="false">
      <c r="A53" s="5" t="s">
        <v>568</v>
      </c>
      <c r="B53" s="5"/>
      <c r="C53" s="5"/>
      <c r="D53" s="5"/>
      <c r="E53" s="31" t="n">
        <f aca="false">MAX(G30:G47)</f>
        <v>1.49181446227451</v>
      </c>
      <c r="F53" s="31" t="n">
        <f aca="false">MAX(P30:P47)</f>
        <v>0.379972817869167</v>
      </c>
      <c r="G53" s="31" t="n">
        <f aca="false">MAX(Y30:Y47)</f>
        <v>1.15826196895291</v>
      </c>
      <c r="H53" s="31" t="n">
        <f aca="false">MAX(AH30:AH47)</f>
        <v>0.713525311190771</v>
      </c>
    </row>
    <row r="54" customFormat="false" ht="15" hidden="false" customHeight="false" outlineLevel="0" collapsed="false">
      <c r="A54" s="5" t="s">
        <v>569</v>
      </c>
      <c r="B54" s="5"/>
      <c r="C54" s="5"/>
      <c r="D54" s="5"/>
      <c r="E54" s="31" t="n">
        <f aca="false">MAX(F30:F47)</f>
        <v>0.994542974849676</v>
      </c>
      <c r="F54" s="31" t="n">
        <f aca="false">MAX(O30:O47)</f>
        <v>0.253315211912778</v>
      </c>
      <c r="G54" s="31" t="n">
        <f aca="false">MAX(X30:X47)</f>
        <v>0.772174645968607</v>
      </c>
      <c r="H54" s="31" t="n">
        <f aca="false">MAX(AG30:AG47)</f>
        <v>0.475683540793848</v>
      </c>
    </row>
    <row r="55" customFormat="false" ht="15" hidden="false" customHeight="false" outlineLevel="0" collapsed="false">
      <c r="A55" s="5" t="s">
        <v>570</v>
      </c>
      <c r="B55" s="5"/>
      <c r="C55" s="5"/>
      <c r="D55" s="5"/>
      <c r="E55" s="32" t="n">
        <f aca="false">MAX(J30:J47)</f>
        <v>233.063997268473</v>
      </c>
      <c r="F55" s="32" t="n">
        <f aca="false">MAX(S30:S47)</f>
        <v>0</v>
      </c>
      <c r="G55" s="32" t="n">
        <f aca="false">MAX(AB30:AB47)</f>
        <v>51.3676330835375</v>
      </c>
      <c r="H55" s="32" t="n">
        <f aca="false">MAX(AK30:AK47)</f>
        <v>0</v>
      </c>
    </row>
    <row r="56" customFormat="false" ht="15" hidden="false" customHeight="false" outlineLevel="0" collapsed="false">
      <c r="A56" s="5" t="s">
        <v>571</v>
      </c>
      <c r="B56" s="5"/>
      <c r="C56" s="5"/>
      <c r="D56" s="5"/>
      <c r="E56" s="27" t="n">
        <f aca="false">MAX(K30:K47)</f>
        <v>12.2069670899442</v>
      </c>
      <c r="F56" s="27" t="n">
        <f aca="false">MAX(T30:T47)</f>
        <v>0.0168742235269099</v>
      </c>
      <c r="G56" s="27" t="n">
        <f aca="false">MAX(AC30:AC47)</f>
        <v>3.00114169749402</v>
      </c>
      <c r="H56" s="27" t="n">
        <f aca="false">MAX(AL30:AL47)</f>
        <v>0.103715099179612</v>
      </c>
    </row>
    <row r="57" customFormat="false" ht="15" hidden="false" customHeight="false" outlineLevel="0" collapsed="false">
      <c r="A57" s="5" t="s">
        <v>572</v>
      </c>
      <c r="B57" s="5"/>
      <c r="C57" s="5"/>
      <c r="D57" s="5"/>
      <c r="E57" s="32" t="n">
        <f aca="false">MAX(M30:M47)</f>
        <v>1086.26092851298</v>
      </c>
      <c r="F57" s="32" t="n">
        <f aca="false">MAX(V30:V47)</f>
        <v>217.662673155356</v>
      </c>
      <c r="G57" s="32" t="n">
        <f aca="false">MAX(AE30:AE47)</f>
        <v>702.878555140569</v>
      </c>
      <c r="H57" s="32" t="n">
        <f aca="false">MAX(AN30:AN47)</f>
        <v>409.973307625063</v>
      </c>
    </row>
    <row r="58" customFormat="false" ht="15" hidden="false" customHeight="false" outlineLevel="0" collapsed="false">
      <c r="A58" s="5" t="s">
        <v>573</v>
      </c>
      <c r="B58" s="5"/>
      <c r="C58" s="5"/>
      <c r="D58" s="5"/>
      <c r="E58" s="32" t="n">
        <f aca="false">MIN(MAX(E30:E47),Inputs!$B$11*Inputs!$B$26)*Inputs!$B$88</f>
        <v>500</v>
      </c>
      <c r="F58" s="32" t="n">
        <f aca="false">MIN(MAX(N30:N47),Inputs!$B$12*Inputs!$B$26)*Inputs!$B$88</f>
        <v>189.986408934584</v>
      </c>
      <c r="G58" s="32" t="n">
        <f aca="false">MIN(MAX(W30:W47),Inputs!$B$11*Inputs!$B$26)*Inputs!$B$88</f>
        <v>500</v>
      </c>
      <c r="H58" s="32" t="n">
        <f aca="false">MIN(MAX(AF30:AF47),Inputs!$B$12*Inputs!$B$26)*Inputs!$B$88</f>
        <v>356.762655595386</v>
      </c>
    </row>
    <row r="59" customFormat="false" ht="15" hidden="false" customHeight="false" outlineLevel="0" collapsed="false">
      <c r="A59" s="5" t="s">
        <v>574</v>
      </c>
      <c r="B59" s="5"/>
      <c r="C59" s="5"/>
      <c r="D59" s="5"/>
      <c r="E59" s="32" t="n">
        <f aca="false">Inputs!$B$9</f>
        <v>900</v>
      </c>
      <c r="F59" s="32" t="n">
        <f aca="false">Inputs!$B$10</f>
        <v>492</v>
      </c>
      <c r="G59" s="32" t="n">
        <f aca="false">Inputs!$B$9</f>
        <v>900</v>
      </c>
      <c r="H59" s="32" t="n">
        <f aca="false">Inputs!$B$10</f>
        <v>492</v>
      </c>
    </row>
    <row r="61" customFormat="false" ht="39.75" hidden="false" customHeight="true" outlineLevel="0" collapsed="false">
      <c r="A61" s="3" t="s">
        <v>575</v>
      </c>
      <c r="B61" s="3"/>
      <c r="C61" s="3"/>
      <c r="D61" s="3"/>
      <c r="E61" s="3"/>
      <c r="F61" s="3"/>
      <c r="G61" s="3"/>
      <c r="H61" s="3"/>
      <c r="I61" s="3"/>
      <c r="J61" s="3"/>
      <c r="K61" s="3"/>
      <c r="L61" s="3"/>
      <c r="M61" s="3"/>
      <c r="N61" s="3"/>
    </row>
  </sheetData>
  <mergeCells count="18">
    <mergeCell ref="A7:H7"/>
    <mergeCell ref="A23:AK23"/>
    <mergeCell ref="F25:N25"/>
    <mergeCell ref="F26:N26"/>
    <mergeCell ref="E28:M28"/>
    <mergeCell ref="N28:V28"/>
    <mergeCell ref="W28:AE28"/>
    <mergeCell ref="AF28:AN28"/>
    <mergeCell ref="A51:D51"/>
    <mergeCell ref="A52:D52"/>
    <mergeCell ref="A53:D53"/>
    <mergeCell ref="A54:D54"/>
    <mergeCell ref="A55:D55"/>
    <mergeCell ref="A56:D56"/>
    <mergeCell ref="A57:D57"/>
    <mergeCell ref="A58:D58"/>
    <mergeCell ref="A59:D59"/>
    <mergeCell ref="A61:N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5" min="2" style="0" width="12"/>
    <col collapsed="false" customWidth="true" hidden="false" outlineLevel="0" max="6" min="6" style="0" width="13"/>
    <col collapsed="false" customWidth="true" hidden="false" outlineLevel="0" max="8" min="7" style="0" width="12"/>
    <col collapsed="false" customWidth="true" hidden="false" outlineLevel="0" max="10" min="9" style="0" width="13"/>
    <col collapsed="false" customWidth="true" hidden="false" outlineLevel="0" max="12" min="11" style="0" width="12"/>
    <col collapsed="false" customWidth="true" hidden="false" outlineLevel="0" max="14" min="13" style="0" width="13"/>
  </cols>
  <sheetData>
    <row r="1" customFormat="false" ht="17.35" hidden="false" customHeight="false" outlineLevel="0" collapsed="false">
      <c r="A1" s="1" t="s">
        <v>576</v>
      </c>
      <c r="B1" s="2"/>
      <c r="C1" s="2"/>
      <c r="D1" s="2"/>
      <c r="E1" s="2"/>
      <c r="F1" s="2"/>
      <c r="G1" s="2"/>
      <c r="H1" s="2"/>
      <c r="I1" s="2"/>
      <c r="J1" s="2"/>
      <c r="K1" s="2"/>
      <c r="L1" s="2"/>
      <c r="M1" s="2"/>
      <c r="N1" s="2"/>
    </row>
    <row r="2" customFormat="false" ht="15" hidden="false" customHeight="false" outlineLevel="0" collapsed="false">
      <c r="A2" s="11" t="s">
        <v>577</v>
      </c>
    </row>
    <row r="4" customFormat="false" ht="15" hidden="false" customHeight="false" outlineLevel="0" collapsed="false">
      <c r="A4" s="4" t="s">
        <v>578</v>
      </c>
    </row>
    <row r="5" customFormat="false" ht="15" hidden="false" customHeight="false" outlineLevel="0" collapsed="false">
      <c r="A5" s="5" t="s">
        <v>579</v>
      </c>
      <c r="B5" s="5"/>
      <c r="C5" s="5"/>
      <c r="D5" s="5"/>
      <c r="E5" s="5"/>
      <c r="F5" s="5"/>
      <c r="G5" s="5"/>
      <c r="H5" s="5"/>
      <c r="I5" s="5"/>
      <c r="J5" s="5"/>
      <c r="K5" s="5"/>
      <c r="L5" s="5"/>
      <c r="M5" s="5"/>
      <c r="N5" s="5"/>
    </row>
    <row r="6" customFormat="false" ht="15" hidden="false" customHeight="false" outlineLevel="0" collapsed="false">
      <c r="A6" s="5" t="s">
        <v>580</v>
      </c>
      <c r="B6" s="5"/>
      <c r="C6" s="5"/>
      <c r="D6" s="5"/>
      <c r="E6" s="5"/>
      <c r="F6" s="5"/>
      <c r="G6" s="5"/>
      <c r="H6" s="5"/>
      <c r="I6" s="5"/>
      <c r="J6" s="5"/>
      <c r="K6" s="5"/>
      <c r="L6" s="5"/>
      <c r="M6" s="5"/>
      <c r="N6" s="5"/>
    </row>
    <row r="7" customFormat="false" ht="15" hidden="false" customHeight="false" outlineLevel="0" collapsed="false">
      <c r="A7" s="5" t="s">
        <v>581</v>
      </c>
      <c r="B7" s="5"/>
      <c r="C7" s="5"/>
      <c r="D7" s="5"/>
      <c r="E7" s="5"/>
      <c r="F7" s="5"/>
      <c r="G7" s="5"/>
      <c r="H7" s="5"/>
      <c r="I7" s="5"/>
      <c r="J7" s="5"/>
      <c r="K7" s="5"/>
      <c r="L7" s="5"/>
      <c r="M7" s="5"/>
      <c r="N7" s="5"/>
    </row>
    <row r="8" customFormat="false" ht="15" hidden="false" customHeight="false" outlineLevel="0" collapsed="false">
      <c r="A8" s="5" t="s">
        <v>582</v>
      </c>
      <c r="B8" s="5"/>
      <c r="C8" s="5"/>
      <c r="D8" s="5"/>
      <c r="E8" s="5"/>
      <c r="F8" s="5"/>
      <c r="G8" s="5"/>
      <c r="H8" s="5"/>
      <c r="I8" s="5"/>
      <c r="J8" s="5"/>
      <c r="K8" s="5"/>
      <c r="L8" s="5"/>
      <c r="M8" s="5"/>
      <c r="N8" s="5"/>
    </row>
    <row r="9" customFormat="false" ht="15" hidden="false" customHeight="false" outlineLevel="0" collapsed="false">
      <c r="A9" s="5" t="s">
        <v>583</v>
      </c>
      <c r="B9" s="5"/>
      <c r="C9" s="5"/>
      <c r="D9" s="5"/>
      <c r="E9" s="5"/>
      <c r="F9" s="5"/>
      <c r="G9" s="5"/>
      <c r="H9" s="5"/>
      <c r="I9" s="5"/>
      <c r="J9" s="5"/>
      <c r="K9" s="5"/>
      <c r="L9" s="5"/>
      <c r="M9" s="5"/>
      <c r="N9" s="5"/>
    </row>
    <row r="11" customFormat="false" ht="15" hidden="false" customHeight="false" outlineLevel="0" collapsed="false">
      <c r="A11" s="4" t="s">
        <v>584</v>
      </c>
    </row>
    <row r="12" customFormat="false" ht="15" hidden="false" customHeight="false" outlineLevel="0" collapsed="false">
      <c r="A12" s="5" t="s">
        <v>585</v>
      </c>
      <c r="B12" s="5"/>
      <c r="C12" s="5"/>
      <c r="D12" s="44" t="n">
        <f aca="false">Inputs!$B$35</f>
        <v>0.797</v>
      </c>
    </row>
    <row r="13" customFormat="false" ht="15" hidden="false" customHeight="false" outlineLevel="0" collapsed="false">
      <c r="A13" s="5" t="s">
        <v>586</v>
      </c>
      <c r="B13" s="5"/>
      <c r="C13" s="5"/>
      <c r="D13" s="44" t="n">
        <f aca="false">Inputs!$B$36</f>
        <v>0.6</v>
      </c>
    </row>
    <row r="14" customFormat="false" ht="15" hidden="false" customHeight="false" outlineLevel="0" collapsed="false">
      <c r="A14" s="5" t="s">
        <v>587</v>
      </c>
      <c r="B14" s="5"/>
      <c r="C14" s="5"/>
      <c r="D14" s="43" t="n">
        <f aca="false">Inputs!$B$82</f>
        <v>20</v>
      </c>
    </row>
    <row r="15" customFormat="false" ht="15" hidden="false" customHeight="false" outlineLevel="0" collapsed="false">
      <c r="A15" s="5" t="s">
        <v>588</v>
      </c>
      <c r="B15" s="5"/>
      <c r="C15" s="5"/>
      <c r="D15" s="43" t="n">
        <f aca="false">Inputs!$B$83</f>
        <v>20</v>
      </c>
    </row>
    <row r="16" customFormat="false" ht="15" hidden="false" customHeight="false" outlineLevel="0" collapsed="false">
      <c r="A16" s="5" t="s">
        <v>589</v>
      </c>
      <c r="B16" s="5"/>
      <c r="C16" s="5"/>
      <c r="D16" s="43" t="n">
        <f aca="false">Inputs!$B$37</f>
        <v>0.5</v>
      </c>
    </row>
    <row r="17" customFormat="false" ht="15" hidden="false" customHeight="false" outlineLevel="0" collapsed="false">
      <c r="A17" s="5" t="s">
        <v>590</v>
      </c>
      <c r="B17" s="5"/>
      <c r="C17" s="5"/>
      <c r="D17" s="48" t="n">
        <f aca="false">Inputs!$B$69</f>
        <v>1000</v>
      </c>
    </row>
    <row r="19" customFormat="false" ht="43.5" hidden="false" customHeight="true" outlineLevel="0" collapsed="false">
      <c r="A19" s="7" t="s">
        <v>499</v>
      </c>
      <c r="B19" s="7" t="s">
        <v>591</v>
      </c>
      <c r="C19" s="7" t="s">
        <v>592</v>
      </c>
      <c r="D19" s="7" t="s">
        <v>593</v>
      </c>
      <c r="E19" s="7" t="s">
        <v>594</v>
      </c>
      <c r="F19" s="7" t="s">
        <v>595</v>
      </c>
      <c r="G19" s="7" t="s">
        <v>596</v>
      </c>
      <c r="H19" s="7" t="s">
        <v>597</v>
      </c>
      <c r="I19" s="7" t="s">
        <v>598</v>
      </c>
      <c r="J19" s="7" t="s">
        <v>599</v>
      </c>
      <c r="K19" s="7" t="s">
        <v>600</v>
      </c>
      <c r="L19" s="7" t="s">
        <v>601</v>
      </c>
      <c r="M19" s="7" t="s">
        <v>602</v>
      </c>
      <c r="N19" s="7" t="s">
        <v>603</v>
      </c>
    </row>
    <row r="20" customFormat="false" ht="15" hidden="false" customHeight="false" outlineLevel="0" collapsed="false">
      <c r="A20" s="13" t="s">
        <v>92</v>
      </c>
      <c r="B20" s="43" t="n">
        <f aca="false">'S15 Queuing'!$C$30</f>
        <v>0</v>
      </c>
      <c r="C20" s="27" t="n">
        <f aca="false">B20*$D$12</f>
        <v>0</v>
      </c>
      <c r="D20" s="27" t="n">
        <f aca="false">B20*(1-$D$12)</f>
        <v>0</v>
      </c>
      <c r="E20" s="27" t="n">
        <f aca="false">$D$13*C20</f>
        <v>0</v>
      </c>
      <c r="F20" s="19" t="n">
        <v>0</v>
      </c>
      <c r="G20" s="19" t="n">
        <v>0</v>
      </c>
      <c r="H20" s="19" t="n">
        <v>0</v>
      </c>
      <c r="I20" s="49" t="n">
        <f aca="false">G20-(0+C20-F20-10*$D$14)</f>
        <v>200</v>
      </c>
      <c r="J20" s="49" t="n">
        <f aca="false">H20-(0+D20+F20-10*$D$15)</f>
        <v>200</v>
      </c>
      <c r="K20" s="27" t="n">
        <f aca="false">MAX(0,0+C20-10*$D$14)</f>
        <v>0</v>
      </c>
      <c r="L20" s="27" t="n">
        <f aca="false">MAX(0,0+D20-10*$D$15)</f>
        <v>0</v>
      </c>
      <c r="M20" s="27" t="n">
        <f aca="false">C20-F20</f>
        <v>0</v>
      </c>
      <c r="N20" s="27" t="n">
        <f aca="false">D20+F20</f>
        <v>0</v>
      </c>
    </row>
    <row r="21" customFormat="false" ht="15" hidden="false" customHeight="false" outlineLevel="0" collapsed="false">
      <c r="A21" s="13" t="s">
        <v>501</v>
      </c>
      <c r="B21" s="43" t="n">
        <f aca="false">'S15 Queuing'!$C$31</f>
        <v>0</v>
      </c>
      <c r="C21" s="27" t="n">
        <f aca="false">B21*$D$12</f>
        <v>0</v>
      </c>
      <c r="D21" s="27" t="n">
        <f aca="false">B21*(1-$D$12)</f>
        <v>0</v>
      </c>
      <c r="E21" s="27" t="n">
        <f aca="false">$D$13*C21</f>
        <v>0</v>
      </c>
      <c r="F21" s="19" t="n">
        <v>0</v>
      </c>
      <c r="G21" s="19" t="n">
        <v>0</v>
      </c>
      <c r="H21" s="19" t="n">
        <v>0</v>
      </c>
      <c r="I21" s="49" t="n">
        <f aca="false">G21-(G20+C21-F21-10*$D$14)</f>
        <v>200</v>
      </c>
      <c r="J21" s="49" t="n">
        <f aca="false">H21-(H20+D21+F21-10*$D$15)</f>
        <v>200</v>
      </c>
      <c r="K21" s="27" t="n">
        <f aca="false">MAX(0,K20+C21-10*$D$14)</f>
        <v>0</v>
      </c>
      <c r="L21" s="27" t="n">
        <f aca="false">MAX(0,L20+D21-10*$D$15)</f>
        <v>0</v>
      </c>
      <c r="M21" s="27" t="n">
        <f aca="false">C21-F21</f>
        <v>0</v>
      </c>
      <c r="N21" s="27" t="n">
        <f aca="false">D21+F21</f>
        <v>0</v>
      </c>
    </row>
    <row r="22" customFormat="false" ht="15" hidden="false" customHeight="false" outlineLevel="0" collapsed="false">
      <c r="A22" s="13" t="s">
        <v>502</v>
      </c>
      <c r="B22" s="43" t="n">
        <f aca="false">'S15 Queuing'!$C$32</f>
        <v>0</v>
      </c>
      <c r="C22" s="27" t="n">
        <f aca="false">B22*$D$12</f>
        <v>0</v>
      </c>
      <c r="D22" s="27" t="n">
        <f aca="false">B22*(1-$D$12)</f>
        <v>0</v>
      </c>
      <c r="E22" s="27" t="n">
        <f aca="false">$D$13*C22</f>
        <v>0</v>
      </c>
      <c r="F22" s="19" t="n">
        <v>0</v>
      </c>
      <c r="G22" s="19" t="n">
        <v>0</v>
      </c>
      <c r="H22" s="19" t="n">
        <v>0</v>
      </c>
      <c r="I22" s="49" t="n">
        <f aca="false">G22-(G21+C22-F22-10*$D$14)</f>
        <v>200</v>
      </c>
      <c r="J22" s="49" t="n">
        <f aca="false">H22-(H21+D22+F22-10*$D$15)</f>
        <v>200</v>
      </c>
      <c r="K22" s="27" t="n">
        <f aca="false">MAX(0,K21+C22-10*$D$14)</f>
        <v>0</v>
      </c>
      <c r="L22" s="27" t="n">
        <f aca="false">MAX(0,L21+D22-10*$D$15)</f>
        <v>0</v>
      </c>
      <c r="M22" s="27" t="n">
        <f aca="false">C22-F22</f>
        <v>0</v>
      </c>
      <c r="N22" s="27" t="n">
        <f aca="false">D22+F22</f>
        <v>0</v>
      </c>
    </row>
    <row r="23" customFormat="false" ht="15" hidden="false" customHeight="false" outlineLevel="0" collapsed="false">
      <c r="A23" s="13" t="s">
        <v>503</v>
      </c>
      <c r="B23" s="43" t="n">
        <f aca="false">'S15 Queuing'!$C$33</f>
        <v>181.516052753922</v>
      </c>
      <c r="C23" s="27" t="n">
        <f aca="false">B23*$D$12</f>
        <v>144.668294044876</v>
      </c>
      <c r="D23" s="27" t="n">
        <f aca="false">B23*(1-$D$12)</f>
        <v>36.8477587090462</v>
      </c>
      <c r="E23" s="27" t="n">
        <f aca="false">$D$13*C23</f>
        <v>86.8009764269256</v>
      </c>
      <c r="F23" s="19" t="n">
        <v>0</v>
      </c>
      <c r="G23" s="19" t="n">
        <v>0</v>
      </c>
      <c r="H23" s="19" t="n">
        <v>0</v>
      </c>
      <c r="I23" s="49" t="n">
        <f aca="false">G23-(G22+C23-F23-10*$D$14)</f>
        <v>55.331705955124</v>
      </c>
      <c r="J23" s="49" t="n">
        <f aca="false">H23-(H22+D23+F23-10*$D$15)</f>
        <v>163.152241290954</v>
      </c>
      <c r="K23" s="27" t="n">
        <f aca="false">MAX(0,K22+C23-10*$D$14)</f>
        <v>0</v>
      </c>
      <c r="L23" s="27" t="n">
        <f aca="false">MAX(0,L22+D23-10*$D$15)</f>
        <v>0</v>
      </c>
      <c r="M23" s="27" t="n">
        <f aca="false">C23-F23</f>
        <v>144.668294044876</v>
      </c>
      <c r="N23" s="27" t="n">
        <f aca="false">D23+F23</f>
        <v>36.8477587090462</v>
      </c>
    </row>
    <row r="24" customFormat="false" ht="15" hidden="false" customHeight="false" outlineLevel="0" collapsed="false">
      <c r="A24" s="13" t="s">
        <v>504</v>
      </c>
      <c r="B24" s="43" t="n">
        <f aca="false">'S15 Queuing'!$C$34</f>
        <v>231.87203390082</v>
      </c>
      <c r="C24" s="27" t="n">
        <f aca="false">B24*$D$12</f>
        <v>184.802011018953</v>
      </c>
      <c r="D24" s="27" t="n">
        <f aca="false">B24*(1-$D$12)</f>
        <v>47.0700228818664</v>
      </c>
      <c r="E24" s="27" t="n">
        <f aca="false">$D$13*C24</f>
        <v>110.881206611372</v>
      </c>
      <c r="F24" s="19" t="n">
        <v>0</v>
      </c>
      <c r="G24" s="19" t="n">
        <v>0</v>
      </c>
      <c r="H24" s="19" t="n">
        <v>0</v>
      </c>
      <c r="I24" s="49" t="n">
        <f aca="false">G24-(G23+C24-F24-10*$D$14)</f>
        <v>15.1979889810466</v>
      </c>
      <c r="J24" s="49" t="n">
        <f aca="false">H24-(H23+D24+F24-10*$D$15)</f>
        <v>152.929977118134</v>
      </c>
      <c r="K24" s="27" t="n">
        <f aca="false">MAX(0,K23+C24-10*$D$14)</f>
        <v>0</v>
      </c>
      <c r="L24" s="27" t="n">
        <f aca="false">MAX(0,L23+D24-10*$D$15)</f>
        <v>0</v>
      </c>
      <c r="M24" s="27" t="n">
        <f aca="false">C24-F24</f>
        <v>184.802011018953</v>
      </c>
      <c r="N24" s="27" t="n">
        <f aca="false">D24+F24</f>
        <v>47.0700228818664</v>
      </c>
    </row>
    <row r="25" customFormat="false" ht="15" hidden="false" customHeight="false" outlineLevel="0" collapsed="false">
      <c r="A25" s="13" t="s">
        <v>505</v>
      </c>
      <c r="B25" s="43" t="n">
        <f aca="false">'S15 Queuing'!$C$35</f>
        <v>231.87203390082</v>
      </c>
      <c r="C25" s="27" t="n">
        <f aca="false">B25*$D$12</f>
        <v>184.802011018953</v>
      </c>
      <c r="D25" s="27" t="n">
        <f aca="false">B25*(1-$D$12)</f>
        <v>47.0700228818664</v>
      </c>
      <c r="E25" s="27" t="n">
        <f aca="false">$D$13*C25</f>
        <v>110.881206611372</v>
      </c>
      <c r="F25" s="19" t="n">
        <v>0</v>
      </c>
      <c r="G25" s="19" t="n">
        <v>0</v>
      </c>
      <c r="H25" s="19" t="n">
        <v>0</v>
      </c>
      <c r="I25" s="49" t="n">
        <f aca="false">G25-(G24+C25-F25-10*$D$14)</f>
        <v>15.1979889810466</v>
      </c>
      <c r="J25" s="49" t="n">
        <f aca="false">H25-(H24+D25+F25-10*$D$15)</f>
        <v>152.929977118134</v>
      </c>
      <c r="K25" s="27" t="n">
        <f aca="false">MAX(0,K24+C25-10*$D$14)</f>
        <v>0</v>
      </c>
      <c r="L25" s="27" t="n">
        <f aca="false">MAX(0,L24+D25-10*$D$15)</f>
        <v>0</v>
      </c>
      <c r="M25" s="27" t="n">
        <f aca="false">C25-F25</f>
        <v>184.802011018953</v>
      </c>
      <c r="N25" s="27" t="n">
        <f aca="false">D25+F25</f>
        <v>47.0700228818664</v>
      </c>
    </row>
    <row r="26" customFormat="false" ht="15" hidden="false" customHeight="false" outlineLevel="0" collapsed="false">
      <c r="A26" s="13" t="s">
        <v>506</v>
      </c>
      <c r="B26" s="43" t="n">
        <f aca="false">'S15 Queuing'!$C$36</f>
        <v>284.747931097385</v>
      </c>
      <c r="C26" s="27" t="n">
        <f aca="false">B26*$D$12</f>
        <v>226.944101084616</v>
      </c>
      <c r="D26" s="27" t="n">
        <f aca="false">B26*(1-$D$12)</f>
        <v>57.8038300127692</v>
      </c>
      <c r="E26" s="27" t="n">
        <f aca="false">$D$13*C26</f>
        <v>136.16646065077</v>
      </c>
      <c r="F26" s="19" t="n">
        <v>26.944101</v>
      </c>
      <c r="G26" s="19" t="n">
        <v>0</v>
      </c>
      <c r="H26" s="19" t="n">
        <v>0</v>
      </c>
      <c r="I26" s="49" t="n">
        <f aca="false">G26-(G25+C26-F26-10*$D$14)</f>
        <v>-8.46159480261122E-008</v>
      </c>
      <c r="J26" s="49" t="n">
        <f aca="false">H26-(H25+D26+F26-10*$D$15)</f>
        <v>115.252068987231</v>
      </c>
      <c r="K26" s="27" t="n">
        <f aca="false">MAX(0,K25+C26-10*$D$14)</f>
        <v>26.9441010846159</v>
      </c>
      <c r="L26" s="27" t="n">
        <f aca="false">MAX(0,L25+D26-10*$D$15)</f>
        <v>0</v>
      </c>
      <c r="M26" s="27" t="n">
        <f aca="false">C26-F26</f>
        <v>200.000000084616</v>
      </c>
      <c r="N26" s="27" t="n">
        <f aca="false">D26+F26</f>
        <v>84.7479310127692</v>
      </c>
    </row>
    <row r="27" customFormat="false" ht="15" hidden="false" customHeight="false" outlineLevel="0" collapsed="false">
      <c r="A27" s="13" t="s">
        <v>507</v>
      </c>
      <c r="B27" s="43" t="n">
        <f aca="false">'S15 Queuing'!$C$37</f>
        <v>260.308929551873</v>
      </c>
      <c r="C27" s="27" t="n">
        <f aca="false">B27*$D$12</f>
        <v>207.466216852843</v>
      </c>
      <c r="D27" s="27" t="n">
        <f aca="false">B27*(1-$D$12)</f>
        <v>52.8427126990303</v>
      </c>
      <c r="E27" s="27" t="n">
        <f aca="false">$D$13*C27</f>
        <v>124.479730111706</v>
      </c>
      <c r="F27" s="19" t="n">
        <v>7.466217</v>
      </c>
      <c r="G27" s="19" t="n">
        <v>0</v>
      </c>
      <c r="H27" s="19" t="n">
        <v>0</v>
      </c>
      <c r="I27" s="49" t="n">
        <f aca="false">G27-(G26+C27-F27-10*$D$14)</f>
        <v>1.47157010133014E-007</v>
      </c>
      <c r="J27" s="49" t="n">
        <f aca="false">H27-(H26+D27+F27-10*$D$15)</f>
        <v>139.69107030097</v>
      </c>
      <c r="K27" s="27" t="n">
        <f aca="false">MAX(0,K26+C27-10*$D$14)</f>
        <v>34.4103179374589</v>
      </c>
      <c r="L27" s="27" t="n">
        <f aca="false">MAX(0,L26+D27-10*$D$15)</f>
        <v>0</v>
      </c>
      <c r="M27" s="27" t="n">
        <f aca="false">C27-F27</f>
        <v>199.999999852843</v>
      </c>
      <c r="N27" s="27" t="n">
        <f aca="false">D27+F27</f>
        <v>60.3089296990303</v>
      </c>
    </row>
    <row r="28" customFormat="false" ht="15" hidden="false" customHeight="false" outlineLevel="0" collapsed="false">
      <c r="A28" s="13" t="s">
        <v>508</v>
      </c>
      <c r="B28" s="43" t="n">
        <f aca="false">'S15 Queuing'!$C$38</f>
        <v>215.807039995811</v>
      </c>
      <c r="C28" s="27" t="n">
        <f aca="false">B28*$D$12</f>
        <v>171.998210876662</v>
      </c>
      <c r="D28" s="27" t="n">
        <f aca="false">B28*(1-$D$12)</f>
        <v>43.8088291191497</v>
      </c>
      <c r="E28" s="27" t="n">
        <f aca="false">$D$13*C28</f>
        <v>103.198926525997</v>
      </c>
      <c r="F28" s="19" t="n">
        <v>0</v>
      </c>
      <c r="G28" s="19" t="n">
        <v>0</v>
      </c>
      <c r="H28" s="19" t="n">
        <v>0</v>
      </c>
      <c r="I28" s="49" t="n">
        <f aca="false">G28-(G27+C28-F28-10*$D$14)</f>
        <v>28.0017891233384</v>
      </c>
      <c r="J28" s="49" t="n">
        <f aca="false">H28-(H27+D28+F28-10*$D$15)</f>
        <v>156.19117088085</v>
      </c>
      <c r="K28" s="27" t="n">
        <f aca="false">MAX(0,K27+C28-10*$D$14)</f>
        <v>6.40852881412056</v>
      </c>
      <c r="L28" s="27" t="n">
        <f aca="false">MAX(0,L27+D28-10*$D$15)</f>
        <v>0</v>
      </c>
      <c r="M28" s="27" t="n">
        <f aca="false">C28-F28</f>
        <v>171.998210876662</v>
      </c>
      <c r="N28" s="27" t="n">
        <f aca="false">D28+F28</f>
        <v>43.8088291191497</v>
      </c>
    </row>
    <row r="29" customFormat="false" ht="15" hidden="false" customHeight="false" outlineLevel="0" collapsed="false">
      <c r="A29" s="13" t="s">
        <v>509</v>
      </c>
      <c r="B29" s="43" t="n">
        <f aca="false">'S15 Queuing'!$C$39</f>
        <v>289.121090068979</v>
      </c>
      <c r="C29" s="27" t="n">
        <f aca="false">B29*$D$12</f>
        <v>230.429508784976</v>
      </c>
      <c r="D29" s="27" t="n">
        <f aca="false">B29*(1-$D$12)</f>
        <v>58.6915812840027</v>
      </c>
      <c r="E29" s="27" t="n">
        <f aca="false">$D$13*C29</f>
        <v>138.257705270986</v>
      </c>
      <c r="F29" s="19" t="n">
        <v>30.429509</v>
      </c>
      <c r="G29" s="19" t="n">
        <v>0</v>
      </c>
      <c r="H29" s="19" t="n">
        <v>0</v>
      </c>
      <c r="I29" s="49" t="n">
        <f aca="false">G29-(G28+C29-F29-10*$D$14)</f>
        <v>2.15023703731276E-007</v>
      </c>
      <c r="J29" s="49" t="n">
        <f aca="false">H29-(H28+D29+F29-10*$D$15)</f>
        <v>110.878909715997</v>
      </c>
      <c r="K29" s="27" t="n">
        <f aca="false">MAX(0,K28+C29-10*$D$14)</f>
        <v>36.8380375990969</v>
      </c>
      <c r="L29" s="27" t="n">
        <f aca="false">MAX(0,L28+D29-10*$D$15)</f>
        <v>0</v>
      </c>
      <c r="M29" s="27" t="n">
        <f aca="false">C29-F29</f>
        <v>199.999999784976</v>
      </c>
      <c r="N29" s="27" t="n">
        <f aca="false">D29+F29</f>
        <v>89.1210902840027</v>
      </c>
    </row>
    <row r="30" customFormat="false" ht="15" hidden="false" customHeight="false" outlineLevel="0" collapsed="false">
      <c r="A30" s="13" t="s">
        <v>510</v>
      </c>
      <c r="B30" s="43" t="n">
        <f aca="false">'S15 Queuing'!$C$40</f>
        <v>374.357456028736</v>
      </c>
      <c r="C30" s="27" t="n">
        <f aca="false">B30*$D$12</f>
        <v>298.362892454903</v>
      </c>
      <c r="D30" s="27" t="n">
        <f aca="false">B30*(1-$D$12)</f>
        <v>75.9945635738335</v>
      </c>
      <c r="E30" s="27" t="n">
        <f aca="false">$D$13*C30</f>
        <v>179.017735472942</v>
      </c>
      <c r="F30" s="19" t="n">
        <v>98.362892</v>
      </c>
      <c r="G30" s="19" t="n">
        <v>0</v>
      </c>
      <c r="H30" s="19" t="n">
        <v>0</v>
      </c>
      <c r="I30" s="49" t="n">
        <f aca="false">G30-(G29+C30-F30-10*$D$14)</f>
        <v>-4.54902931323886E-007</v>
      </c>
      <c r="J30" s="49" t="n">
        <f aca="false">H30-(H29+D30+F30-10*$D$15)</f>
        <v>25.6425444261665</v>
      </c>
      <c r="K30" s="27" t="n">
        <f aca="false">MAX(0,K29+C30-10*$D$14)</f>
        <v>135.200930054</v>
      </c>
      <c r="L30" s="27" t="n">
        <f aca="false">MAX(0,L29+D30-10*$D$15)</f>
        <v>0</v>
      </c>
      <c r="M30" s="27" t="n">
        <f aca="false">C30-F30</f>
        <v>200.000000454903</v>
      </c>
      <c r="N30" s="27" t="n">
        <f aca="false">D30+F30</f>
        <v>174.357455573833</v>
      </c>
    </row>
    <row r="31" customFormat="false" ht="15" hidden="false" customHeight="false" outlineLevel="0" collapsed="false">
      <c r="A31" s="13" t="s">
        <v>511</v>
      </c>
      <c r="B31" s="43" t="n">
        <f aca="false">'S15 Queuing'!$C$41</f>
        <v>355.06664397698</v>
      </c>
      <c r="C31" s="27" t="n">
        <f aca="false">B31*$D$12</f>
        <v>282.988115249653</v>
      </c>
      <c r="D31" s="27" t="n">
        <f aca="false">B31*(1-$D$12)</f>
        <v>72.078528727327</v>
      </c>
      <c r="E31" s="27" t="n">
        <f aca="false">$D$13*C31</f>
        <v>169.792869149792</v>
      </c>
      <c r="F31" s="19" t="n">
        <v>82.988115</v>
      </c>
      <c r="G31" s="19" t="n">
        <v>0</v>
      </c>
      <c r="H31" s="19" t="n">
        <v>0</v>
      </c>
      <c r="I31" s="49" t="n">
        <f aca="false">G31-(G30+C31-F31-10*$D$14)</f>
        <v>-2.49653396622307E-007</v>
      </c>
      <c r="J31" s="49" t="n">
        <f aca="false">H31-(H30+D31+F31-10*$D$15)</f>
        <v>44.933356272673</v>
      </c>
      <c r="K31" s="27" t="n">
        <f aca="false">MAX(0,K30+C31-10*$D$14)</f>
        <v>218.189045303653</v>
      </c>
      <c r="L31" s="27" t="n">
        <f aca="false">MAX(0,L30+D31-10*$D$15)</f>
        <v>0</v>
      </c>
      <c r="M31" s="27" t="n">
        <f aca="false">C31-F31</f>
        <v>200.000000249653</v>
      </c>
      <c r="N31" s="27" t="n">
        <f aca="false">D31+F31</f>
        <v>155.066643727327</v>
      </c>
    </row>
    <row r="32" customFormat="false" ht="15" hidden="false" customHeight="false" outlineLevel="0" collapsed="false">
      <c r="A32" s="13" t="s">
        <v>512</v>
      </c>
      <c r="B32" s="43" t="n">
        <f aca="false">'S15 Queuing'!$C$42</f>
        <v>269.604707609561</v>
      </c>
      <c r="C32" s="27" t="n">
        <f aca="false">B32*$D$12</f>
        <v>214.87495196482</v>
      </c>
      <c r="D32" s="27" t="n">
        <f aca="false">B32*(1-$D$12)</f>
        <v>54.7297556447409</v>
      </c>
      <c r="E32" s="27" t="n">
        <f aca="false">$D$13*C32</f>
        <v>128.924971178892</v>
      </c>
      <c r="F32" s="19" t="n">
        <v>14.874952</v>
      </c>
      <c r="G32" s="19" t="n">
        <v>0</v>
      </c>
      <c r="H32" s="19" t="n">
        <v>0</v>
      </c>
      <c r="I32" s="49" t="n">
        <f aca="false">G32-(G31+C32-F32-10*$D$14)</f>
        <v>3.51798519204749E-008</v>
      </c>
      <c r="J32" s="49" t="n">
        <f aca="false">H32-(H31+D32+F32-10*$D$15)</f>
        <v>130.395292355259</v>
      </c>
      <c r="K32" s="27" t="n">
        <f aca="false">MAX(0,K31+C32-10*$D$14)</f>
        <v>233.063997268473</v>
      </c>
      <c r="L32" s="27" t="n">
        <f aca="false">MAX(0,L31+D32-10*$D$15)</f>
        <v>0</v>
      </c>
      <c r="M32" s="27" t="n">
        <f aca="false">C32-F32</f>
        <v>199.99999996482</v>
      </c>
      <c r="N32" s="27" t="n">
        <f aca="false">D32+F32</f>
        <v>69.6047076447409</v>
      </c>
    </row>
    <row r="33" customFormat="false" ht="15" hidden="false" customHeight="false" outlineLevel="0" collapsed="false">
      <c r="A33" s="13" t="s">
        <v>513</v>
      </c>
      <c r="B33" s="43" t="n">
        <f aca="false">'S15 Queuing'!$C$43</f>
        <v>175.310480367649</v>
      </c>
      <c r="C33" s="27" t="n">
        <f aca="false">B33*$D$12</f>
        <v>139.722452853016</v>
      </c>
      <c r="D33" s="27" t="n">
        <f aca="false">B33*(1-$D$12)</f>
        <v>35.5880275146327</v>
      </c>
      <c r="E33" s="27" t="n">
        <f aca="false">$D$13*C33</f>
        <v>83.8334717118097</v>
      </c>
      <c r="F33" s="19" t="n">
        <v>0</v>
      </c>
      <c r="G33" s="19" t="n">
        <v>0</v>
      </c>
      <c r="H33" s="19" t="n">
        <v>0</v>
      </c>
      <c r="I33" s="49" t="n">
        <f aca="false">G33-(G32+C33-F33-10*$D$14)</f>
        <v>60.2775471469838</v>
      </c>
      <c r="J33" s="49" t="n">
        <f aca="false">H33-(H32+D33+F33-10*$D$15)</f>
        <v>164.411972485367</v>
      </c>
      <c r="K33" s="27" t="n">
        <f aca="false">MAX(0,K32+C33-10*$D$14)</f>
        <v>172.786450121489</v>
      </c>
      <c r="L33" s="27" t="n">
        <f aca="false">MAX(0,L32+D33-10*$D$15)</f>
        <v>0</v>
      </c>
      <c r="M33" s="27" t="n">
        <f aca="false">C33-F33</f>
        <v>139.722452853016</v>
      </c>
      <c r="N33" s="27" t="n">
        <f aca="false">D33+F33</f>
        <v>35.5880275146327</v>
      </c>
    </row>
    <row r="34" customFormat="false" ht="15" hidden="false" customHeight="false" outlineLevel="0" collapsed="false">
      <c r="A34" s="13" t="s">
        <v>514</v>
      </c>
      <c r="B34" s="43" t="n">
        <f aca="false">'S15 Queuing'!$C$44</f>
        <v>90.415600747463</v>
      </c>
      <c r="C34" s="27" t="n">
        <f aca="false">B34*$D$12</f>
        <v>72.061233795728</v>
      </c>
      <c r="D34" s="27" t="n">
        <f aca="false">B34*(1-$D$12)</f>
        <v>18.354366951735</v>
      </c>
      <c r="E34" s="27" t="n">
        <f aca="false">$D$13*C34</f>
        <v>43.2367402774368</v>
      </c>
      <c r="F34" s="19" t="n">
        <v>0</v>
      </c>
      <c r="G34" s="19" t="n">
        <v>0</v>
      </c>
      <c r="H34" s="19" t="n">
        <v>0</v>
      </c>
      <c r="I34" s="49" t="n">
        <f aca="false">G34-(G33+C34-F34-10*$D$14)</f>
        <v>127.938766204272</v>
      </c>
      <c r="J34" s="49" t="n">
        <f aca="false">H34-(H33+D34+F34-10*$D$15)</f>
        <v>181.645633048265</v>
      </c>
      <c r="K34" s="27" t="n">
        <f aca="false">MAX(0,K33+C34-10*$D$14)</f>
        <v>44.8476839172175</v>
      </c>
      <c r="L34" s="27" t="n">
        <f aca="false">MAX(0,L33+D34-10*$D$15)</f>
        <v>0</v>
      </c>
      <c r="M34" s="27" t="n">
        <f aca="false">C34-F34</f>
        <v>72.061233795728</v>
      </c>
      <c r="N34" s="27" t="n">
        <f aca="false">D34+F34</f>
        <v>18.354366951735</v>
      </c>
    </row>
    <row r="35" customFormat="false" ht="15" hidden="false" customHeight="false" outlineLevel="0" collapsed="false">
      <c r="A35" s="13" t="s">
        <v>515</v>
      </c>
      <c r="B35" s="43" t="n">
        <f aca="false">'S15 Queuing'!$C$45</f>
        <v>0</v>
      </c>
      <c r="C35" s="27" t="n">
        <f aca="false">B35*$D$12</f>
        <v>0</v>
      </c>
      <c r="D35" s="27" t="n">
        <f aca="false">B35*(1-$D$12)</f>
        <v>0</v>
      </c>
      <c r="E35" s="27" t="n">
        <f aca="false">$D$13*C35</f>
        <v>0</v>
      </c>
      <c r="F35" s="19" t="n">
        <v>0</v>
      </c>
      <c r="G35" s="19" t="n">
        <v>0</v>
      </c>
      <c r="H35" s="19" t="n">
        <v>0</v>
      </c>
      <c r="I35" s="49" t="n">
        <f aca="false">G35-(G34+C35-F35-10*$D$14)</f>
        <v>200</v>
      </c>
      <c r="J35" s="49" t="n">
        <f aca="false">H35-(H34+D35+F35-10*$D$15)</f>
        <v>200</v>
      </c>
      <c r="K35" s="27" t="n">
        <f aca="false">MAX(0,K34+C35-10*$D$14)</f>
        <v>0</v>
      </c>
      <c r="L35" s="27" t="n">
        <f aca="false">MAX(0,L34+D35-10*$D$15)</f>
        <v>0</v>
      </c>
      <c r="M35" s="27" t="n">
        <f aca="false">C35-F35</f>
        <v>0</v>
      </c>
      <c r="N35" s="27" t="n">
        <f aca="false">D35+F35</f>
        <v>0</v>
      </c>
    </row>
    <row r="36" customFormat="false" ht="15" hidden="false" customHeight="false" outlineLevel="0" collapsed="false">
      <c r="A36" s="13" t="s">
        <v>516</v>
      </c>
      <c r="B36" s="43" t="n">
        <f aca="false">'S15 Queuing'!$C$46</f>
        <v>0</v>
      </c>
      <c r="C36" s="27" t="n">
        <f aca="false">B36*$D$12</f>
        <v>0</v>
      </c>
      <c r="D36" s="27" t="n">
        <f aca="false">B36*(1-$D$12)</f>
        <v>0</v>
      </c>
      <c r="E36" s="27" t="n">
        <f aca="false">$D$13*C36</f>
        <v>0</v>
      </c>
      <c r="F36" s="19" t="n">
        <v>0</v>
      </c>
      <c r="G36" s="19" t="n">
        <v>0</v>
      </c>
      <c r="H36" s="19" t="n">
        <v>0</v>
      </c>
      <c r="I36" s="49" t="n">
        <f aca="false">G36-(G35+C36-F36-10*$D$14)</f>
        <v>200</v>
      </c>
      <c r="J36" s="49" t="n">
        <f aca="false">H36-(H35+D36+F36-10*$D$15)</f>
        <v>200</v>
      </c>
      <c r="K36" s="27" t="n">
        <f aca="false">MAX(0,K35+C36-10*$D$14)</f>
        <v>0</v>
      </c>
      <c r="L36" s="27" t="n">
        <f aca="false">MAX(0,L35+D36-10*$D$15)</f>
        <v>0</v>
      </c>
      <c r="M36" s="27" t="n">
        <f aca="false">C36-F36</f>
        <v>0</v>
      </c>
      <c r="N36" s="27" t="n">
        <f aca="false">D36+F36</f>
        <v>0</v>
      </c>
    </row>
    <row r="37" customFormat="false" ht="15" hidden="false" customHeight="false" outlineLevel="0" collapsed="false">
      <c r="A37" s="13" t="s">
        <v>517</v>
      </c>
      <c r="B37" s="43" t="n">
        <f aca="false">'S15 Queuing'!$C$47</f>
        <v>0</v>
      </c>
      <c r="C37" s="27" t="n">
        <f aca="false">B37*$D$12</f>
        <v>0</v>
      </c>
      <c r="D37" s="27" t="n">
        <f aca="false">B37*(1-$D$12)</f>
        <v>0</v>
      </c>
      <c r="E37" s="27" t="n">
        <f aca="false">$D$13*C37</f>
        <v>0</v>
      </c>
      <c r="F37" s="19" t="n">
        <v>0</v>
      </c>
      <c r="G37" s="19" t="n">
        <v>0</v>
      </c>
      <c r="H37" s="19" t="n">
        <v>0</v>
      </c>
      <c r="I37" s="49" t="n">
        <f aca="false">G37-(G36+C37-F37-10*$D$14)</f>
        <v>200</v>
      </c>
      <c r="J37" s="49" t="n">
        <f aca="false">H37-(H36+D37+F37-10*$D$15)</f>
        <v>200</v>
      </c>
      <c r="K37" s="27" t="n">
        <f aca="false">MAX(0,K36+C37-10*$D$14)</f>
        <v>0</v>
      </c>
      <c r="L37" s="27" t="n">
        <f aca="false">MAX(0,L36+D37-10*$D$15)</f>
        <v>0</v>
      </c>
      <c r="M37" s="27" t="n">
        <f aca="false">C37-F37</f>
        <v>0</v>
      </c>
      <c r="N37" s="27" t="n">
        <f aca="false">D37+F37</f>
        <v>0</v>
      </c>
    </row>
    <row r="38" customFormat="false" ht="15" hidden="false" customHeight="false" outlineLevel="0" collapsed="false">
      <c r="A38" s="4" t="s">
        <v>404</v>
      </c>
      <c r="B38" s="35" t="n">
        <f aca="false">SUM(B20:B37)</f>
        <v>2960</v>
      </c>
      <c r="C38" s="35" t="n">
        <f aca="false">SUM(C20:C37)</f>
        <v>2359.12</v>
      </c>
      <c r="D38" s="35" t="n">
        <f aca="false">SUM(D20:D37)</f>
        <v>600.88</v>
      </c>
      <c r="E38" s="35" t="n">
        <f aca="false">SUM(E20:E37)</f>
        <v>1415.472</v>
      </c>
      <c r="F38" s="35" t="n">
        <f aca="false">SUM(F20:F37)</f>
        <v>261.065786</v>
      </c>
      <c r="G38" s="35" t="n">
        <f aca="false">SUM(G20:G37)</f>
        <v>0</v>
      </c>
      <c r="H38" s="35" t="n">
        <f aca="false">SUM(H20:H37)</f>
        <v>0</v>
      </c>
      <c r="K38" s="35" t="n">
        <f aca="false">SUM(K20:K37)</f>
        <v>908.689092100125</v>
      </c>
      <c r="L38" s="35" t="n">
        <f aca="false">SUM(L20:L37)</f>
        <v>0</v>
      </c>
      <c r="M38" s="35" t="n">
        <f aca="false">SUM(M20:M37)</f>
        <v>2098.054214</v>
      </c>
      <c r="N38" s="35" t="n">
        <f aca="false">SUM(N20:N37)</f>
        <v>861.945786</v>
      </c>
    </row>
    <row r="40" customFormat="false" ht="15" hidden="false" customHeight="false" outlineLevel="0" collapsed="false">
      <c r="A40" s="4" t="s">
        <v>604</v>
      </c>
    </row>
    <row r="41" customFormat="false" ht="15" hidden="false" customHeight="false" outlineLevel="0" collapsed="false">
      <c r="A41" s="13" t="s">
        <v>605</v>
      </c>
      <c r="B41" s="35" t="n">
        <f aca="false">10*SUM(G20:H37)+$D$16*SUM(F20:F37)</f>
        <v>130.532893</v>
      </c>
    </row>
    <row r="42" customFormat="false" ht="15" hidden="false" customHeight="false" outlineLevel="0" collapsed="false">
      <c r="A42" s="13" t="s">
        <v>606</v>
      </c>
      <c r="B42" s="35" t="n">
        <f aca="false">10*SUM(K20:L37)</f>
        <v>9086.89092100125</v>
      </c>
    </row>
    <row r="43" customFormat="false" ht="15" hidden="false" customHeight="false" outlineLevel="0" collapsed="false">
      <c r="A43" s="13" t="s">
        <v>607</v>
      </c>
      <c r="B43" s="46" t="n">
        <f aca="false">B41/B38</f>
        <v>0.0440989503378378</v>
      </c>
    </row>
    <row r="44" customFormat="false" ht="15" hidden="false" customHeight="false" outlineLevel="0" collapsed="false">
      <c r="A44" s="13" t="s">
        <v>608</v>
      </c>
      <c r="B44" s="46" t="n">
        <f aca="false">B42/B38</f>
        <v>3.06989558141934</v>
      </c>
    </row>
    <row r="45" customFormat="false" ht="15" hidden="false" customHeight="false" outlineLevel="0" collapsed="false">
      <c r="A45" s="13" t="s">
        <v>609</v>
      </c>
      <c r="B45" s="50" t="n">
        <f aca="false">F38</f>
        <v>261.065786</v>
      </c>
    </row>
    <row r="46" customFormat="false" ht="15" hidden="false" customHeight="false" outlineLevel="0" collapsed="false">
      <c r="A46" s="13" t="s">
        <v>610</v>
      </c>
      <c r="B46" s="38" t="n">
        <f aca="false">F38/B38</f>
        <v>0.0881979006756757</v>
      </c>
    </row>
    <row r="47" customFormat="false" ht="15" hidden="false" customHeight="false" outlineLevel="0" collapsed="false">
      <c r="A47" s="13" t="s">
        <v>611</v>
      </c>
      <c r="B47" s="35" t="n">
        <f aca="false">N38</f>
        <v>861.945786</v>
      </c>
    </row>
    <row r="48" customFormat="false" ht="15" hidden="false" customHeight="false" outlineLevel="0" collapsed="false">
      <c r="A48" s="13" t="s">
        <v>612</v>
      </c>
      <c r="B48" s="8" t="str">
        <f aca="false">IF(B47&lt;=$D$17+0.5,"Yes","No")</f>
        <v>Yes</v>
      </c>
    </row>
    <row r="49" customFormat="false" ht="15" hidden="false" customHeight="false" outlineLevel="0" collapsed="false">
      <c r="A49" s="13" t="s">
        <v>613</v>
      </c>
      <c r="B49" s="28" t="n">
        <f aca="false">MIN(I20:J37)</f>
        <v>-4.54902931323886E-007</v>
      </c>
    </row>
    <row r="50" customFormat="false" ht="15" hidden="false" customHeight="false" outlineLevel="0" collapsed="false">
      <c r="A50" s="13" t="s">
        <v>614</v>
      </c>
      <c r="B50" s="8" t="str">
        <f aca="false">IF(SUMPRODUCT(--(F20:F37&gt;E20:E37+0.01))+COUNTIF(F20:F37,"&lt;0")=0,"Yes","No")</f>
        <v>Yes</v>
      </c>
    </row>
    <row r="53" customFormat="false" ht="15" hidden="false" customHeight="false" outlineLevel="0" collapsed="false">
      <c r="A53" s="4" t="s">
        <v>615</v>
      </c>
    </row>
    <row r="54" customFormat="false" ht="43.5" hidden="false" customHeight="true" outlineLevel="0" collapsed="false">
      <c r="A54" s="7" t="s">
        <v>616</v>
      </c>
      <c r="B54" s="7" t="s">
        <v>617</v>
      </c>
      <c r="C54" s="7" t="s">
        <v>618</v>
      </c>
      <c r="D54" s="7" t="s">
        <v>619</v>
      </c>
      <c r="E54" s="7" t="s">
        <v>620</v>
      </c>
    </row>
    <row r="55" customFormat="false" ht="15" hidden="false" customHeight="false" outlineLevel="0" collapsed="false">
      <c r="A55" s="14" t="n">
        <v>650</v>
      </c>
      <c r="B55" s="14" t="n">
        <v>6138</v>
      </c>
      <c r="C55" s="51" t="n">
        <v>2.07</v>
      </c>
      <c r="D55" s="14" t="n">
        <v>49</v>
      </c>
      <c r="E55" s="26" t="n">
        <v>39.5</v>
      </c>
    </row>
    <row r="56" customFormat="false" ht="15" hidden="false" customHeight="false" outlineLevel="0" collapsed="false">
      <c r="A56" s="14" t="n">
        <v>700</v>
      </c>
      <c r="B56" s="14" t="n">
        <v>4163</v>
      </c>
      <c r="C56" s="51" t="n">
        <v>1.41</v>
      </c>
      <c r="D56" s="14" t="n">
        <v>99</v>
      </c>
      <c r="E56" s="26" t="n">
        <v>39.5</v>
      </c>
    </row>
    <row r="57" customFormat="false" ht="15" hidden="false" customHeight="false" outlineLevel="0" collapsed="false">
      <c r="A57" s="14" t="n">
        <v>800</v>
      </c>
      <c r="B57" s="14" t="n">
        <v>1115</v>
      </c>
      <c r="C57" s="51" t="n">
        <v>0.38</v>
      </c>
      <c r="D57" s="14" t="n">
        <v>199</v>
      </c>
      <c r="E57" s="26" t="n">
        <v>19.5</v>
      </c>
    </row>
    <row r="58" customFormat="false" ht="15" hidden="false" customHeight="false" outlineLevel="0" collapsed="false">
      <c r="A58" s="14" t="n">
        <v>900</v>
      </c>
      <c r="B58" s="14" t="n">
        <v>131</v>
      </c>
      <c r="C58" s="51" t="n">
        <v>0.04</v>
      </c>
      <c r="D58" s="14" t="n">
        <v>261</v>
      </c>
      <c r="E58" s="26" t="n">
        <v>0</v>
      </c>
    </row>
    <row r="59" customFormat="false" ht="15" hidden="false" customHeight="false" outlineLevel="0" collapsed="false">
      <c r="A59" s="14" t="n">
        <v>1000</v>
      </c>
      <c r="B59" s="14" t="n">
        <v>131</v>
      </c>
      <c r="C59" s="51" t="n">
        <v>0.04</v>
      </c>
      <c r="D59" s="14" t="n">
        <v>261</v>
      </c>
      <c r="E59" s="26" t="n">
        <v>0</v>
      </c>
    </row>
    <row r="60" customFormat="false" ht="15" hidden="false" customHeight="false" outlineLevel="0" collapsed="false">
      <c r="A60" s="14" t="n">
        <v>1200</v>
      </c>
      <c r="B60" s="14" t="n">
        <v>131</v>
      </c>
      <c r="C60" s="51" t="n">
        <v>0.04</v>
      </c>
      <c r="D60" s="14" t="n">
        <v>261</v>
      </c>
      <c r="E60" s="26" t="n">
        <v>0</v>
      </c>
    </row>
    <row r="61" customFormat="false" ht="57.75" hidden="false" customHeight="true" outlineLevel="0" collapsed="false">
      <c r="A61" s="3" t="s">
        <v>621</v>
      </c>
      <c r="B61" s="3"/>
      <c r="C61" s="3"/>
      <c r="D61" s="3"/>
      <c r="E61" s="3"/>
      <c r="F61" s="3"/>
    </row>
    <row r="63" customFormat="false" ht="15" hidden="false" customHeight="false" outlineLevel="0" collapsed="false">
      <c r="A63" s="4" t="s">
        <v>622</v>
      </c>
    </row>
    <row r="64" customFormat="false" ht="43.5" hidden="false" customHeight="true" outlineLevel="0" collapsed="false">
      <c r="A64" s="3" t="s">
        <v>623</v>
      </c>
      <c r="B64" s="3"/>
      <c r="C64" s="3"/>
      <c r="D64" s="3"/>
      <c r="E64" s="3"/>
      <c r="F64" s="3"/>
    </row>
  </sheetData>
  <mergeCells count="13">
    <mergeCell ref="A5:N5"/>
    <mergeCell ref="A6:N6"/>
    <mergeCell ref="A7:N7"/>
    <mergeCell ref="A8:N8"/>
    <mergeCell ref="A9:N9"/>
    <mergeCell ref="A12:C12"/>
    <mergeCell ref="A13:C13"/>
    <mergeCell ref="A14:C14"/>
    <mergeCell ref="A15:C15"/>
    <mergeCell ref="A16:C16"/>
    <mergeCell ref="A17:C17"/>
    <mergeCell ref="A61:F61"/>
    <mergeCell ref="A64:F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5" min="2" style="0" width="16"/>
    <col collapsed="false" customWidth="true" hidden="false" outlineLevel="0" max="6" min="6" style="0" width="40"/>
  </cols>
  <sheetData>
    <row r="1" customFormat="false" ht="17.35" hidden="false" customHeight="false" outlineLevel="0" collapsed="false">
      <c r="A1" s="1" t="s">
        <v>624</v>
      </c>
      <c r="B1" s="2"/>
      <c r="C1" s="2"/>
      <c r="D1" s="2"/>
      <c r="E1" s="2"/>
      <c r="F1" s="2"/>
    </row>
    <row r="2" customFormat="false" ht="15" hidden="false" customHeight="false" outlineLevel="0" collapsed="false">
      <c r="A2" s="11" t="s">
        <v>625</v>
      </c>
    </row>
    <row r="4" customFormat="false" ht="15" hidden="false" customHeight="false" outlineLevel="0" collapsed="false">
      <c r="A4" s="4" t="s">
        <v>626</v>
      </c>
    </row>
    <row r="5" customFormat="false" ht="15" hidden="false" customHeight="false" outlineLevel="0" collapsed="false">
      <c r="A5" s="5" t="s">
        <v>627</v>
      </c>
      <c r="B5" s="5"/>
      <c r="C5" s="5"/>
      <c r="D5" s="5"/>
      <c r="E5" s="5"/>
      <c r="F5" s="5"/>
    </row>
    <row r="6" customFormat="false" ht="15" hidden="false" customHeight="false" outlineLevel="0" collapsed="false">
      <c r="A6" s="5" t="s">
        <v>628</v>
      </c>
      <c r="B6" s="5"/>
      <c r="C6" s="5"/>
      <c r="D6" s="5"/>
      <c r="E6" s="5"/>
      <c r="F6" s="5"/>
    </row>
    <row r="7" customFormat="false" ht="15" hidden="false" customHeight="false" outlineLevel="0" collapsed="false">
      <c r="A7" s="5" t="s">
        <v>629</v>
      </c>
      <c r="B7" s="5"/>
      <c r="C7" s="5"/>
      <c r="D7" s="5"/>
      <c r="E7" s="5"/>
      <c r="F7" s="5"/>
    </row>
    <row r="9" customFormat="false" ht="15" hidden="false" customHeight="false" outlineLevel="0" collapsed="false">
      <c r="A9" s="4" t="s">
        <v>630</v>
      </c>
    </row>
    <row r="10" customFormat="false" ht="15" hidden="false" customHeight="false" outlineLevel="0" collapsed="false">
      <c r="A10" s="13" t="s">
        <v>631</v>
      </c>
      <c r="B10" s="48" t="n">
        <f aca="false">Inputs!$B$70</f>
        <v>2400</v>
      </c>
    </row>
    <row r="11" customFormat="false" ht="15" hidden="false" customHeight="false" outlineLevel="0" collapsed="false">
      <c r="A11" s="13" t="s">
        <v>632</v>
      </c>
      <c r="B11" s="48" t="n">
        <f aca="false">'LP Student Flow'!$M$38*Inputs!$B$68</f>
        <v>2098.054214</v>
      </c>
    </row>
    <row r="12" customFormat="false" ht="15" hidden="false" customHeight="false" outlineLevel="0" collapsed="false">
      <c r="A12" s="13" t="s">
        <v>633</v>
      </c>
      <c r="B12" s="48" t="n">
        <f aca="false">'LP Student Flow'!$N$38*Inputs!$B$68</f>
        <v>861.945786</v>
      </c>
    </row>
    <row r="13" customFormat="false" ht="15" hidden="false" customHeight="false" outlineLevel="0" collapsed="false">
      <c r="A13" s="13" t="s">
        <v>634</v>
      </c>
      <c r="B13" s="43" t="n">
        <f aca="false">MAX('LP Student Flow'!$M$20:$M$37)/10</f>
        <v>20.0000000454903</v>
      </c>
    </row>
    <row r="14" customFormat="false" ht="15" hidden="false" customHeight="false" outlineLevel="0" collapsed="false">
      <c r="A14" s="13" t="s">
        <v>635</v>
      </c>
      <c r="B14" s="43" t="n">
        <f aca="false">MAX('LP Student Flow'!$N$20:$N$37)/10</f>
        <v>17.4357455573834</v>
      </c>
    </row>
    <row r="16" customFormat="false" ht="15" hidden="false" customHeight="false" outlineLevel="0" collapsed="false">
      <c r="A16" s="4" t="s">
        <v>636</v>
      </c>
    </row>
    <row r="17" customFormat="false" ht="30" hidden="false" customHeight="true" outlineLevel="0" collapsed="false">
      <c r="A17" s="13" t="s">
        <v>637</v>
      </c>
      <c r="B17" s="52" t="n">
        <f aca="false">IF(B13&gt;=B14,MIN(B11,B10),MAX(0,MIN(B11,B10-MIN(B12,B10))))</f>
        <v>2098.054214</v>
      </c>
      <c r="C17" s="3" t="s">
        <v>638</v>
      </c>
      <c r="D17" s="3"/>
      <c r="E17" s="3"/>
      <c r="F17" s="3"/>
    </row>
    <row r="18" customFormat="false" ht="15" hidden="false" customHeight="false" outlineLevel="0" collapsed="false">
      <c r="A18" s="13" t="s">
        <v>639</v>
      </c>
      <c r="B18" s="52" t="n">
        <f aca="false">IF(B13&gt;=B14,MAX(0,MIN(B12,B10-B17)),MIN(B12,B10))</f>
        <v>301.945786</v>
      </c>
      <c r="C18" s="3"/>
      <c r="D18" s="3"/>
      <c r="E18" s="3"/>
      <c r="F18" s="3"/>
    </row>
    <row r="19" customFormat="false" ht="15" hidden="false" customHeight="false" outlineLevel="0" collapsed="false">
      <c r="A19" s="13" t="s">
        <v>640</v>
      </c>
      <c r="B19" s="50" t="n">
        <f aca="false">B13*B17+B14*B18</f>
        <v>47225.7342722612</v>
      </c>
    </row>
    <row r="21" customFormat="false" ht="15" hidden="false" customHeight="false" outlineLevel="0" collapsed="false">
      <c r="A21" s="4" t="s">
        <v>641</v>
      </c>
    </row>
    <row r="22" customFormat="false" ht="15" hidden="false" customHeight="false" outlineLevel="0" collapsed="false">
      <c r="A22" s="7" t="s">
        <v>642</v>
      </c>
      <c r="B22" s="7" t="s">
        <v>643</v>
      </c>
      <c r="C22" s="7" t="s">
        <v>644</v>
      </c>
      <c r="D22" s="7" t="s">
        <v>645</v>
      </c>
      <c r="E22" s="7" t="s">
        <v>646</v>
      </c>
    </row>
    <row r="23" customFormat="false" ht="15" hidden="false" customHeight="false" outlineLevel="0" collapsed="false">
      <c r="A23" s="8" t="s">
        <v>647</v>
      </c>
      <c r="B23" s="35" t="n">
        <f aca="false">B17+B18</f>
        <v>2400</v>
      </c>
      <c r="C23" s="8" t="s">
        <v>648</v>
      </c>
      <c r="D23" s="35" t="n">
        <f aca="false">B10</f>
        <v>2400</v>
      </c>
      <c r="E23" s="8" t="str">
        <f aca="false">IF(B23&lt;=D23,"OK","Violated")</f>
        <v>OK</v>
      </c>
    </row>
    <row r="24" customFormat="false" ht="15" hidden="false" customHeight="false" outlineLevel="0" collapsed="false">
      <c r="A24" s="8" t="s">
        <v>649</v>
      </c>
      <c r="B24" s="35" t="n">
        <f aca="false">B17</f>
        <v>2098.054214</v>
      </c>
      <c r="C24" s="8" t="s">
        <v>648</v>
      </c>
      <c r="D24" s="35" t="n">
        <f aca="false">B11</f>
        <v>2098.054214</v>
      </c>
      <c r="E24" s="8" t="str">
        <f aca="false">IF(B24&lt;=D24+0.5,"OK","Violated")</f>
        <v>OK</v>
      </c>
    </row>
    <row r="25" customFormat="false" ht="15" hidden="false" customHeight="false" outlineLevel="0" collapsed="false">
      <c r="A25" s="8" t="s">
        <v>650</v>
      </c>
      <c r="B25" s="35" t="n">
        <f aca="false">B18</f>
        <v>301.945786</v>
      </c>
      <c r="C25" s="8" t="s">
        <v>648</v>
      </c>
      <c r="D25" s="35" t="n">
        <f aca="false">B12</f>
        <v>861.945786</v>
      </c>
      <c r="E25" s="8" t="str">
        <f aca="false">IF(B25&lt;=D25+0.5,"OK","Violated")</f>
        <v>OK</v>
      </c>
    </row>
    <row r="26" customFormat="false" ht="15" hidden="false" customHeight="false" outlineLevel="0" collapsed="false">
      <c r="A26" s="8" t="s">
        <v>651</v>
      </c>
      <c r="B26" s="35" t="n">
        <f aca="false">MIN(B17:B18)</f>
        <v>301.945786</v>
      </c>
      <c r="C26" s="8" t="s">
        <v>652</v>
      </c>
      <c r="D26" s="35" t="s">
        <v>653</v>
      </c>
      <c r="E26" s="8" t="str">
        <f aca="false">IF(B26&gt;=0,"OK","Violated")</f>
        <v>OK</v>
      </c>
    </row>
    <row r="28" customFormat="false" ht="15" hidden="false" customHeight="false" outlineLevel="0" collapsed="false">
      <c r="A28" s="4" t="s">
        <v>654</v>
      </c>
    </row>
    <row r="29" customFormat="false" ht="15" hidden="false" customHeight="false" outlineLevel="0" collapsed="false">
      <c r="A29" s="7" t="s">
        <v>655</v>
      </c>
      <c r="B29" s="7" t="s">
        <v>656</v>
      </c>
      <c r="C29" s="7" t="s">
        <v>657</v>
      </c>
      <c r="D29" s="7" t="s">
        <v>658</v>
      </c>
      <c r="E29" s="7" t="s">
        <v>659</v>
      </c>
    </row>
    <row r="30" customFormat="false" ht="15" hidden="false" customHeight="false" outlineLevel="0" collapsed="false">
      <c r="A30" s="8" t="s">
        <v>660</v>
      </c>
      <c r="B30" s="35" t="n">
        <v>0</v>
      </c>
      <c r="C30" s="35" t="n">
        <v>0</v>
      </c>
      <c r="D30" s="8" t="str">
        <f aca="false">IF(AND(B30+C30&lt;=$B$10+0.5,B30&lt;=$B$11+0.5,C30&lt;=$B$12+0.5),"Yes","No")</f>
        <v>Yes</v>
      </c>
      <c r="E30" s="35" t="n">
        <f aca="false">$B$13*B30+$B$14*C30</f>
        <v>0</v>
      </c>
    </row>
    <row r="31" customFormat="false" ht="15" hidden="false" customHeight="false" outlineLevel="0" collapsed="false">
      <c r="A31" s="8" t="s">
        <v>661</v>
      </c>
      <c r="B31" s="35" t="n">
        <f aca="false">MIN(B11,B10)</f>
        <v>2098.054214</v>
      </c>
      <c r="C31" s="35" t="n">
        <v>0</v>
      </c>
      <c r="D31" s="8" t="str">
        <f aca="false">IF(AND(B31+C31&lt;=$B$10+0.5,B31&lt;=$B$11+0.5,C31&lt;=$B$12+0.5),"Yes","No")</f>
        <v>Yes</v>
      </c>
      <c r="E31" s="35" t="n">
        <f aca="false">$B$13*B31+$B$14*C31</f>
        <v>41961.0843754411</v>
      </c>
    </row>
    <row r="32" customFormat="false" ht="15" hidden="false" customHeight="false" outlineLevel="0" collapsed="false">
      <c r="A32" s="8" t="s">
        <v>662</v>
      </c>
      <c r="B32" s="35" t="n">
        <f aca="false">MIN(B11,B10)</f>
        <v>2098.054214</v>
      </c>
      <c r="C32" s="35" t="n">
        <f aca="false">MAX(0,MIN(B12,B10-MIN(B11,B10)))</f>
        <v>301.945786</v>
      </c>
      <c r="D32" s="8" t="str">
        <f aca="false">IF(AND(B32+C32&lt;=$B$10+0.5,B32&lt;=$B$11+0.5,C32&lt;=$B$12+0.5),"Yes","No")</f>
        <v>Yes</v>
      </c>
      <c r="E32" s="35" t="n">
        <f aca="false">$B$13*B32+$B$14*C32</f>
        <v>47225.7342722612</v>
      </c>
    </row>
    <row r="33" customFormat="false" ht="15" hidden="false" customHeight="false" outlineLevel="0" collapsed="false">
      <c r="A33" s="8" t="s">
        <v>663</v>
      </c>
      <c r="B33" s="35" t="n">
        <f aca="false">MAX(0,MIN(B11,B10-MIN(B12,B10)))</f>
        <v>1538.054214</v>
      </c>
      <c r="C33" s="35" t="n">
        <f aca="false">MIN(B12,B10)</f>
        <v>861.945786</v>
      </c>
      <c r="D33" s="8" t="str">
        <f aca="false">IF(AND(B33+C33&lt;=$B$10+0.5,B33&lt;=$B$11+0.5,C33&lt;=$B$12+0.5),"Yes","No")</f>
        <v>Yes</v>
      </c>
      <c r="E33" s="35" t="n">
        <f aca="false">$B$13*B33+$B$14*C33</f>
        <v>45789.7517589213</v>
      </c>
    </row>
    <row r="34" customFormat="false" ht="15" hidden="false" customHeight="false" outlineLevel="0" collapsed="false">
      <c r="A34" s="8" t="s">
        <v>664</v>
      </c>
      <c r="B34" s="35" t="n">
        <v>0</v>
      </c>
      <c r="C34" s="35" t="n">
        <f aca="false">MIN(B12,B10)</f>
        <v>861.945786</v>
      </c>
      <c r="D34" s="8" t="str">
        <f aca="false">IF(AND(B34+C34&lt;=$B$10+0.5,B34&lt;=$B$11+0.5,C34&lt;=$B$12+0.5),"Yes","No")</f>
        <v>Yes</v>
      </c>
      <c r="E34" s="35" t="n">
        <f aca="false">$B$13*B34+$B$14*C34</f>
        <v>15028.6674089548</v>
      </c>
    </row>
    <row r="36" customFormat="false" ht="15" hidden="false" customHeight="false" outlineLevel="0" collapsed="false">
      <c r="A36" s="4" t="s">
        <v>665</v>
      </c>
      <c r="B36" s="53" t="str">
        <f aca="false">INDEX(A30:A34,MATCH(MAX(E30:E34),E30:E34,0))</f>
        <v>Central at demand, rest to Munch</v>
      </c>
      <c r="C36" s="53"/>
      <c r="D36" s="53"/>
      <c r="E36" s="53"/>
    </row>
    <row r="38" customFormat="false" ht="57.75" hidden="false" customHeight="true" outlineLevel="0" collapsed="false">
      <c r="A38" s="3" t="s">
        <v>666</v>
      </c>
      <c r="B38" s="3"/>
      <c r="C38" s="3"/>
      <c r="D38" s="3"/>
      <c r="E38" s="3"/>
      <c r="F38" s="3"/>
    </row>
  </sheetData>
  <mergeCells count="6">
    <mergeCell ref="A5:F5"/>
    <mergeCell ref="A6:F6"/>
    <mergeCell ref="A7:F7"/>
    <mergeCell ref="C17:F18"/>
    <mergeCell ref="B36:E36"/>
    <mergeCell ref="A38:F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10" min="2" style="0" width="15"/>
  </cols>
  <sheetData>
    <row r="1" customFormat="false" ht="17.35" hidden="false" customHeight="false" outlineLevel="0" collapsed="false">
      <c r="A1" s="1" t="s">
        <v>667</v>
      </c>
      <c r="B1" s="2"/>
      <c r="C1" s="2"/>
      <c r="D1" s="2"/>
      <c r="E1" s="2"/>
      <c r="F1" s="2"/>
      <c r="G1" s="2"/>
      <c r="H1" s="2"/>
      <c r="I1" s="2"/>
      <c r="J1" s="2"/>
    </row>
    <row r="2" customFormat="false" ht="15" hidden="false" customHeight="false" outlineLevel="0" collapsed="false">
      <c r="A2" s="11" t="s">
        <v>668</v>
      </c>
    </row>
    <row r="4" customFormat="false" ht="43.5" hidden="false" customHeight="true" outlineLevel="0" collapsed="false">
      <c r="A4" s="29" t="s">
        <v>669</v>
      </c>
      <c r="B4" s="29"/>
      <c r="C4" s="29"/>
      <c r="D4" s="29"/>
      <c r="E4" s="29"/>
      <c r="F4" s="29"/>
      <c r="G4" s="29"/>
      <c r="H4" s="29"/>
      <c r="I4" s="29"/>
      <c r="J4" s="29"/>
    </row>
    <row r="6" customFormat="false" ht="30" hidden="false" customHeight="true" outlineLevel="0" collapsed="false">
      <c r="A6" s="7" t="s">
        <v>670</v>
      </c>
      <c r="B6" s="7" t="s">
        <v>671</v>
      </c>
      <c r="C6" s="7" t="s">
        <v>672</v>
      </c>
      <c r="D6" s="7" t="s">
        <v>673</v>
      </c>
      <c r="F6" s="7" t="s">
        <v>674</v>
      </c>
      <c r="G6" s="7" t="s">
        <v>675</v>
      </c>
      <c r="H6" s="7" t="s">
        <v>676</v>
      </c>
    </row>
    <row r="7" customFormat="false" ht="15" hidden="false" customHeight="false" outlineLevel="0" collapsed="false">
      <c r="A7" s="13" t="s">
        <v>677</v>
      </c>
      <c r="B7" s="51" t="n">
        <v>0.81</v>
      </c>
      <c r="C7" s="51" t="n">
        <v>4.31</v>
      </c>
      <c r="D7" s="51" t="n">
        <v>14.82</v>
      </c>
      <c r="F7" s="54" t="s">
        <v>678</v>
      </c>
      <c r="G7" s="54" t="s">
        <v>679</v>
      </c>
      <c r="H7" s="54" t="s">
        <v>680</v>
      </c>
    </row>
    <row r="8" customFormat="false" ht="15" hidden="false" customHeight="false" outlineLevel="0" collapsed="false">
      <c r="A8" s="13" t="s">
        <v>444</v>
      </c>
      <c r="B8" s="51" t="n">
        <v>0.37</v>
      </c>
      <c r="C8" s="51" t="n">
        <v>1.19</v>
      </c>
      <c r="D8" s="51" t="n">
        <v>4.99</v>
      </c>
      <c r="F8" s="54" t="s">
        <v>681</v>
      </c>
      <c r="G8" s="54" t="s">
        <v>682</v>
      </c>
      <c r="H8" s="54" t="s">
        <v>683</v>
      </c>
    </row>
    <row r="9" customFormat="false" ht="15" hidden="false" customHeight="false" outlineLevel="0" collapsed="false">
      <c r="A9" s="13" t="s">
        <v>684</v>
      </c>
      <c r="B9" s="51" t="n">
        <v>0.38</v>
      </c>
      <c r="C9" s="51" t="n">
        <v>0.8</v>
      </c>
      <c r="D9" s="51" t="n">
        <v>4.13</v>
      </c>
      <c r="F9" s="54" t="s">
        <v>681</v>
      </c>
      <c r="G9" s="54" t="s">
        <v>685</v>
      </c>
      <c r="H9" s="54" t="s">
        <v>686</v>
      </c>
    </row>
    <row r="10" customFormat="false" ht="15" hidden="false" customHeight="false" outlineLevel="0" collapsed="false">
      <c r="A10" s="13" t="s">
        <v>687</v>
      </c>
      <c r="B10" s="51" t="n">
        <v>0.06</v>
      </c>
      <c r="C10" s="51" t="n">
        <v>0.64</v>
      </c>
      <c r="D10" s="51" t="n">
        <v>7.45</v>
      </c>
      <c r="F10" s="54" t="s">
        <v>688</v>
      </c>
      <c r="G10" s="54" t="s">
        <v>689</v>
      </c>
      <c r="H10" s="54" t="s">
        <v>690</v>
      </c>
    </row>
    <row r="11" customFormat="false" ht="15" hidden="false" customHeight="false" outlineLevel="0" collapsed="false">
      <c r="A11" s="13" t="s">
        <v>691</v>
      </c>
      <c r="B11" s="51" t="n">
        <v>0.05</v>
      </c>
      <c r="C11" s="51" t="n">
        <v>0.31</v>
      </c>
      <c r="D11" s="51" t="n">
        <v>3.17</v>
      </c>
      <c r="F11" s="54" t="s">
        <v>692</v>
      </c>
      <c r="G11" s="54" t="s">
        <v>693</v>
      </c>
      <c r="H11" s="54" t="s">
        <v>694</v>
      </c>
    </row>
    <row r="13" customFormat="false" ht="23.85" hidden="false" customHeight="false" outlineLevel="0" collapsed="false">
      <c r="A13" s="7" t="s">
        <v>695</v>
      </c>
      <c r="B13" s="7" t="s">
        <v>671</v>
      </c>
      <c r="C13" s="7" t="s">
        <v>672</v>
      </c>
      <c r="D13" s="7" t="s">
        <v>673</v>
      </c>
    </row>
    <row r="14" customFormat="false" ht="15" hidden="false" customHeight="false" outlineLevel="0" collapsed="false">
      <c r="A14" s="13" t="s">
        <v>696</v>
      </c>
      <c r="B14" s="44" t="n">
        <f aca="false">Inputs!$B$72</f>
        <v>0.3</v>
      </c>
      <c r="C14" s="44" t="n">
        <f aca="false">Inputs!$B$73</f>
        <v>0.5</v>
      </c>
      <c r="D14" s="44" t="n">
        <f aca="false">Inputs!$B$74</f>
        <v>0.2</v>
      </c>
      <c r="E14" s="31" t="n">
        <f aca="false">SUM(B14:D14)</f>
        <v>1</v>
      </c>
      <c r="F14" s="54" t="s">
        <v>697</v>
      </c>
    </row>
    <row r="15" customFormat="false" ht="15" hidden="false" customHeight="false" outlineLevel="0" collapsed="false">
      <c r="A15" s="13" t="s">
        <v>698</v>
      </c>
      <c r="B15" s="48" t="n">
        <f aca="false">Inputs!$B$6</f>
        <v>2960</v>
      </c>
    </row>
    <row r="17" customFormat="false" ht="15" hidden="false" customHeight="false" outlineLevel="0" collapsed="false">
      <c r="A17" s="4" t="s">
        <v>699</v>
      </c>
    </row>
    <row r="18" customFormat="false" ht="43.5" hidden="false" customHeight="true" outlineLevel="0" collapsed="false">
      <c r="A18" s="7" t="s">
        <v>700</v>
      </c>
      <c r="B18" s="7" t="s">
        <v>671</v>
      </c>
      <c r="C18" s="7" t="s">
        <v>672</v>
      </c>
      <c r="D18" s="7" t="s">
        <v>673</v>
      </c>
      <c r="E18" s="7" t="s">
        <v>701</v>
      </c>
      <c r="F18" s="7" t="s">
        <v>702</v>
      </c>
      <c r="G18" s="7" t="s">
        <v>703</v>
      </c>
      <c r="H18" s="7" t="s">
        <v>704</v>
      </c>
      <c r="I18" s="7" t="s">
        <v>705</v>
      </c>
      <c r="J18" s="7" t="s">
        <v>706</v>
      </c>
    </row>
    <row r="19" customFormat="false" ht="15" hidden="false" customHeight="false" outlineLevel="0" collapsed="false">
      <c r="A19" s="13" t="s">
        <v>677</v>
      </c>
      <c r="B19" s="28" t="n">
        <f aca="false">B$7-B7</f>
        <v>0</v>
      </c>
      <c r="C19" s="28" t="n">
        <f aca="false">C$7-C7</f>
        <v>0</v>
      </c>
      <c r="D19" s="28" t="n">
        <f aca="false">D$7-D7</f>
        <v>0</v>
      </c>
      <c r="E19" s="28" t="n">
        <f aca="false">MAX(B19:D19)</f>
        <v>0</v>
      </c>
      <c r="F19" s="28" t="n">
        <f aca="false">MIN(B19:D19)</f>
        <v>0</v>
      </c>
      <c r="G19" s="28" t="n">
        <f aca="false">$B$27*E19+(1-$B$27)*F19</f>
        <v>0</v>
      </c>
      <c r="H19" s="28" t="n">
        <f aca="false">AVERAGE(B19:D19)</f>
        <v>0</v>
      </c>
      <c r="I19" s="28" t="n">
        <f aca="false">SUMPRODUCT(B19:D19,$B$14:$D$14)</f>
        <v>0</v>
      </c>
      <c r="J19" s="35" t="n">
        <f aca="false">I19*$B$15/60</f>
        <v>0</v>
      </c>
    </row>
    <row r="20" customFormat="false" ht="15" hidden="false" customHeight="false" outlineLevel="0" collapsed="false">
      <c r="A20" s="13" t="s">
        <v>444</v>
      </c>
      <c r="B20" s="28" t="n">
        <f aca="false">B$7-B8</f>
        <v>0.44</v>
      </c>
      <c r="C20" s="28" t="n">
        <f aca="false">C$7-C8</f>
        <v>3.12</v>
      </c>
      <c r="D20" s="28" t="n">
        <f aca="false">D$7-D8</f>
        <v>9.83</v>
      </c>
      <c r="E20" s="28" t="n">
        <f aca="false">MAX(B20:D20)</f>
        <v>9.83</v>
      </c>
      <c r="F20" s="28" t="n">
        <f aca="false">MIN(B20:D20)</f>
        <v>0.44</v>
      </c>
      <c r="G20" s="28" t="n">
        <f aca="false">$B$27*E20+(1-$B$27)*F20</f>
        <v>4.196</v>
      </c>
      <c r="H20" s="28" t="n">
        <f aca="false">AVERAGE(B20:D20)</f>
        <v>4.46333333333333</v>
      </c>
      <c r="I20" s="28" t="n">
        <f aca="false">SUMPRODUCT(B20:D20,$B$14:$D$14)</f>
        <v>3.658</v>
      </c>
      <c r="J20" s="35" t="n">
        <f aca="false">I20*$B$15/60</f>
        <v>180.461333333333</v>
      </c>
    </row>
    <row r="21" customFormat="false" ht="15" hidden="false" customHeight="false" outlineLevel="0" collapsed="false">
      <c r="A21" s="13" t="s">
        <v>684</v>
      </c>
      <c r="B21" s="28" t="n">
        <f aca="false">B$7-B9</f>
        <v>0.43</v>
      </c>
      <c r="C21" s="28" t="n">
        <f aca="false">C$7-C9</f>
        <v>3.51</v>
      </c>
      <c r="D21" s="28" t="n">
        <f aca="false">D$7-D9</f>
        <v>10.69</v>
      </c>
      <c r="E21" s="28" t="n">
        <f aca="false">MAX(B21:D21)</f>
        <v>10.69</v>
      </c>
      <c r="F21" s="28" t="n">
        <f aca="false">MIN(B21:D21)</f>
        <v>0.43</v>
      </c>
      <c r="G21" s="28" t="n">
        <f aca="false">$B$27*E21+(1-$B$27)*F21</f>
        <v>4.534</v>
      </c>
      <c r="H21" s="28" t="n">
        <f aca="false">AVERAGE(B21:D21)</f>
        <v>4.87666666666667</v>
      </c>
      <c r="I21" s="28" t="n">
        <f aca="false">SUMPRODUCT(B21:D21,$B$14:$D$14)</f>
        <v>4.022</v>
      </c>
      <c r="J21" s="35" t="n">
        <f aca="false">I21*$B$15/60</f>
        <v>198.418666666667</v>
      </c>
    </row>
    <row r="22" customFormat="false" ht="15" hidden="false" customHeight="false" outlineLevel="0" collapsed="false">
      <c r="A22" s="13" t="s">
        <v>687</v>
      </c>
      <c r="B22" s="28" t="n">
        <f aca="false">B$7-B10</f>
        <v>0.75</v>
      </c>
      <c r="C22" s="28" t="n">
        <f aca="false">C$7-C10</f>
        <v>3.67</v>
      </c>
      <c r="D22" s="28" t="n">
        <f aca="false">D$7-D10</f>
        <v>7.37</v>
      </c>
      <c r="E22" s="28" t="n">
        <f aca="false">MAX(B22:D22)</f>
        <v>7.37</v>
      </c>
      <c r="F22" s="28" t="n">
        <f aca="false">MIN(B22:D22)</f>
        <v>0.75</v>
      </c>
      <c r="G22" s="28" t="n">
        <f aca="false">$B$27*E22+(1-$B$27)*F22</f>
        <v>3.398</v>
      </c>
      <c r="H22" s="28" t="n">
        <f aca="false">AVERAGE(B22:D22)</f>
        <v>3.93</v>
      </c>
      <c r="I22" s="28" t="n">
        <f aca="false">SUMPRODUCT(B22:D22,$B$14:$D$14)</f>
        <v>3.534</v>
      </c>
      <c r="J22" s="35" t="n">
        <f aca="false">I22*$B$15/60</f>
        <v>174.344</v>
      </c>
    </row>
    <row r="23" customFormat="false" ht="15" hidden="false" customHeight="false" outlineLevel="0" collapsed="false">
      <c r="A23" s="13" t="s">
        <v>691</v>
      </c>
      <c r="B23" s="28" t="n">
        <f aca="false">B$7-B11</f>
        <v>0.76</v>
      </c>
      <c r="C23" s="28" t="n">
        <f aca="false">C$7-C11</f>
        <v>4</v>
      </c>
      <c r="D23" s="28" t="n">
        <f aca="false">D$7-D11</f>
        <v>11.65</v>
      </c>
      <c r="E23" s="28" t="n">
        <f aca="false">MAX(B23:D23)</f>
        <v>11.65</v>
      </c>
      <c r="F23" s="28" t="n">
        <f aca="false">MIN(B23:D23)</f>
        <v>0.76</v>
      </c>
      <c r="G23" s="28" t="n">
        <f aca="false">$B$27*E23+(1-$B$27)*F23</f>
        <v>5.116</v>
      </c>
      <c r="H23" s="28" t="n">
        <f aca="false">AVERAGE(B23:D23)</f>
        <v>5.47</v>
      </c>
      <c r="I23" s="28" t="n">
        <f aca="false">SUMPRODUCT(B23:D23,$B$14:$D$14)</f>
        <v>4.558</v>
      </c>
      <c r="J23" s="35" t="n">
        <f aca="false">I23*$B$15/60</f>
        <v>224.861333333333</v>
      </c>
    </row>
    <row r="24" customFormat="false" ht="57.75" hidden="false" customHeight="true" outlineLevel="0" collapsed="false">
      <c r="A24" s="4" t="s">
        <v>707</v>
      </c>
      <c r="E24" s="53" t="str">
        <f aca="false">INDEX($A$19:$A$23,MATCH(MAX(E19:E23),E19:E23,0))</f>
        <v>A5 Proposal + 3rd serving station</v>
      </c>
      <c r="F24" s="53" t="str">
        <f aca="false">INDEX($A$19:$A$23,MATCH(MAX(F19:F23),F19:F23,0))</f>
        <v>A5 Proposal + 3rd serving station</v>
      </c>
      <c r="G24" s="53" t="str">
        <f aca="false">INDEX($A$19:$A$23,MATCH(MAX(G19:G23),G19:G23,0))</f>
        <v>A5 Proposal + 3rd serving station</v>
      </c>
      <c r="H24" s="53" t="str">
        <f aca="false">INDEX($A$19:$A$23,MATCH(MAX(H19:H23),H19:H23,0))</f>
        <v>A5 Proposal + 3rd serving station</v>
      </c>
      <c r="I24" s="53" t="str">
        <f aca="false">INDEX($A$19:$A$23,MATCH(MAX(I19:I23),I19:I23,0))</f>
        <v>A5 Proposal + 3rd serving station</v>
      </c>
    </row>
    <row r="25" customFormat="false" ht="57.75" hidden="false" customHeight="true" outlineLevel="0" collapsed="false">
      <c r="A25" s="4" t="s">
        <v>708</v>
      </c>
      <c r="E25" s="53" t="str">
        <f aca="false">INDEX($A$19:$A$21,MATCH(MAX(E19:E21),E19:E21,0))</f>
        <v>A3 Door screens + food status (proposal)</v>
      </c>
      <c r="F25" s="53" t="str">
        <f aca="false">INDEX($A$19:$A$21,MATCH(MAX(F19:F21),F19:F21,0))</f>
        <v>A2 Door screens, queue information only</v>
      </c>
      <c r="G25" s="53" t="str">
        <f aca="false">INDEX($A$19:$A$21,MATCH(MAX(G19:G21),G19:G21,0))</f>
        <v>A3 Door screens + food status (proposal)</v>
      </c>
      <c r="H25" s="53" t="str">
        <f aca="false">INDEX($A$19:$A$21,MATCH(MAX(H19:H21),H19:H21,0))</f>
        <v>A3 Door screens + food status (proposal)</v>
      </c>
      <c r="I25" s="53" t="str">
        <f aca="false">INDEX($A$19:$A$21,MATCH(MAX(I19:I21),I19:I21,0))</f>
        <v>A3 Door screens + food status (proposal)</v>
      </c>
    </row>
    <row r="27" customFormat="false" ht="15" hidden="false" customHeight="false" outlineLevel="0" collapsed="false">
      <c r="A27" s="13" t="s">
        <v>709</v>
      </c>
      <c r="B27" s="26" t="n">
        <v>0.4</v>
      </c>
    </row>
    <row r="28" customFormat="false" ht="15" hidden="false" customHeight="false" outlineLevel="0" collapsed="false">
      <c r="A28" s="4" t="s">
        <v>710</v>
      </c>
    </row>
    <row r="29" customFormat="false" ht="23.85" hidden="false" customHeight="false" outlineLevel="0" collapsed="false">
      <c r="A29" s="7" t="s">
        <v>700</v>
      </c>
      <c r="B29" s="7" t="s">
        <v>671</v>
      </c>
      <c r="C29" s="7" t="s">
        <v>672</v>
      </c>
      <c r="D29" s="7" t="s">
        <v>673</v>
      </c>
      <c r="E29" s="7" t="s">
        <v>711</v>
      </c>
      <c r="F29" s="7" t="s">
        <v>712</v>
      </c>
    </row>
    <row r="30" customFormat="false" ht="15" hidden="false" customHeight="false" outlineLevel="0" collapsed="false">
      <c r="A30" s="13" t="s">
        <v>677</v>
      </c>
      <c r="B30" s="28" t="n">
        <f aca="false">MAX(B$19:B$23)-B19</f>
        <v>0.76</v>
      </c>
      <c r="C30" s="28" t="n">
        <f aca="false">MAX(C$19:C$23)-C19</f>
        <v>4</v>
      </c>
      <c r="D30" s="28" t="n">
        <f aca="false">MAX(D$19:D$23)-D19</f>
        <v>11.65</v>
      </c>
      <c r="E30" s="28" t="n">
        <f aca="false">MAX(B30:D30)</f>
        <v>11.65</v>
      </c>
      <c r="F30" s="28" t="n">
        <f aca="false">SUMPRODUCT(B30:D30,$B$14:$D$14)</f>
        <v>4.558</v>
      </c>
    </row>
    <row r="31" customFormat="false" ht="15" hidden="false" customHeight="false" outlineLevel="0" collapsed="false">
      <c r="A31" s="13" t="s">
        <v>444</v>
      </c>
      <c r="B31" s="28" t="n">
        <f aca="false">MAX(B$19:B$23)-B20</f>
        <v>0.32</v>
      </c>
      <c r="C31" s="28" t="n">
        <f aca="false">MAX(C$19:C$23)-C20</f>
        <v>0.88</v>
      </c>
      <c r="D31" s="28" t="n">
        <f aca="false">MAX(D$19:D$23)-D20</f>
        <v>1.82</v>
      </c>
      <c r="E31" s="28" t="n">
        <f aca="false">MAX(B31:D31)</f>
        <v>1.82</v>
      </c>
      <c r="F31" s="28" t="n">
        <f aca="false">SUMPRODUCT(B31:D31,$B$14:$D$14)</f>
        <v>0.9</v>
      </c>
    </row>
    <row r="32" customFormat="false" ht="15" hidden="false" customHeight="false" outlineLevel="0" collapsed="false">
      <c r="A32" s="13" t="s">
        <v>684</v>
      </c>
      <c r="B32" s="28" t="n">
        <f aca="false">MAX(B$19:B$23)-B21</f>
        <v>0.33</v>
      </c>
      <c r="C32" s="28" t="n">
        <f aca="false">MAX(C$19:C$23)-C21</f>
        <v>0.49</v>
      </c>
      <c r="D32" s="28" t="n">
        <f aca="false">MAX(D$19:D$23)-D21</f>
        <v>0.959999999999999</v>
      </c>
      <c r="E32" s="28" t="n">
        <f aca="false">MAX(B32:D32)</f>
        <v>0.959999999999999</v>
      </c>
      <c r="F32" s="28" t="n">
        <f aca="false">SUMPRODUCT(B32:D32,$B$14:$D$14)</f>
        <v>0.536</v>
      </c>
    </row>
    <row r="33" customFormat="false" ht="15" hidden="false" customHeight="false" outlineLevel="0" collapsed="false">
      <c r="A33" s="13" t="s">
        <v>687</v>
      </c>
      <c r="B33" s="28" t="n">
        <f aca="false">MAX(B$19:B$23)-B22</f>
        <v>0.01</v>
      </c>
      <c r="C33" s="28" t="n">
        <f aca="false">MAX(C$19:C$23)-C22</f>
        <v>0.33</v>
      </c>
      <c r="D33" s="28" t="n">
        <f aca="false">MAX(D$19:D$23)-D22</f>
        <v>4.28</v>
      </c>
      <c r="E33" s="28" t="n">
        <f aca="false">MAX(B33:D33)</f>
        <v>4.28</v>
      </c>
      <c r="F33" s="28" t="n">
        <f aca="false">SUMPRODUCT(B33:D33,$B$14:$D$14)</f>
        <v>1.024</v>
      </c>
    </row>
    <row r="34" customFormat="false" ht="15" hidden="false" customHeight="false" outlineLevel="0" collapsed="false">
      <c r="A34" s="13" t="s">
        <v>691</v>
      </c>
      <c r="B34" s="28" t="n">
        <f aca="false">MAX(B$19:B$23)-B23</f>
        <v>0</v>
      </c>
      <c r="C34" s="28" t="n">
        <f aca="false">MAX(C$19:C$23)-C23</f>
        <v>0</v>
      </c>
      <c r="D34" s="28" t="n">
        <f aca="false">MAX(D$19:D$23)-D23</f>
        <v>0</v>
      </c>
      <c r="E34" s="28" t="n">
        <f aca="false">MAX(B34:D34)</f>
        <v>0</v>
      </c>
      <c r="F34" s="28" t="n">
        <f aca="false">SUMPRODUCT(B34:D34,$B$14:$D$14)</f>
        <v>0</v>
      </c>
    </row>
    <row r="35" customFormat="false" ht="43.5" hidden="false" customHeight="true" outlineLevel="0" collapsed="false">
      <c r="A35" s="4" t="s">
        <v>713</v>
      </c>
      <c r="E35" s="53" t="str">
        <f aca="false">INDEX($A$30:$A$34,MATCH(MIN(E30:E34),E30:E34,0))</f>
        <v>A5 Proposal + 3rd serving station</v>
      </c>
    </row>
    <row r="36" customFormat="false" ht="43.5" hidden="false" customHeight="true" outlineLevel="0" collapsed="false">
      <c r="A36" s="4" t="s">
        <v>714</v>
      </c>
      <c r="F36" s="53" t="str">
        <f aca="false">INDEX($A$30:$A$34,MATCH(MIN(F30:F34),F30:F34,0))</f>
        <v>A5 Proposal + 3rd serving station</v>
      </c>
    </row>
    <row r="38" customFormat="false" ht="15" hidden="false" customHeight="false" outlineLevel="0" collapsed="false">
      <c r="A38" s="4" t="s">
        <v>715</v>
      </c>
    </row>
    <row r="39" customFormat="false" ht="15" hidden="false" customHeight="false" outlineLevel="0" collapsed="false">
      <c r="A39" s="13" t="s">
        <v>716</v>
      </c>
      <c r="B39" s="28" t="n">
        <f aca="false">B14*MAX(B19:B23)+C14*MAX(C19:C23)+D14*MAX(D19:D23)</f>
        <v>4.558</v>
      </c>
    </row>
    <row r="40" customFormat="false" ht="15" hidden="false" customHeight="false" outlineLevel="0" collapsed="false">
      <c r="A40" s="13" t="s">
        <v>717</v>
      </c>
      <c r="B40" s="28" t="n">
        <f aca="false">MAX(I19:I23)</f>
        <v>4.558</v>
      </c>
    </row>
    <row r="41" customFormat="false" ht="15" hidden="false" customHeight="false" outlineLevel="0" collapsed="false">
      <c r="A41" s="13" t="s">
        <v>718</v>
      </c>
      <c r="B41" s="46" t="n">
        <f aca="false">B39-B40</f>
        <v>0</v>
      </c>
    </row>
    <row r="42" customFormat="false" ht="15" hidden="false" customHeight="false" outlineLevel="0" collapsed="false">
      <c r="A42" s="13" t="s">
        <v>719</v>
      </c>
      <c r="B42" s="28" t="n">
        <f aca="false">MIN(F30:F34)</f>
        <v>0</v>
      </c>
    </row>
    <row r="44" customFormat="false" ht="57.75" hidden="false" customHeight="true" outlineLevel="0" collapsed="false">
      <c r="A44" s="3" t="s">
        <v>720</v>
      </c>
      <c r="B44" s="3"/>
      <c r="C44" s="3"/>
      <c r="D44" s="3"/>
      <c r="E44" s="3"/>
      <c r="F44" s="3"/>
      <c r="G44" s="3"/>
      <c r="H44" s="3"/>
      <c r="I44" s="3"/>
      <c r="J44" s="3"/>
    </row>
  </sheetData>
  <mergeCells count="2">
    <mergeCell ref="A4:J4"/>
    <mergeCell ref="A44:J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3" min="2" style="0" width="16"/>
    <col collapsed="false" customWidth="true" hidden="false" outlineLevel="0" max="4" min="4" style="0" width="46"/>
  </cols>
  <sheetData>
    <row r="1" customFormat="false" ht="17.35" hidden="false" customHeight="false" outlineLevel="0" collapsed="false">
      <c r="A1" s="1" t="s">
        <v>721</v>
      </c>
      <c r="B1" s="2"/>
      <c r="C1" s="2"/>
      <c r="D1" s="2"/>
    </row>
    <row r="2" customFormat="false" ht="15" hidden="false" customHeight="false" outlineLevel="0" collapsed="false">
      <c r="A2" s="11" t="s">
        <v>722</v>
      </c>
    </row>
    <row r="4" customFormat="false" ht="15" hidden="false" customHeight="false" outlineLevel="0" collapsed="false">
      <c r="A4" s="4" t="s">
        <v>723</v>
      </c>
    </row>
    <row r="5" customFormat="false" ht="15" hidden="false" customHeight="false" outlineLevel="0" collapsed="false">
      <c r="A5" s="13" t="s">
        <v>724</v>
      </c>
      <c r="B5" s="26" t="n">
        <v>6</v>
      </c>
    </row>
    <row r="6" customFormat="false" ht="15" hidden="false" customHeight="false" outlineLevel="0" collapsed="false">
      <c r="A6" s="13" t="s">
        <v>725</v>
      </c>
      <c r="B6" s="26" t="n">
        <v>2</v>
      </c>
    </row>
    <row r="7" customFormat="false" ht="15" hidden="false" customHeight="false" outlineLevel="0" collapsed="false">
      <c r="A7" s="13" t="s">
        <v>589</v>
      </c>
      <c r="B7" s="43" t="n">
        <f aca="false">Inputs!$B$37</f>
        <v>0.5</v>
      </c>
    </row>
    <row r="8" customFormat="false" ht="15" hidden="false" customHeight="false" outlineLevel="0" collapsed="false">
      <c r="A8" s="13" t="s">
        <v>726</v>
      </c>
      <c r="B8" s="43" t="n">
        <f aca="false">Inputs!$B$77</f>
        <v>2</v>
      </c>
    </row>
    <row r="9" customFormat="false" ht="15" hidden="false" customHeight="false" outlineLevel="0" collapsed="false">
      <c r="A9" s="13" t="s">
        <v>727</v>
      </c>
      <c r="B9" s="27" t="n">
        <f aca="false">B5-(B6+B7)</f>
        <v>3.5</v>
      </c>
    </row>
    <row r="10" customFormat="false" ht="15" hidden="false" customHeight="false" outlineLevel="0" collapsed="false">
      <c r="A10" s="13" t="s">
        <v>728</v>
      </c>
      <c r="B10" s="39" t="str">
        <f aca="false">IF(B9&gt;=B8,"Other mess is faster → walk over",IF(B9&gt;0,"Small saving: stay","Come on in"))</f>
        <v>Other mess is faster → walk over</v>
      </c>
      <c r="C10" s="39"/>
      <c r="D10" s="39"/>
    </row>
    <row r="12" customFormat="false" ht="15" hidden="false" customHeight="false" outlineLevel="0" collapsed="false">
      <c r="A12" s="4" t="s">
        <v>729</v>
      </c>
    </row>
    <row r="13" customFormat="false" ht="15" hidden="false" customHeight="false" outlineLevel="0" collapsed="false">
      <c r="A13" s="13" t="s">
        <v>730</v>
      </c>
      <c r="B13" s="43" t="n">
        <f aca="false">Inputs!$B$82</f>
        <v>20</v>
      </c>
    </row>
    <row r="14" customFormat="false" ht="15" hidden="false" customHeight="false" outlineLevel="0" collapsed="false">
      <c r="A14" s="13" t="s">
        <v>731</v>
      </c>
      <c r="B14" s="34" t="n">
        <f aca="false">Inputs!$B$18</f>
        <v>30</v>
      </c>
    </row>
    <row r="15" customFormat="false" ht="15" hidden="false" customHeight="false" outlineLevel="0" collapsed="false">
      <c r="A15" s="13" t="s">
        <v>732</v>
      </c>
      <c r="B15" s="43" t="n">
        <f aca="false">Inputs!$B$91</f>
        <v>17.4</v>
      </c>
    </row>
    <row r="16" customFormat="false" ht="39.75" hidden="false" customHeight="true" outlineLevel="0" collapsed="false">
      <c r="A16" s="13" t="s">
        <v>733</v>
      </c>
      <c r="B16" s="37" t="n">
        <f aca="false">B13*B14</f>
        <v>600</v>
      </c>
      <c r="C16" s="3" t="s">
        <v>734</v>
      </c>
      <c r="D16" s="3"/>
    </row>
    <row r="17" customFormat="false" ht="15" hidden="false" customHeight="false" outlineLevel="0" collapsed="false">
      <c r="A17" s="13" t="s">
        <v>735</v>
      </c>
      <c r="B17" s="37" t="n">
        <f aca="false">B13*B15</f>
        <v>348</v>
      </c>
      <c r="C17" s="3"/>
      <c r="D17" s="3"/>
    </row>
    <row r="18" customFormat="false" ht="15" hidden="false" customHeight="false" outlineLevel="0" collapsed="false">
      <c r="A18" s="13" t="s">
        <v>736</v>
      </c>
      <c r="B18" s="34" t="n">
        <f aca="false">Inputs!$B$67</f>
        <v>20</v>
      </c>
      <c r="C18" s="3"/>
      <c r="D18" s="3"/>
    </row>
    <row r="19" customFormat="false" ht="15" hidden="false" customHeight="false" outlineLevel="0" collapsed="false">
      <c r="A19" s="13" t="s">
        <v>737</v>
      </c>
      <c r="B19" s="32" t="n">
        <f aca="false">B13*B18</f>
        <v>400</v>
      </c>
      <c r="C19" s="3"/>
      <c r="D19" s="3"/>
    </row>
    <row r="21" customFormat="false" ht="15" hidden="false" customHeight="false" outlineLevel="0" collapsed="false">
      <c r="A21" s="4" t="s">
        <v>738</v>
      </c>
    </row>
    <row r="22" customFormat="false" ht="23.85" hidden="false" customHeight="false" outlineLevel="0" collapsed="false">
      <c r="A22" s="7" t="s">
        <v>29</v>
      </c>
      <c r="B22" s="7" t="s">
        <v>739</v>
      </c>
      <c r="C22" s="7" t="s">
        <v>740</v>
      </c>
      <c r="D22" s="7" t="s">
        <v>741</v>
      </c>
    </row>
    <row r="23" customFormat="false" ht="30" hidden="false" customHeight="true" outlineLevel="0" collapsed="false">
      <c r="A23" s="9" t="s">
        <v>742</v>
      </c>
      <c r="B23" s="51" t="n">
        <v>4.31</v>
      </c>
      <c r="C23" s="26" t="n">
        <v>13.9</v>
      </c>
      <c r="D23" s="9" t="s">
        <v>743</v>
      </c>
    </row>
    <row r="24" customFormat="false" ht="30" hidden="false" customHeight="true" outlineLevel="0" collapsed="false">
      <c r="A24" s="9" t="s">
        <v>744</v>
      </c>
      <c r="B24" s="51" t="n">
        <v>0.76</v>
      </c>
      <c r="C24" s="26" t="n">
        <v>2</v>
      </c>
      <c r="D24" s="9" t="s">
        <v>745</v>
      </c>
    </row>
    <row r="25" customFormat="false" ht="30" hidden="false" customHeight="true" outlineLevel="0" collapsed="false">
      <c r="A25" s="9" t="s">
        <v>746</v>
      </c>
      <c r="B25" s="51" t="n">
        <v>1.19</v>
      </c>
      <c r="C25" s="26" t="n">
        <v>3.1</v>
      </c>
      <c r="D25" s="9" t="s">
        <v>747</v>
      </c>
    </row>
    <row r="26" customFormat="false" ht="30" hidden="false" customHeight="true" outlineLevel="0" collapsed="false">
      <c r="A26" s="9" t="s">
        <v>748</v>
      </c>
      <c r="B26" s="51" t="n">
        <v>0.8</v>
      </c>
      <c r="C26" s="26" t="n">
        <v>2.1</v>
      </c>
      <c r="D26" s="9" t="s">
        <v>749</v>
      </c>
    </row>
    <row r="27" customFormat="false" ht="30" hidden="false" customHeight="true" outlineLevel="0" collapsed="false">
      <c r="A27" s="9" t="s">
        <v>750</v>
      </c>
      <c r="B27" s="45" t="n">
        <f aca="false">'LP Student Flow'!$B$43</f>
        <v>0.0440989503378378</v>
      </c>
      <c r="C27" s="26"/>
      <c r="D27" s="9" t="s">
        <v>751</v>
      </c>
    </row>
    <row r="29" customFormat="false" ht="15" hidden="false" customHeight="false" outlineLevel="0" collapsed="false">
      <c r="A29" s="4" t="s">
        <v>752</v>
      </c>
    </row>
    <row r="30" customFormat="false" ht="43.5" hidden="false" customHeight="true" outlineLevel="0" collapsed="false">
      <c r="A30" s="3" t="s">
        <v>753</v>
      </c>
      <c r="B30" s="3"/>
      <c r="C30" s="3"/>
      <c r="D30" s="3"/>
    </row>
  </sheetData>
  <mergeCells count="3">
    <mergeCell ref="B10:D10"/>
    <mergeCell ref="C16:D19"/>
    <mergeCell ref="A30: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10" min="2" style="0" width="10"/>
    <col collapsed="false" customWidth="true" hidden="false" outlineLevel="0" max="17" min="11" style="0" width="11"/>
    <col collapsed="false" customWidth="true" hidden="false" outlineLevel="0" max="19" min="18" style="0" width="12"/>
    <col collapsed="false" customWidth="true" hidden="false" outlineLevel="0" max="20" min="20" style="0" width="40"/>
  </cols>
  <sheetData>
    <row r="1" customFormat="false" ht="17.35" hidden="false" customHeight="false" outlineLevel="0" collapsed="false">
      <c r="A1" s="1" t="s">
        <v>754</v>
      </c>
      <c r="B1" s="2"/>
      <c r="C1" s="2"/>
      <c r="D1" s="2"/>
      <c r="E1" s="2"/>
      <c r="F1" s="2"/>
      <c r="G1" s="2"/>
      <c r="H1" s="2"/>
      <c r="I1" s="2"/>
      <c r="J1" s="2"/>
      <c r="K1" s="2"/>
      <c r="L1" s="2"/>
      <c r="M1" s="2"/>
      <c r="N1" s="2"/>
      <c r="O1" s="2"/>
      <c r="P1" s="2"/>
      <c r="Q1" s="2"/>
      <c r="R1" s="2"/>
      <c r="S1" s="2"/>
      <c r="T1" s="2"/>
    </row>
    <row r="2" customFormat="false" ht="15" hidden="false" customHeight="false" outlineLevel="0" collapsed="false">
      <c r="A2" s="11" t="s">
        <v>755</v>
      </c>
    </row>
    <row r="4" customFormat="false" ht="15" hidden="false" customHeight="false" outlineLevel="0" collapsed="false">
      <c r="A4" s="4" t="s">
        <v>756</v>
      </c>
    </row>
    <row r="5" customFormat="false" ht="15" hidden="false" customHeight="false" outlineLevel="0" collapsed="false">
      <c r="A5" s="5" t="s">
        <v>757</v>
      </c>
      <c r="B5" s="5"/>
      <c r="C5" s="5"/>
      <c r="D5" s="5"/>
      <c r="E5" s="5"/>
      <c r="F5" s="5"/>
      <c r="G5" s="5"/>
      <c r="H5" s="5"/>
      <c r="I5" s="5"/>
      <c r="J5" s="5"/>
      <c r="K5" s="5"/>
      <c r="L5" s="5"/>
      <c r="M5" s="5"/>
      <c r="N5" s="5"/>
      <c r="O5" s="5"/>
      <c r="P5" s="5"/>
      <c r="Q5" s="5"/>
      <c r="R5" s="5"/>
      <c r="S5" s="5"/>
      <c r="T5" s="5"/>
    </row>
    <row r="6" customFormat="false" ht="15" hidden="false" customHeight="false" outlineLevel="0" collapsed="false">
      <c r="A6" s="5" t="s">
        <v>758</v>
      </c>
      <c r="B6" s="5"/>
      <c r="C6" s="5"/>
      <c r="D6" s="5"/>
      <c r="E6" s="5"/>
      <c r="F6" s="5"/>
      <c r="G6" s="5"/>
      <c r="H6" s="5"/>
      <c r="I6" s="5"/>
      <c r="J6" s="5"/>
      <c r="K6" s="5"/>
      <c r="L6" s="5"/>
      <c r="M6" s="5"/>
      <c r="N6" s="5"/>
      <c r="O6" s="5"/>
      <c r="P6" s="5"/>
      <c r="Q6" s="5"/>
      <c r="R6" s="5"/>
      <c r="S6" s="5"/>
      <c r="T6" s="5"/>
    </row>
    <row r="7" customFormat="false" ht="15" hidden="false" customHeight="false" outlineLevel="0" collapsed="false">
      <c r="A7" s="5" t="s">
        <v>759</v>
      </c>
      <c r="B7" s="5"/>
      <c r="C7" s="5"/>
      <c r="D7" s="5"/>
      <c r="E7" s="5"/>
      <c r="F7" s="5"/>
      <c r="G7" s="5"/>
      <c r="H7" s="5"/>
      <c r="I7" s="5"/>
      <c r="J7" s="5"/>
      <c r="K7" s="5"/>
      <c r="L7" s="5"/>
      <c r="M7" s="5"/>
      <c r="N7" s="5"/>
      <c r="O7" s="5"/>
      <c r="P7" s="5"/>
      <c r="Q7" s="5"/>
      <c r="R7" s="5"/>
      <c r="S7" s="5"/>
      <c r="T7" s="5"/>
    </row>
    <row r="8" customFormat="false" ht="15" hidden="false" customHeight="false" outlineLevel="0" collapsed="false">
      <c r="A8" s="5" t="s">
        <v>760</v>
      </c>
      <c r="B8" s="5"/>
      <c r="C8" s="5"/>
      <c r="D8" s="5"/>
      <c r="E8" s="5"/>
      <c r="F8" s="5"/>
      <c r="G8" s="5"/>
      <c r="H8" s="5"/>
      <c r="I8" s="5"/>
      <c r="J8" s="5"/>
      <c r="K8" s="5"/>
      <c r="L8" s="5"/>
      <c r="M8" s="5"/>
      <c r="N8" s="5"/>
      <c r="O8" s="5"/>
      <c r="P8" s="5"/>
      <c r="Q8" s="5"/>
      <c r="R8" s="5"/>
      <c r="S8" s="5"/>
      <c r="T8" s="5"/>
    </row>
    <row r="9" customFormat="false" ht="15" hidden="false" customHeight="false" outlineLevel="0" collapsed="false">
      <c r="A9" s="5" t="s">
        <v>761</v>
      </c>
      <c r="B9" s="5"/>
      <c r="C9" s="5"/>
      <c r="D9" s="5"/>
      <c r="E9" s="5"/>
      <c r="F9" s="5"/>
      <c r="G9" s="5"/>
      <c r="H9" s="5"/>
      <c r="I9" s="5"/>
      <c r="J9" s="5"/>
      <c r="K9" s="5"/>
      <c r="L9" s="5"/>
      <c r="M9" s="5"/>
      <c r="N9" s="5"/>
      <c r="O9" s="5"/>
      <c r="P9" s="5"/>
      <c r="Q9" s="5"/>
      <c r="R9" s="5"/>
      <c r="S9" s="5"/>
      <c r="T9" s="5"/>
    </row>
    <row r="10" customFormat="false" ht="15" hidden="false" customHeight="false" outlineLevel="0" collapsed="false">
      <c r="A10" s="5" t="s">
        <v>762</v>
      </c>
      <c r="B10" s="5"/>
      <c r="C10" s="5"/>
      <c r="D10" s="5"/>
      <c r="E10" s="5"/>
      <c r="F10" s="5"/>
      <c r="G10" s="5"/>
      <c r="H10" s="5"/>
      <c r="I10" s="5"/>
      <c r="J10" s="5"/>
      <c r="K10" s="5"/>
      <c r="L10" s="5"/>
      <c r="M10" s="5"/>
      <c r="N10" s="5"/>
      <c r="O10" s="5"/>
      <c r="P10" s="5"/>
      <c r="Q10" s="5"/>
      <c r="R10" s="5"/>
      <c r="S10" s="5"/>
      <c r="T10" s="5"/>
    </row>
    <row r="13" customFormat="false" ht="57.75" hidden="false" customHeight="true" outlineLevel="0" collapsed="false">
      <c r="A13" s="7" t="s">
        <v>763</v>
      </c>
      <c r="B13" s="7" t="s">
        <v>764</v>
      </c>
      <c r="C13" s="7" t="s">
        <v>765</v>
      </c>
      <c r="D13" s="7" t="s">
        <v>766</v>
      </c>
      <c r="E13" s="7" t="s">
        <v>767</v>
      </c>
      <c r="F13" s="7" t="s">
        <v>768</v>
      </c>
      <c r="G13" s="7" t="s">
        <v>769</v>
      </c>
      <c r="H13" s="7" t="s">
        <v>770</v>
      </c>
      <c r="I13" s="7" t="s">
        <v>771</v>
      </c>
      <c r="J13" s="7" t="s">
        <v>772</v>
      </c>
      <c r="K13" s="7" t="s">
        <v>773</v>
      </c>
      <c r="L13" s="7" t="s">
        <v>774</v>
      </c>
      <c r="M13" s="7" t="s">
        <v>775</v>
      </c>
      <c r="N13" s="7" t="s">
        <v>776</v>
      </c>
      <c r="O13" s="7" t="s">
        <v>777</v>
      </c>
      <c r="P13" s="7" t="s">
        <v>778</v>
      </c>
      <c r="Q13" s="7" t="s">
        <v>779</v>
      </c>
      <c r="R13" s="7" t="s">
        <v>780</v>
      </c>
      <c r="S13" s="7" t="s">
        <v>781</v>
      </c>
      <c r="T13" s="7" t="s">
        <v>782</v>
      </c>
    </row>
    <row r="14" customFormat="false" ht="30" hidden="false" customHeight="true" outlineLevel="0" collapsed="false">
      <c r="A14" s="13" t="s">
        <v>783</v>
      </c>
      <c r="B14" s="26" t="n">
        <v>0.2</v>
      </c>
      <c r="C14" s="26" t="n">
        <v>0.1</v>
      </c>
      <c r="D14" s="30" t="s">
        <v>784</v>
      </c>
      <c r="E14" s="26" t="n">
        <v>0</v>
      </c>
      <c r="F14" s="30" t="s">
        <v>784</v>
      </c>
      <c r="G14" s="26" t="n">
        <v>0</v>
      </c>
      <c r="H14" s="26" t="n">
        <v>5</v>
      </c>
      <c r="I14" s="26" t="n">
        <v>1</v>
      </c>
      <c r="J14" s="26" t="n">
        <v>0.2</v>
      </c>
      <c r="K14" s="27" t="str">
        <f aca="false">IF(D14="OK","",IF((Inputs!$B$66*IF(E14&lt;=Inputs!$B$19,1,MAX(0,(Inputs!$B$20-E14)/(Inputs!$B$20-Inputs!$B$19))))+((1-Inputs!$B$66)*IF(E14&lt;Inputs!$B$18,1,0))=0,0,((Inputs!$B$66*IF(E14&lt;=Inputs!$B$19,1,MAX(0,(Inputs!$B$20-E14)/(Inputs!$B$20-Inputs!$B$19))))*(IF(E14&lt;Inputs!$B$20,(MAX(E14,Inputs!$B$19)+Inputs!$B$20)/2-E14,0))+((1-Inputs!$B$66)*IF(E14&lt;Inputs!$B$18,1,0))*(Inputs!$B$18-E14))/((Inputs!$B$66*IF(E14&lt;=Inputs!$B$19,1,MAX(0,(Inputs!$B$20-E14)/(Inputs!$B$20-Inputs!$B$19))))+((1-Inputs!$B$66)*IF(E14&lt;Inputs!$B$18,1,0)))))</f>
        <v/>
      </c>
      <c r="L14" s="27" t="n">
        <f aca="false">IF(D14="OUT",MAX(0,K14-B14),IF(D14="LOW",IF(AND(B14&gt;=MAX(0,Inputs!$B$67-E14),B14&lt;K14),K14-B14,0),0))</f>
        <v>0</v>
      </c>
      <c r="M14" s="27" t="str">
        <f aca="false">IF(F14="OK","",IF((Inputs!$B$66*IF(G14&lt;=Inputs!$B$19,1,MAX(0,(Inputs!$B$20-G14)/(Inputs!$B$20-Inputs!$B$19))))+((1-Inputs!$B$66)*IF(G14&lt;Inputs!$B$18,1,0))=0,0,((Inputs!$B$66*IF(G14&lt;=Inputs!$B$19,1,MAX(0,(Inputs!$B$20-G14)/(Inputs!$B$20-Inputs!$B$19))))*(IF(G14&lt;Inputs!$B$20,(MAX(G14,Inputs!$B$19)+Inputs!$B$20)/2-G14,0))+((1-Inputs!$B$66)*IF(G14&lt;Inputs!$B$18,1,0))*(Inputs!$B$18-G14))/((Inputs!$B$66*IF(G14&lt;=Inputs!$B$19,1,MAX(0,(Inputs!$B$20-G14)/(Inputs!$B$20-Inputs!$B$19))))+((1-Inputs!$B$66)*IF(G14&lt;Inputs!$B$18,1,0)))))</f>
        <v/>
      </c>
      <c r="N14" s="27" t="n">
        <f aca="false">IF(F14="OUT",MAX(0,M14-(Inputs!$B$37+C14)),IF(F14="LOW",IF(AND((Inputs!$B$37+C14)&gt;=MAX(0,Inputs!$B$67-G14),(Inputs!$B$37+C14)&lt;M14),M14-(Inputs!$B$37+C14),0),0))</f>
        <v>0</v>
      </c>
      <c r="O14" s="27" t="n">
        <f aca="false">B14+L14</f>
        <v>0.2</v>
      </c>
      <c r="P14" s="27" t="n">
        <f aca="false">Inputs!$B$37+C14+N14</f>
        <v>0.6</v>
      </c>
      <c r="Q14" s="27" t="n">
        <f aca="false">O14-P14</f>
        <v>-0.4</v>
      </c>
      <c r="R14" s="27" t="n">
        <f aca="false">MAX(0,(H14*Inputs!$B$83-I14*Inputs!$B$82)/(Inputs!$B$82+Inputs!$B$83))</f>
        <v>2</v>
      </c>
      <c r="S14" s="31" t="n">
        <f aca="false">(I14+MIN(R14,Inputs!$B$36*H14))/Inputs!$B$83</f>
        <v>0.15</v>
      </c>
      <c r="T14" s="53" t="str">
        <f aca="false">IF(J14&gt;Inputs!$B$79,"No advice: scan data stale",IF(AND(D14="OUT",F14="OUT"),"No advice: star dish out at both messes",IF(Q14&lt;Inputs!$B$77+Inputs!$B$78,"Come on in (saving under "&amp;TEXT(Inputs!$B$77+Inputs!$B$78,"0.0")&amp;" min)",IF(S14&gt;=1,"Come on in: Munch has no spare capacity","Munch is faster → save ~"&amp;TEXT(Q14,"0")&amp;" min"))))</f>
        <v>Come on in (saving under 2.5 min)</v>
      </c>
    </row>
    <row r="15" customFormat="false" ht="30" hidden="false" customHeight="true" outlineLevel="0" collapsed="false">
      <c r="A15" s="13" t="s">
        <v>785</v>
      </c>
      <c r="B15" s="26" t="n">
        <v>9</v>
      </c>
      <c r="C15" s="26" t="n">
        <v>1</v>
      </c>
      <c r="D15" s="30" t="s">
        <v>784</v>
      </c>
      <c r="E15" s="26" t="n">
        <v>0</v>
      </c>
      <c r="F15" s="30" t="s">
        <v>784</v>
      </c>
      <c r="G15" s="26" t="n">
        <v>0</v>
      </c>
      <c r="H15" s="26" t="n">
        <v>29</v>
      </c>
      <c r="I15" s="26" t="n">
        <v>5</v>
      </c>
      <c r="J15" s="26" t="n">
        <v>0.2</v>
      </c>
      <c r="K15" s="27" t="str">
        <f aca="false">IF(D15="OK","",IF((Inputs!$B$66*IF(E15&lt;=Inputs!$B$19,1,MAX(0,(Inputs!$B$20-E15)/(Inputs!$B$20-Inputs!$B$19))))+((1-Inputs!$B$66)*IF(E15&lt;Inputs!$B$18,1,0))=0,0,((Inputs!$B$66*IF(E15&lt;=Inputs!$B$19,1,MAX(0,(Inputs!$B$20-E15)/(Inputs!$B$20-Inputs!$B$19))))*(IF(E15&lt;Inputs!$B$20,(MAX(E15,Inputs!$B$19)+Inputs!$B$20)/2-E15,0))+((1-Inputs!$B$66)*IF(E15&lt;Inputs!$B$18,1,0))*(Inputs!$B$18-E15))/((Inputs!$B$66*IF(E15&lt;=Inputs!$B$19,1,MAX(0,(Inputs!$B$20-E15)/(Inputs!$B$20-Inputs!$B$19))))+((1-Inputs!$B$66)*IF(E15&lt;Inputs!$B$18,1,0)))))</f>
        <v/>
      </c>
      <c r="L15" s="27" t="n">
        <f aca="false">IF(D15="OUT",MAX(0,K15-B15),IF(D15="LOW",IF(AND(B15&gt;=MAX(0,Inputs!$B$67-E15),B15&lt;K15),K15-B15,0),0))</f>
        <v>0</v>
      </c>
      <c r="M15" s="27" t="str">
        <f aca="false">IF(F15="OK","",IF((Inputs!$B$66*IF(G15&lt;=Inputs!$B$19,1,MAX(0,(Inputs!$B$20-G15)/(Inputs!$B$20-Inputs!$B$19))))+((1-Inputs!$B$66)*IF(G15&lt;Inputs!$B$18,1,0))=0,0,((Inputs!$B$66*IF(G15&lt;=Inputs!$B$19,1,MAX(0,(Inputs!$B$20-G15)/(Inputs!$B$20-Inputs!$B$19))))*(IF(G15&lt;Inputs!$B$20,(MAX(G15,Inputs!$B$19)+Inputs!$B$20)/2-G15,0))+((1-Inputs!$B$66)*IF(G15&lt;Inputs!$B$18,1,0))*(Inputs!$B$18-G15))/((Inputs!$B$66*IF(G15&lt;=Inputs!$B$19,1,MAX(0,(Inputs!$B$20-G15)/(Inputs!$B$20-Inputs!$B$19))))+((1-Inputs!$B$66)*IF(G15&lt;Inputs!$B$18,1,0)))))</f>
        <v/>
      </c>
      <c r="N15" s="27" t="n">
        <f aca="false">IF(F15="OUT",MAX(0,M15-(Inputs!$B$37+C15)),IF(F15="LOW",IF(AND((Inputs!$B$37+C15)&gt;=MAX(0,Inputs!$B$67-G15),(Inputs!$B$37+C15)&lt;M15),M15-(Inputs!$B$37+C15),0),0))</f>
        <v>0</v>
      </c>
      <c r="O15" s="27" t="n">
        <f aca="false">B15+L15</f>
        <v>9</v>
      </c>
      <c r="P15" s="27" t="n">
        <f aca="false">Inputs!$B$37+C15+N15</f>
        <v>1.5</v>
      </c>
      <c r="Q15" s="27" t="n">
        <f aca="false">O15-P15</f>
        <v>7.5</v>
      </c>
      <c r="R15" s="27" t="n">
        <f aca="false">MAX(0,(H15*Inputs!$B$83-I15*Inputs!$B$82)/(Inputs!$B$82+Inputs!$B$83))</f>
        <v>12</v>
      </c>
      <c r="S15" s="31" t="n">
        <f aca="false">(I15+MIN(R15,Inputs!$B$36*H15))/Inputs!$B$83</f>
        <v>0.85</v>
      </c>
      <c r="T15" s="53" t="str">
        <f aca="false">IF(J15&gt;Inputs!$B$79,"No advice: scan data stale",IF(AND(D15="OUT",F15="OUT"),"No advice: star dish out at both messes",IF(Q15&lt;Inputs!$B$77+Inputs!$B$78,"Come on in (saving under "&amp;TEXT(Inputs!$B$77+Inputs!$B$78,"0.0")&amp;" min)",IF(S15&gt;=1,"Come on in: Munch has no spare capacity","Munch is faster → save ~"&amp;TEXT(Q15,"0")&amp;" min"))))</f>
        <v>Munch is faster → save ~8 min</v>
      </c>
    </row>
    <row r="16" customFormat="false" ht="30" hidden="false" customHeight="true" outlineLevel="0" collapsed="false">
      <c r="A16" s="13" t="s">
        <v>786</v>
      </c>
      <c r="B16" s="26" t="n">
        <v>9</v>
      </c>
      <c r="C16" s="26" t="n">
        <v>6</v>
      </c>
      <c r="D16" s="30" t="s">
        <v>784</v>
      </c>
      <c r="E16" s="26" t="n">
        <v>0</v>
      </c>
      <c r="F16" s="30" t="s">
        <v>784</v>
      </c>
      <c r="G16" s="26" t="n">
        <v>0</v>
      </c>
      <c r="H16" s="26" t="n">
        <v>29</v>
      </c>
      <c r="I16" s="26" t="n">
        <v>19</v>
      </c>
      <c r="J16" s="26" t="n">
        <v>0.2</v>
      </c>
      <c r="K16" s="27" t="str">
        <f aca="false">IF(D16="OK","",IF((Inputs!$B$66*IF(E16&lt;=Inputs!$B$19,1,MAX(0,(Inputs!$B$20-E16)/(Inputs!$B$20-Inputs!$B$19))))+((1-Inputs!$B$66)*IF(E16&lt;Inputs!$B$18,1,0))=0,0,((Inputs!$B$66*IF(E16&lt;=Inputs!$B$19,1,MAX(0,(Inputs!$B$20-E16)/(Inputs!$B$20-Inputs!$B$19))))*(IF(E16&lt;Inputs!$B$20,(MAX(E16,Inputs!$B$19)+Inputs!$B$20)/2-E16,0))+((1-Inputs!$B$66)*IF(E16&lt;Inputs!$B$18,1,0))*(Inputs!$B$18-E16))/((Inputs!$B$66*IF(E16&lt;=Inputs!$B$19,1,MAX(0,(Inputs!$B$20-E16)/(Inputs!$B$20-Inputs!$B$19))))+((1-Inputs!$B$66)*IF(E16&lt;Inputs!$B$18,1,0)))))</f>
        <v/>
      </c>
      <c r="L16" s="27" t="n">
        <f aca="false">IF(D16="OUT",MAX(0,K16-B16),IF(D16="LOW",IF(AND(B16&gt;=MAX(0,Inputs!$B$67-E16),B16&lt;K16),K16-B16,0),0))</f>
        <v>0</v>
      </c>
      <c r="M16" s="27" t="str">
        <f aca="false">IF(F16="OK","",IF((Inputs!$B$66*IF(G16&lt;=Inputs!$B$19,1,MAX(0,(Inputs!$B$20-G16)/(Inputs!$B$20-Inputs!$B$19))))+((1-Inputs!$B$66)*IF(G16&lt;Inputs!$B$18,1,0))=0,0,((Inputs!$B$66*IF(G16&lt;=Inputs!$B$19,1,MAX(0,(Inputs!$B$20-G16)/(Inputs!$B$20-Inputs!$B$19))))*(IF(G16&lt;Inputs!$B$20,(MAX(G16,Inputs!$B$19)+Inputs!$B$20)/2-G16,0))+((1-Inputs!$B$66)*IF(G16&lt;Inputs!$B$18,1,0))*(Inputs!$B$18-G16))/((Inputs!$B$66*IF(G16&lt;=Inputs!$B$19,1,MAX(0,(Inputs!$B$20-G16)/(Inputs!$B$20-Inputs!$B$19))))+((1-Inputs!$B$66)*IF(G16&lt;Inputs!$B$18,1,0)))))</f>
        <v/>
      </c>
      <c r="N16" s="27" t="n">
        <f aca="false">IF(F16="OUT",MAX(0,M16-(Inputs!$B$37+C16)),IF(F16="LOW",IF(AND((Inputs!$B$37+C16)&gt;=MAX(0,Inputs!$B$67-G16),(Inputs!$B$37+C16)&lt;M16),M16-(Inputs!$B$37+C16),0),0))</f>
        <v>0</v>
      </c>
      <c r="O16" s="27" t="n">
        <f aca="false">B16+L16</f>
        <v>9</v>
      </c>
      <c r="P16" s="27" t="n">
        <f aca="false">Inputs!$B$37+C16+N16</f>
        <v>6.5</v>
      </c>
      <c r="Q16" s="27" t="n">
        <f aca="false">O16-P16</f>
        <v>2.5</v>
      </c>
      <c r="R16" s="27" t="n">
        <f aca="false">MAX(0,(H16*Inputs!$B$83-I16*Inputs!$B$82)/(Inputs!$B$82+Inputs!$B$83))</f>
        <v>5</v>
      </c>
      <c r="S16" s="31" t="n">
        <f aca="false">(I16+MIN(R16,Inputs!$B$36*H16))/Inputs!$B$83</f>
        <v>1.2</v>
      </c>
      <c r="T16" s="53" t="str">
        <f aca="false">IF(J16&gt;Inputs!$B$79,"No advice: scan data stale",IF(AND(D16="OUT",F16="OUT"),"No advice: star dish out at both messes",IF(Q16&lt;Inputs!$B$77+Inputs!$B$78,"Come on in (saving under "&amp;TEXT(Inputs!$B$77+Inputs!$B$78,"0.0")&amp;" min)",IF(S16&gt;=1,"Come on in: Munch has no spare capacity","Munch is faster → save ~"&amp;TEXT(Q16,"0")&amp;" min"))))</f>
        <v>Come on in: Munch has no spare capacity</v>
      </c>
    </row>
    <row r="17" customFormat="false" ht="30" hidden="false" customHeight="true" outlineLevel="0" collapsed="false">
      <c r="A17" s="13" t="s">
        <v>787</v>
      </c>
      <c r="B17" s="26" t="n">
        <v>3</v>
      </c>
      <c r="C17" s="26" t="n">
        <v>1</v>
      </c>
      <c r="D17" s="30" t="s">
        <v>788</v>
      </c>
      <c r="E17" s="26" t="n">
        <v>0</v>
      </c>
      <c r="F17" s="30" t="s">
        <v>784</v>
      </c>
      <c r="G17" s="26" t="n">
        <v>0</v>
      </c>
      <c r="H17" s="26" t="n">
        <v>25</v>
      </c>
      <c r="I17" s="26" t="n">
        <v>6</v>
      </c>
      <c r="J17" s="26" t="n">
        <v>0.2</v>
      </c>
      <c r="K17" s="27" t="n">
        <f aca="false">IF(D17="OK","",IF((Inputs!$B$66*IF(E17&lt;=Inputs!$B$19,1,MAX(0,(Inputs!$B$20-E17)/(Inputs!$B$20-Inputs!$B$19))))+((1-Inputs!$B$66)*IF(E17&lt;Inputs!$B$18,1,0))=0,0,((Inputs!$B$66*IF(E17&lt;=Inputs!$B$19,1,MAX(0,(Inputs!$B$20-E17)/(Inputs!$B$20-Inputs!$B$19))))*(IF(E17&lt;Inputs!$B$20,(MAX(E17,Inputs!$B$19)+Inputs!$B$20)/2-E17,0))+((1-Inputs!$B$66)*IF(E17&lt;Inputs!$B$18,1,0))*(Inputs!$B$18-E17))/((Inputs!$B$66*IF(E17&lt;=Inputs!$B$19,1,MAX(0,(Inputs!$B$20-E17)/(Inputs!$B$20-Inputs!$B$19))))+((1-Inputs!$B$66)*IF(E17&lt;Inputs!$B$18,1,0)))))</f>
        <v>17.4</v>
      </c>
      <c r="L17" s="27" t="n">
        <f aca="false">IF(D17="OUT",MAX(0,K17-B17),IF(D17="LOW",IF(AND(B17&gt;=MAX(0,Inputs!$B$67-E17),B17&lt;K17),K17-B17,0),0))</f>
        <v>14.4</v>
      </c>
      <c r="M17" s="27" t="str">
        <f aca="false">IF(F17="OK","",IF((Inputs!$B$66*IF(G17&lt;=Inputs!$B$19,1,MAX(0,(Inputs!$B$20-G17)/(Inputs!$B$20-Inputs!$B$19))))+((1-Inputs!$B$66)*IF(G17&lt;Inputs!$B$18,1,0))=0,0,((Inputs!$B$66*IF(G17&lt;=Inputs!$B$19,1,MAX(0,(Inputs!$B$20-G17)/(Inputs!$B$20-Inputs!$B$19))))*(IF(G17&lt;Inputs!$B$20,(MAX(G17,Inputs!$B$19)+Inputs!$B$20)/2-G17,0))+((1-Inputs!$B$66)*IF(G17&lt;Inputs!$B$18,1,0))*(Inputs!$B$18-G17))/((Inputs!$B$66*IF(G17&lt;=Inputs!$B$19,1,MAX(0,(Inputs!$B$20-G17)/(Inputs!$B$20-Inputs!$B$19))))+((1-Inputs!$B$66)*IF(G17&lt;Inputs!$B$18,1,0)))))</f>
        <v/>
      </c>
      <c r="N17" s="27" t="n">
        <f aca="false">IF(F17="OUT",MAX(0,M17-(Inputs!$B$37+C17)),IF(F17="LOW",IF(AND((Inputs!$B$37+C17)&gt;=MAX(0,Inputs!$B$67-G17),(Inputs!$B$37+C17)&lt;M17),M17-(Inputs!$B$37+C17),0),0))</f>
        <v>0</v>
      </c>
      <c r="O17" s="27" t="n">
        <f aca="false">B17+L17</f>
        <v>17.4</v>
      </c>
      <c r="P17" s="27" t="n">
        <f aca="false">Inputs!$B$37+C17+N17</f>
        <v>1.5</v>
      </c>
      <c r="Q17" s="27" t="n">
        <f aca="false">O17-P17</f>
        <v>15.9</v>
      </c>
      <c r="R17" s="27" t="n">
        <f aca="false">MAX(0,(H17*Inputs!$B$83-I17*Inputs!$B$82)/(Inputs!$B$82+Inputs!$B$83))</f>
        <v>9.5</v>
      </c>
      <c r="S17" s="31" t="n">
        <f aca="false">(I17+MIN(R17,Inputs!$B$36*H17))/Inputs!$B$83</f>
        <v>0.775</v>
      </c>
      <c r="T17" s="53" t="str">
        <f aca="false">IF(J17&gt;Inputs!$B$79,"No advice: scan data stale",IF(AND(D17="OUT",F17="OUT"),"No advice: star dish out at both messes",IF(Q17&lt;Inputs!$B$77+Inputs!$B$78,"Come on in (saving under "&amp;TEXT(Inputs!$B$77+Inputs!$B$78,"0.0")&amp;" min)",IF(S17&gt;=1,"Come on in: Munch has no spare capacity","Munch is faster → save ~"&amp;TEXT(Q17,"0")&amp;" min"))))</f>
        <v>Munch is faster → save ~16 min</v>
      </c>
    </row>
    <row r="18" customFormat="false" ht="30" hidden="false" customHeight="true" outlineLevel="0" collapsed="false">
      <c r="A18" s="13" t="s">
        <v>789</v>
      </c>
      <c r="B18" s="26" t="n">
        <v>3</v>
      </c>
      <c r="C18" s="26" t="n">
        <v>1</v>
      </c>
      <c r="D18" s="30" t="s">
        <v>788</v>
      </c>
      <c r="E18" s="26" t="n">
        <v>16</v>
      </c>
      <c r="F18" s="30" t="s">
        <v>784</v>
      </c>
      <c r="G18" s="26" t="n">
        <v>0</v>
      </c>
      <c r="H18" s="26" t="n">
        <v>25</v>
      </c>
      <c r="I18" s="26" t="n">
        <v>6</v>
      </c>
      <c r="J18" s="26" t="n">
        <v>0.2</v>
      </c>
      <c r="K18" s="27" t="n">
        <f aca="false">IF(D18="OK","",IF((Inputs!$B$66*IF(E18&lt;=Inputs!$B$19,1,MAX(0,(Inputs!$B$20-E18)/(Inputs!$B$20-Inputs!$B$19))))+((1-Inputs!$B$66)*IF(E18&lt;Inputs!$B$18,1,0))=0,0,((Inputs!$B$66*IF(E18&lt;=Inputs!$B$19,1,MAX(0,(Inputs!$B$20-E18)/(Inputs!$B$20-Inputs!$B$19))))*(IF(E18&lt;Inputs!$B$20,(MAX(E18,Inputs!$B$19)+Inputs!$B$20)/2-E18,0))+((1-Inputs!$B$66)*IF(E18&lt;Inputs!$B$18,1,0))*(Inputs!$B$18-E18))/((Inputs!$B$66*IF(E18&lt;=Inputs!$B$19,1,MAX(0,(Inputs!$B$20-E18)/(Inputs!$B$20-Inputs!$B$19))))+((1-Inputs!$B$66)*IF(E18&lt;Inputs!$B$18,1,0)))))</f>
        <v>14</v>
      </c>
      <c r="L18" s="27" t="n">
        <f aca="false">IF(D18="OUT",MAX(0,K18-B18),IF(D18="LOW",IF(AND(B18&gt;=MAX(0,Inputs!$B$67-E18),B18&lt;K18),K18-B18,0),0))</f>
        <v>11</v>
      </c>
      <c r="M18" s="27" t="str">
        <f aca="false">IF(F18="OK","",IF((Inputs!$B$66*IF(G18&lt;=Inputs!$B$19,1,MAX(0,(Inputs!$B$20-G18)/(Inputs!$B$20-Inputs!$B$19))))+((1-Inputs!$B$66)*IF(G18&lt;Inputs!$B$18,1,0))=0,0,((Inputs!$B$66*IF(G18&lt;=Inputs!$B$19,1,MAX(0,(Inputs!$B$20-G18)/(Inputs!$B$20-Inputs!$B$19))))*(IF(G18&lt;Inputs!$B$20,(MAX(G18,Inputs!$B$19)+Inputs!$B$20)/2-G18,0))+((1-Inputs!$B$66)*IF(G18&lt;Inputs!$B$18,1,0))*(Inputs!$B$18-G18))/((Inputs!$B$66*IF(G18&lt;=Inputs!$B$19,1,MAX(0,(Inputs!$B$20-G18)/(Inputs!$B$20-Inputs!$B$19))))+((1-Inputs!$B$66)*IF(G18&lt;Inputs!$B$18,1,0)))))</f>
        <v/>
      </c>
      <c r="N18" s="27" t="n">
        <f aca="false">IF(F18="OUT",MAX(0,M18-(Inputs!$B$37+C18)),IF(F18="LOW",IF(AND((Inputs!$B$37+C18)&gt;=MAX(0,Inputs!$B$67-G18),(Inputs!$B$37+C18)&lt;M18),M18-(Inputs!$B$37+C18),0),0))</f>
        <v>0</v>
      </c>
      <c r="O18" s="27" t="n">
        <f aca="false">B18+L18</f>
        <v>14</v>
      </c>
      <c r="P18" s="27" t="n">
        <f aca="false">Inputs!$B$37+C18+N18</f>
        <v>1.5</v>
      </c>
      <c r="Q18" s="27" t="n">
        <f aca="false">O18-P18</f>
        <v>12.5</v>
      </c>
      <c r="R18" s="27" t="n">
        <f aca="false">MAX(0,(H18*Inputs!$B$83-I18*Inputs!$B$82)/(Inputs!$B$82+Inputs!$B$83))</f>
        <v>9.5</v>
      </c>
      <c r="S18" s="31" t="n">
        <f aca="false">(I18+MIN(R18,Inputs!$B$36*H18))/Inputs!$B$83</f>
        <v>0.775</v>
      </c>
      <c r="T18" s="53" t="str">
        <f aca="false">IF(J18&gt;Inputs!$B$79,"No advice: scan data stale",IF(AND(D18="OUT",F18="OUT"),"No advice: star dish out at both messes",IF(Q18&lt;Inputs!$B$77+Inputs!$B$78,"Come on in (saving under "&amp;TEXT(Inputs!$B$77+Inputs!$B$78,"0.0")&amp;" min)",IF(S18&gt;=1,"Come on in: Munch has no spare capacity","Munch is faster → save ~"&amp;TEXT(Q18,"0")&amp;" min"))))</f>
        <v>Munch is faster → save ~13 min</v>
      </c>
    </row>
    <row r="19" customFormat="false" ht="30" hidden="false" customHeight="true" outlineLevel="0" collapsed="false">
      <c r="A19" s="13" t="s">
        <v>790</v>
      </c>
      <c r="B19" s="26" t="n">
        <v>2</v>
      </c>
      <c r="C19" s="26" t="n">
        <v>1</v>
      </c>
      <c r="D19" s="30" t="s">
        <v>791</v>
      </c>
      <c r="E19" s="26" t="n">
        <v>2</v>
      </c>
      <c r="F19" s="30" t="s">
        <v>784</v>
      </c>
      <c r="G19" s="26" t="n">
        <v>0</v>
      </c>
      <c r="H19" s="26" t="n">
        <v>25</v>
      </c>
      <c r="I19" s="26" t="n">
        <v>6</v>
      </c>
      <c r="J19" s="26" t="n">
        <v>0.2</v>
      </c>
      <c r="K19" s="27" t="n">
        <f aca="false">IF(D19="OK","",IF((Inputs!$B$66*IF(E19&lt;=Inputs!$B$19,1,MAX(0,(Inputs!$B$20-E19)/(Inputs!$B$20-Inputs!$B$19))))+((1-Inputs!$B$66)*IF(E19&lt;Inputs!$B$18,1,0))=0,0,((Inputs!$B$66*IF(E19&lt;=Inputs!$B$19,1,MAX(0,(Inputs!$B$20-E19)/(Inputs!$B$20-Inputs!$B$19))))*(IF(E19&lt;Inputs!$B$20,(MAX(E19,Inputs!$B$19)+Inputs!$B$20)/2-E19,0))+((1-Inputs!$B$66)*IF(E19&lt;Inputs!$B$18,1,0))*(Inputs!$B$18-E19))/((Inputs!$B$66*IF(E19&lt;=Inputs!$B$19,1,MAX(0,(Inputs!$B$20-E19)/(Inputs!$B$20-Inputs!$B$19))))+((1-Inputs!$B$66)*IF(E19&lt;Inputs!$B$18,1,0)))))</f>
        <v>15.4</v>
      </c>
      <c r="L19" s="27" t="n">
        <f aca="false">IF(D19="OUT",MAX(0,K19-B19),IF(D19="LOW",IF(AND(B19&gt;=MAX(0,Inputs!$B$67-E19),B19&lt;K19),K19-B19,0),0))</f>
        <v>0</v>
      </c>
      <c r="M19" s="27" t="str">
        <f aca="false">IF(F19="OK","",IF((Inputs!$B$66*IF(G19&lt;=Inputs!$B$19,1,MAX(0,(Inputs!$B$20-G19)/(Inputs!$B$20-Inputs!$B$19))))+((1-Inputs!$B$66)*IF(G19&lt;Inputs!$B$18,1,0))=0,0,((Inputs!$B$66*IF(G19&lt;=Inputs!$B$19,1,MAX(0,(Inputs!$B$20-G19)/(Inputs!$B$20-Inputs!$B$19))))*(IF(G19&lt;Inputs!$B$20,(MAX(G19,Inputs!$B$19)+Inputs!$B$20)/2-G19,0))+((1-Inputs!$B$66)*IF(G19&lt;Inputs!$B$18,1,0))*(Inputs!$B$18-G19))/((Inputs!$B$66*IF(G19&lt;=Inputs!$B$19,1,MAX(0,(Inputs!$B$20-G19)/(Inputs!$B$20-Inputs!$B$19))))+((1-Inputs!$B$66)*IF(G19&lt;Inputs!$B$18,1,0)))))</f>
        <v/>
      </c>
      <c r="N19" s="27" t="n">
        <f aca="false">IF(F19="OUT",MAX(0,M19-(Inputs!$B$37+C19)),IF(F19="LOW",IF(AND((Inputs!$B$37+C19)&gt;=MAX(0,Inputs!$B$67-G19),(Inputs!$B$37+C19)&lt;M19),M19-(Inputs!$B$37+C19),0),0))</f>
        <v>0</v>
      </c>
      <c r="O19" s="27" t="n">
        <f aca="false">B19+L19</f>
        <v>2</v>
      </c>
      <c r="P19" s="27" t="n">
        <f aca="false">Inputs!$B$37+C19+N19</f>
        <v>1.5</v>
      </c>
      <c r="Q19" s="27" t="n">
        <f aca="false">O19-P19</f>
        <v>0.5</v>
      </c>
      <c r="R19" s="27" t="n">
        <f aca="false">MAX(0,(H19*Inputs!$B$83-I19*Inputs!$B$82)/(Inputs!$B$82+Inputs!$B$83))</f>
        <v>9.5</v>
      </c>
      <c r="S19" s="31" t="n">
        <f aca="false">(I19+MIN(R19,Inputs!$B$36*H19))/Inputs!$B$83</f>
        <v>0.775</v>
      </c>
      <c r="T19" s="53" t="str">
        <f aca="false">IF(J19&gt;Inputs!$B$79,"No advice: scan data stale",IF(AND(D19="OUT",F19="OUT"),"No advice: star dish out at both messes",IF(Q19&lt;Inputs!$B$77+Inputs!$B$78,"Come on in (saving under "&amp;TEXT(Inputs!$B$77+Inputs!$B$78,"0.0")&amp;" min)",IF(S19&gt;=1,"Come on in: Munch has no spare capacity","Munch is faster → save ~"&amp;TEXT(Q19,"0")&amp;" min"))))</f>
        <v>Come on in (saving under 2.5 min)</v>
      </c>
    </row>
    <row r="20" customFormat="false" ht="30" hidden="false" customHeight="true" outlineLevel="0" collapsed="false">
      <c r="A20" s="13" t="s">
        <v>792</v>
      </c>
      <c r="B20" s="26" t="n">
        <v>4</v>
      </c>
      <c r="C20" s="26" t="n">
        <v>1</v>
      </c>
      <c r="D20" s="30" t="s">
        <v>791</v>
      </c>
      <c r="E20" s="26" t="n">
        <v>18</v>
      </c>
      <c r="F20" s="30" t="s">
        <v>784</v>
      </c>
      <c r="G20" s="26" t="n">
        <v>0</v>
      </c>
      <c r="H20" s="26" t="n">
        <v>25</v>
      </c>
      <c r="I20" s="26" t="n">
        <v>6</v>
      </c>
      <c r="J20" s="26" t="n">
        <v>0.2</v>
      </c>
      <c r="K20" s="27" t="n">
        <f aca="false">IF(D20="OK","",IF((Inputs!$B$66*IF(E20&lt;=Inputs!$B$19,1,MAX(0,(Inputs!$B$20-E20)/(Inputs!$B$20-Inputs!$B$19))))+((1-Inputs!$B$66)*IF(E20&lt;Inputs!$B$18,1,0))=0,0,((Inputs!$B$66*IF(E20&lt;=Inputs!$B$19,1,MAX(0,(Inputs!$B$20-E20)/(Inputs!$B$20-Inputs!$B$19))))*(IF(E20&lt;Inputs!$B$20,(MAX(E20,Inputs!$B$19)+Inputs!$B$20)/2-E20,0))+((1-Inputs!$B$66)*IF(E20&lt;Inputs!$B$18,1,0))*(Inputs!$B$18-E20))/((Inputs!$B$66*IF(E20&lt;=Inputs!$B$19,1,MAX(0,(Inputs!$B$20-E20)/(Inputs!$B$20-Inputs!$B$19))))+((1-Inputs!$B$66)*IF(E20&lt;Inputs!$B$18,1,0)))))</f>
        <v>12</v>
      </c>
      <c r="L20" s="27" t="n">
        <f aca="false">IF(D20="OUT",MAX(0,K20-B20),IF(D20="LOW",IF(AND(B20&gt;=MAX(0,Inputs!$B$67-E20),B20&lt;K20),K20-B20,0),0))</f>
        <v>8</v>
      </c>
      <c r="M20" s="27" t="str">
        <f aca="false">IF(F20="OK","",IF((Inputs!$B$66*IF(G20&lt;=Inputs!$B$19,1,MAX(0,(Inputs!$B$20-G20)/(Inputs!$B$20-Inputs!$B$19))))+((1-Inputs!$B$66)*IF(G20&lt;Inputs!$B$18,1,0))=0,0,((Inputs!$B$66*IF(G20&lt;=Inputs!$B$19,1,MAX(0,(Inputs!$B$20-G20)/(Inputs!$B$20-Inputs!$B$19))))*(IF(G20&lt;Inputs!$B$20,(MAX(G20,Inputs!$B$19)+Inputs!$B$20)/2-G20,0))+((1-Inputs!$B$66)*IF(G20&lt;Inputs!$B$18,1,0))*(Inputs!$B$18-G20))/((Inputs!$B$66*IF(G20&lt;=Inputs!$B$19,1,MAX(0,(Inputs!$B$20-G20)/(Inputs!$B$20-Inputs!$B$19))))+((1-Inputs!$B$66)*IF(G20&lt;Inputs!$B$18,1,0)))))</f>
        <v/>
      </c>
      <c r="N20" s="27" t="n">
        <f aca="false">IF(F20="OUT",MAX(0,M20-(Inputs!$B$37+C20)),IF(F20="LOW",IF(AND((Inputs!$B$37+C20)&gt;=MAX(0,Inputs!$B$67-G20),(Inputs!$B$37+C20)&lt;M20),M20-(Inputs!$B$37+C20),0),0))</f>
        <v>0</v>
      </c>
      <c r="O20" s="27" t="n">
        <f aca="false">B20+L20</f>
        <v>12</v>
      </c>
      <c r="P20" s="27" t="n">
        <f aca="false">Inputs!$B$37+C20+N20</f>
        <v>1.5</v>
      </c>
      <c r="Q20" s="27" t="n">
        <f aca="false">O20-P20</f>
        <v>10.5</v>
      </c>
      <c r="R20" s="27" t="n">
        <f aca="false">MAX(0,(H20*Inputs!$B$83-I20*Inputs!$B$82)/(Inputs!$B$82+Inputs!$B$83))</f>
        <v>9.5</v>
      </c>
      <c r="S20" s="31" t="n">
        <f aca="false">(I20+MIN(R20,Inputs!$B$36*H20))/Inputs!$B$83</f>
        <v>0.775</v>
      </c>
      <c r="T20" s="53" t="str">
        <f aca="false">IF(J20&gt;Inputs!$B$79,"No advice: scan data stale",IF(AND(D20="OUT",F20="OUT"),"No advice: star dish out at both messes",IF(Q20&lt;Inputs!$B$77+Inputs!$B$78,"Come on in (saving under "&amp;TEXT(Inputs!$B$77+Inputs!$B$78,"0.0")&amp;" min)",IF(S20&gt;=1,"Come on in: Munch has no spare capacity","Munch is faster → save ~"&amp;TEXT(Q20,"0")&amp;" min"))))</f>
        <v>Munch is faster → save ~11 min</v>
      </c>
    </row>
    <row r="21" customFormat="false" ht="30" hidden="false" customHeight="true" outlineLevel="0" collapsed="false">
      <c r="A21" s="13" t="s">
        <v>793</v>
      </c>
      <c r="B21" s="26" t="n">
        <v>9</v>
      </c>
      <c r="C21" s="26" t="n">
        <v>1</v>
      </c>
      <c r="D21" s="30" t="s">
        <v>784</v>
      </c>
      <c r="E21" s="26" t="n">
        <v>0</v>
      </c>
      <c r="F21" s="30" t="s">
        <v>784</v>
      </c>
      <c r="G21" s="26" t="n">
        <v>0</v>
      </c>
      <c r="H21" s="26" t="n">
        <v>29</v>
      </c>
      <c r="I21" s="26" t="n">
        <v>5</v>
      </c>
      <c r="J21" s="26" t="n">
        <v>5</v>
      </c>
      <c r="K21" s="27" t="str">
        <f aca="false">IF(D21="OK","",IF((Inputs!$B$66*IF(E21&lt;=Inputs!$B$19,1,MAX(0,(Inputs!$B$20-E21)/(Inputs!$B$20-Inputs!$B$19))))+((1-Inputs!$B$66)*IF(E21&lt;Inputs!$B$18,1,0))=0,0,((Inputs!$B$66*IF(E21&lt;=Inputs!$B$19,1,MAX(0,(Inputs!$B$20-E21)/(Inputs!$B$20-Inputs!$B$19))))*(IF(E21&lt;Inputs!$B$20,(MAX(E21,Inputs!$B$19)+Inputs!$B$20)/2-E21,0))+((1-Inputs!$B$66)*IF(E21&lt;Inputs!$B$18,1,0))*(Inputs!$B$18-E21))/((Inputs!$B$66*IF(E21&lt;=Inputs!$B$19,1,MAX(0,(Inputs!$B$20-E21)/(Inputs!$B$20-Inputs!$B$19))))+((1-Inputs!$B$66)*IF(E21&lt;Inputs!$B$18,1,0)))))</f>
        <v/>
      </c>
      <c r="L21" s="27" t="n">
        <f aca="false">IF(D21="OUT",MAX(0,K21-B21),IF(D21="LOW",IF(AND(B21&gt;=MAX(0,Inputs!$B$67-E21),B21&lt;K21),K21-B21,0),0))</f>
        <v>0</v>
      </c>
      <c r="M21" s="27" t="str">
        <f aca="false">IF(F21="OK","",IF((Inputs!$B$66*IF(G21&lt;=Inputs!$B$19,1,MAX(0,(Inputs!$B$20-G21)/(Inputs!$B$20-Inputs!$B$19))))+((1-Inputs!$B$66)*IF(G21&lt;Inputs!$B$18,1,0))=0,0,((Inputs!$B$66*IF(G21&lt;=Inputs!$B$19,1,MAX(0,(Inputs!$B$20-G21)/(Inputs!$B$20-Inputs!$B$19))))*(IF(G21&lt;Inputs!$B$20,(MAX(G21,Inputs!$B$19)+Inputs!$B$20)/2-G21,0))+((1-Inputs!$B$66)*IF(G21&lt;Inputs!$B$18,1,0))*(Inputs!$B$18-G21))/((Inputs!$B$66*IF(G21&lt;=Inputs!$B$19,1,MAX(0,(Inputs!$B$20-G21)/(Inputs!$B$20-Inputs!$B$19))))+((1-Inputs!$B$66)*IF(G21&lt;Inputs!$B$18,1,0)))))</f>
        <v/>
      </c>
      <c r="N21" s="27" t="n">
        <f aca="false">IF(F21="OUT",MAX(0,M21-(Inputs!$B$37+C21)),IF(F21="LOW",IF(AND((Inputs!$B$37+C21)&gt;=MAX(0,Inputs!$B$67-G21),(Inputs!$B$37+C21)&lt;M21),M21-(Inputs!$B$37+C21),0),0))</f>
        <v>0</v>
      </c>
      <c r="O21" s="27" t="n">
        <f aca="false">B21+L21</f>
        <v>9</v>
      </c>
      <c r="P21" s="27" t="n">
        <f aca="false">Inputs!$B$37+C21+N21</f>
        <v>1.5</v>
      </c>
      <c r="Q21" s="27" t="n">
        <f aca="false">O21-P21</f>
        <v>7.5</v>
      </c>
      <c r="R21" s="27" t="n">
        <f aca="false">MAX(0,(H21*Inputs!$B$83-I21*Inputs!$B$82)/(Inputs!$B$82+Inputs!$B$83))</f>
        <v>12</v>
      </c>
      <c r="S21" s="31" t="n">
        <f aca="false">(I21+MIN(R21,Inputs!$B$36*H21))/Inputs!$B$83</f>
        <v>0.85</v>
      </c>
      <c r="T21" s="53" t="str">
        <f aca="false">IF(J21&gt;Inputs!$B$79,"No advice: scan data stale",IF(AND(D21="OUT",F21="OUT"),"No advice: star dish out at both messes",IF(Q21&lt;Inputs!$B$77+Inputs!$B$78,"Come on in (saving under "&amp;TEXT(Inputs!$B$77+Inputs!$B$78,"0.0")&amp;" min)",IF(S21&gt;=1,"Come on in: Munch has no spare capacity","Munch is faster → save ~"&amp;TEXT(Q21,"0")&amp;" min"))))</f>
        <v>No advice: scan data stale</v>
      </c>
    </row>
    <row r="22" customFormat="false" ht="30" hidden="false" customHeight="true" outlineLevel="0" collapsed="false">
      <c r="A22" s="13" t="s">
        <v>794</v>
      </c>
      <c r="B22" s="26" t="n">
        <v>3</v>
      </c>
      <c r="C22" s="26" t="n">
        <v>3</v>
      </c>
      <c r="D22" s="30" t="s">
        <v>788</v>
      </c>
      <c r="E22" s="26" t="n">
        <v>5</v>
      </c>
      <c r="F22" s="30" t="s">
        <v>788</v>
      </c>
      <c r="G22" s="26" t="n">
        <v>5</v>
      </c>
      <c r="H22" s="26" t="n">
        <v>20</v>
      </c>
      <c r="I22" s="26" t="n">
        <v>10</v>
      </c>
      <c r="J22" s="26" t="n">
        <v>0.2</v>
      </c>
      <c r="K22" s="27" t="n">
        <f aca="false">IF(D22="OK","",IF((Inputs!$B$66*IF(E22&lt;=Inputs!$B$19,1,MAX(0,(Inputs!$B$20-E22)/(Inputs!$B$20-Inputs!$B$19))))+((1-Inputs!$B$66)*IF(E22&lt;Inputs!$B$18,1,0))=0,0,((Inputs!$B$66*IF(E22&lt;=Inputs!$B$19,1,MAX(0,(Inputs!$B$20-E22)/(Inputs!$B$20-Inputs!$B$19))))*(IF(E22&lt;Inputs!$B$20,(MAX(E22,Inputs!$B$19)+Inputs!$B$20)/2-E22,0))+((1-Inputs!$B$66)*IF(E22&lt;Inputs!$B$18,1,0))*(Inputs!$B$18-E22))/((Inputs!$B$66*IF(E22&lt;=Inputs!$B$19,1,MAX(0,(Inputs!$B$20-E22)/(Inputs!$B$20-Inputs!$B$19))))+((1-Inputs!$B$66)*IF(E22&lt;Inputs!$B$18,1,0)))))</f>
        <v>12.4</v>
      </c>
      <c r="L22" s="27" t="n">
        <f aca="false">IF(D22="OUT",MAX(0,K22-B22),IF(D22="LOW",IF(AND(B22&gt;=MAX(0,Inputs!$B$67-E22),B22&lt;K22),K22-B22,0),0))</f>
        <v>9.4</v>
      </c>
      <c r="M22" s="27" t="n">
        <f aca="false">IF(F22="OK","",IF((Inputs!$B$66*IF(G22&lt;=Inputs!$B$19,1,MAX(0,(Inputs!$B$20-G22)/(Inputs!$B$20-Inputs!$B$19))))+((1-Inputs!$B$66)*IF(G22&lt;Inputs!$B$18,1,0))=0,0,((Inputs!$B$66*IF(G22&lt;=Inputs!$B$19,1,MAX(0,(Inputs!$B$20-G22)/(Inputs!$B$20-Inputs!$B$19))))*(IF(G22&lt;Inputs!$B$20,(MAX(G22,Inputs!$B$19)+Inputs!$B$20)/2-G22,0))+((1-Inputs!$B$66)*IF(G22&lt;Inputs!$B$18,1,0))*(Inputs!$B$18-G22))/((Inputs!$B$66*IF(G22&lt;=Inputs!$B$19,1,MAX(0,(Inputs!$B$20-G22)/(Inputs!$B$20-Inputs!$B$19))))+((1-Inputs!$B$66)*IF(G22&lt;Inputs!$B$18,1,0)))))</f>
        <v>12.4</v>
      </c>
      <c r="N22" s="27" t="n">
        <f aca="false">IF(F22="OUT",MAX(0,M22-(Inputs!$B$37+C22)),IF(F22="LOW",IF(AND((Inputs!$B$37+C22)&gt;=MAX(0,Inputs!$B$67-G22),(Inputs!$B$37+C22)&lt;M22),M22-(Inputs!$B$37+C22),0),0))</f>
        <v>8.9</v>
      </c>
      <c r="O22" s="27" t="n">
        <f aca="false">B22+L22</f>
        <v>12.4</v>
      </c>
      <c r="P22" s="27" t="n">
        <f aca="false">Inputs!$B$37+C22+N22</f>
        <v>12.4</v>
      </c>
      <c r="Q22" s="27" t="n">
        <f aca="false">O22-P22</f>
        <v>0</v>
      </c>
      <c r="R22" s="27" t="n">
        <f aca="false">MAX(0,(H22*Inputs!$B$83-I22*Inputs!$B$82)/(Inputs!$B$82+Inputs!$B$83))</f>
        <v>5</v>
      </c>
      <c r="S22" s="31" t="n">
        <f aca="false">(I22+MIN(R22,Inputs!$B$36*H22))/Inputs!$B$83</f>
        <v>0.75</v>
      </c>
      <c r="T22" s="53" t="str">
        <f aca="false">IF(J22&gt;Inputs!$B$79,"No advice: scan data stale",IF(AND(D22="OUT",F22="OUT"),"No advice: star dish out at both messes",IF(Q22&lt;Inputs!$B$77+Inputs!$B$78,"Come on in (saving under "&amp;TEXT(Inputs!$B$77+Inputs!$B$78,"0.0")&amp;" min)",IF(S22&gt;=1,"Come on in: Munch has no spare capacity","Munch is faster → save ~"&amp;TEXT(Q22,"0")&amp;" min"))))</f>
        <v>No advice: star dish out at both messes</v>
      </c>
    </row>
    <row r="24" customFormat="false" ht="57.75" hidden="false" customHeight="true" outlineLevel="0" collapsed="false">
      <c r="A24" s="3" t="s">
        <v>795</v>
      </c>
      <c r="B24" s="3"/>
      <c r="C24" s="3"/>
      <c r="D24" s="3"/>
      <c r="E24" s="3"/>
      <c r="F24" s="3"/>
      <c r="G24" s="3"/>
      <c r="H24" s="3"/>
      <c r="I24" s="3"/>
      <c r="J24" s="3"/>
      <c r="K24" s="3"/>
      <c r="L24" s="3"/>
      <c r="M24" s="3"/>
      <c r="N24" s="3"/>
      <c r="O24" s="3"/>
      <c r="P24" s="3"/>
      <c r="Q24" s="3"/>
      <c r="R24" s="3"/>
      <c r="S24" s="3"/>
      <c r="T24" s="3"/>
    </row>
  </sheetData>
  <mergeCells count="7">
    <mergeCell ref="A5:T5"/>
    <mergeCell ref="A6:T6"/>
    <mergeCell ref="A7:T7"/>
    <mergeCell ref="A8:T8"/>
    <mergeCell ref="A9:T9"/>
    <mergeCell ref="A10:T10"/>
    <mergeCell ref="A24:T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7" min="2" style="0" width="14"/>
    <col collapsed="false" customWidth="true" hidden="false" outlineLevel="0" max="13" min="8" style="0" width="12"/>
    <col collapsed="false" customWidth="true" hidden="false" outlineLevel="0" max="15" min="14" style="0" width="13"/>
  </cols>
  <sheetData>
    <row r="1" customFormat="false" ht="17.35" hidden="false" customHeight="false" outlineLevel="0" collapsed="false">
      <c r="A1" s="1" t="s">
        <v>796</v>
      </c>
      <c r="B1" s="2"/>
      <c r="C1" s="2"/>
      <c r="D1" s="2"/>
      <c r="E1" s="2"/>
      <c r="F1" s="2"/>
      <c r="G1" s="2"/>
      <c r="H1" s="2"/>
      <c r="I1" s="2"/>
      <c r="J1" s="2"/>
      <c r="K1" s="2"/>
      <c r="L1" s="2"/>
      <c r="M1" s="2"/>
      <c r="N1" s="2"/>
      <c r="O1" s="2"/>
    </row>
    <row r="2" customFormat="false" ht="15" hidden="false" customHeight="false" outlineLevel="0" collapsed="false">
      <c r="A2" s="11" t="s">
        <v>797</v>
      </c>
    </row>
    <row r="4" customFormat="false" ht="15" hidden="false" customHeight="false" outlineLevel="0" collapsed="false">
      <c r="A4" s="4" t="s">
        <v>798</v>
      </c>
    </row>
    <row r="5" customFormat="false" ht="57.75" hidden="false" customHeight="true" outlineLevel="0" collapsed="false">
      <c r="A5" s="7" t="s">
        <v>799</v>
      </c>
      <c r="B5" s="7" t="s">
        <v>800</v>
      </c>
      <c r="C5" s="7" t="s">
        <v>801</v>
      </c>
      <c r="D5" s="7" t="s">
        <v>740</v>
      </c>
      <c r="E5" s="7" t="s">
        <v>802</v>
      </c>
      <c r="F5" s="7" t="s">
        <v>803</v>
      </c>
      <c r="G5" s="7" t="s">
        <v>804</v>
      </c>
      <c r="H5" s="7" t="s">
        <v>805</v>
      </c>
      <c r="I5" s="7" t="s">
        <v>806</v>
      </c>
      <c r="J5" s="7" t="s">
        <v>807</v>
      </c>
      <c r="K5" s="7" t="s">
        <v>808</v>
      </c>
      <c r="L5" s="7" t="s">
        <v>809</v>
      </c>
      <c r="M5" s="7" t="s">
        <v>810</v>
      </c>
      <c r="N5" s="7" t="s">
        <v>811</v>
      </c>
      <c r="O5" s="7" t="s">
        <v>812</v>
      </c>
    </row>
    <row r="6" customFormat="false" ht="15" hidden="false" customHeight="false" outlineLevel="0" collapsed="false">
      <c r="A6" s="13" t="s">
        <v>813</v>
      </c>
      <c r="B6" s="51" t="n">
        <v>4.31</v>
      </c>
      <c r="C6" s="54" t="s">
        <v>679</v>
      </c>
      <c r="D6" s="26" t="n">
        <v>13.906</v>
      </c>
      <c r="E6" s="26" t="n">
        <v>32.94</v>
      </c>
      <c r="F6" s="26" t="n">
        <v>42.212</v>
      </c>
      <c r="G6" s="26" t="n">
        <v>32.94</v>
      </c>
      <c r="H6" s="25" t="n">
        <v>0.658</v>
      </c>
      <c r="I6" s="25" t="n">
        <v>0.165</v>
      </c>
      <c r="J6" s="25" t="n">
        <v>1.345</v>
      </c>
      <c r="K6" s="25" t="n">
        <v>0.347</v>
      </c>
      <c r="L6" s="26" t="n">
        <v>0.45</v>
      </c>
      <c r="M6" s="17" t="n">
        <v>0</v>
      </c>
      <c r="N6" s="25" t="s">
        <v>814</v>
      </c>
      <c r="O6" s="25" t="s">
        <v>814</v>
      </c>
    </row>
    <row r="7" customFormat="false" ht="15" hidden="false" customHeight="false" outlineLevel="0" collapsed="false">
      <c r="A7" s="13" t="s">
        <v>815</v>
      </c>
      <c r="B7" s="51" t="n">
        <v>1.191</v>
      </c>
      <c r="C7" s="54" t="s">
        <v>682</v>
      </c>
      <c r="D7" s="26" t="n">
        <v>3.126</v>
      </c>
      <c r="E7" s="26" t="n">
        <v>29.815</v>
      </c>
      <c r="F7" s="26" t="n">
        <v>32.38</v>
      </c>
      <c r="G7" s="26" t="n">
        <v>29.856</v>
      </c>
      <c r="H7" s="25" t="n">
        <v>0.591</v>
      </c>
      <c r="I7" s="25" t="n">
        <v>0.232</v>
      </c>
      <c r="J7" s="25" t="n">
        <v>1.04</v>
      </c>
      <c r="K7" s="25" t="n">
        <v>0.684</v>
      </c>
      <c r="L7" s="26" t="n">
        <v>0.45</v>
      </c>
      <c r="M7" s="17" t="n">
        <v>239</v>
      </c>
      <c r="N7" s="25" t="n">
        <v>0.61</v>
      </c>
      <c r="O7" s="25" t="n">
        <v>0.016</v>
      </c>
    </row>
    <row r="8" customFormat="false" ht="15" hidden="false" customHeight="false" outlineLevel="0" collapsed="false">
      <c r="A8" s="4" t="s">
        <v>816</v>
      </c>
      <c r="B8" s="51" t="n">
        <v>0.798</v>
      </c>
      <c r="C8" s="54" t="s">
        <v>685</v>
      </c>
      <c r="D8" s="26" t="n">
        <v>2.104</v>
      </c>
      <c r="E8" s="26" t="n">
        <v>29.423</v>
      </c>
      <c r="F8" s="26" t="n">
        <v>31.423</v>
      </c>
      <c r="G8" s="26" t="n">
        <v>29.467</v>
      </c>
      <c r="H8" s="25" t="n">
        <v>0.584</v>
      </c>
      <c r="I8" s="25" t="n">
        <v>0.237</v>
      </c>
      <c r="J8" s="25" t="n">
        <v>1.034</v>
      </c>
      <c r="K8" s="25" t="n">
        <v>0.688</v>
      </c>
      <c r="L8" s="26" t="n">
        <v>0.35</v>
      </c>
      <c r="M8" s="17" t="n">
        <v>260.95</v>
      </c>
      <c r="N8" s="25" t="n">
        <v>0.612</v>
      </c>
      <c r="O8" s="25" t="n">
        <v>0.015</v>
      </c>
    </row>
    <row r="9" customFormat="false" ht="15" hidden="false" customHeight="false" outlineLevel="0" collapsed="false">
      <c r="A9" s="13" t="s">
        <v>817</v>
      </c>
      <c r="B9" s="51" t="n">
        <v>0.76</v>
      </c>
      <c r="C9" s="54" t="s">
        <v>685</v>
      </c>
      <c r="D9" s="26" t="n">
        <v>2.008</v>
      </c>
      <c r="E9" s="26" t="n">
        <v>29.383</v>
      </c>
      <c r="F9" s="26" t="n">
        <v>31.355</v>
      </c>
      <c r="G9" s="26" t="n">
        <v>29.429</v>
      </c>
      <c r="H9" s="25" t="n">
        <v>0.583</v>
      </c>
      <c r="I9" s="25" t="n">
        <v>0.241</v>
      </c>
      <c r="J9" s="25" t="n">
        <v>1.035</v>
      </c>
      <c r="K9" s="25" t="n">
        <v>0.697</v>
      </c>
      <c r="L9" s="26" t="n">
        <v>0.5</v>
      </c>
      <c r="M9" s="17" t="n">
        <v>271.3</v>
      </c>
      <c r="N9" s="25" t="n">
        <v>0.611</v>
      </c>
      <c r="O9" s="25" t="n">
        <v>0.051</v>
      </c>
    </row>
    <row r="11" customFormat="false" ht="15" hidden="false" customHeight="false" outlineLevel="0" collapsed="false">
      <c r="A11" s="4" t="s">
        <v>818</v>
      </c>
      <c r="B11" s="55" t="n">
        <f aca="false">B8-B6</f>
        <v>-3.512</v>
      </c>
      <c r="C11" s="56" t="n">
        <f aca="false">1-B8/B6</f>
        <v>0.814849187935035</v>
      </c>
      <c r="D11" s="57" t="n">
        <f aca="false">D8-D6</f>
        <v>-11.802</v>
      </c>
      <c r="E11" s="57" t="n">
        <f aca="false">E8-E6</f>
        <v>-3.517</v>
      </c>
    </row>
    <row r="12" customFormat="false" ht="72" hidden="false" customHeight="true" outlineLevel="0" collapsed="false">
      <c r="A12" s="3" t="s">
        <v>819</v>
      </c>
      <c r="B12" s="3"/>
      <c r="C12" s="3"/>
      <c r="D12" s="3"/>
      <c r="E12" s="3"/>
      <c r="F12" s="3"/>
      <c r="G12" s="3"/>
      <c r="H12" s="3"/>
      <c r="I12" s="3"/>
      <c r="J12" s="3"/>
      <c r="K12" s="3"/>
      <c r="L12" s="3"/>
      <c r="M12" s="3"/>
      <c r="N12" s="3"/>
      <c r="O12" s="3"/>
    </row>
    <row r="15" customFormat="false" ht="15" hidden="false" customHeight="false" outlineLevel="0" collapsed="false">
      <c r="A15" s="4" t="s">
        <v>820</v>
      </c>
    </row>
    <row r="16" customFormat="false" ht="43.5" hidden="false" customHeight="true" outlineLevel="0" collapsed="false">
      <c r="A16" s="7" t="s">
        <v>821</v>
      </c>
      <c r="B16" s="7" t="s">
        <v>822</v>
      </c>
      <c r="C16" s="7" t="s">
        <v>823</v>
      </c>
      <c r="D16" s="7" t="s">
        <v>824</v>
      </c>
      <c r="E16" s="7" t="s">
        <v>825</v>
      </c>
      <c r="F16" s="7" t="s">
        <v>826</v>
      </c>
      <c r="G16" s="7" t="s">
        <v>827</v>
      </c>
      <c r="H16" s="7" t="s">
        <v>828</v>
      </c>
      <c r="I16" s="7" t="s">
        <v>829</v>
      </c>
      <c r="J16" s="7" t="s">
        <v>830</v>
      </c>
      <c r="K16" s="7" t="s">
        <v>831</v>
      </c>
      <c r="L16" s="7" t="s">
        <v>832</v>
      </c>
      <c r="M16" s="7" t="s">
        <v>833</v>
      </c>
    </row>
    <row r="17" customFormat="false" ht="15" hidden="false" customHeight="false" outlineLevel="0" collapsed="false">
      <c r="A17" s="58" t="s">
        <v>834</v>
      </c>
      <c r="B17" s="51" t="n">
        <v>12.046</v>
      </c>
      <c r="C17" s="51" t="n">
        <v>2.243</v>
      </c>
      <c r="D17" s="51" t="n">
        <v>2.047</v>
      </c>
      <c r="E17" s="59" t="s">
        <v>835</v>
      </c>
      <c r="F17" s="26" t="n">
        <v>32.16</v>
      </c>
      <c r="G17" s="26" t="n">
        <v>5.764</v>
      </c>
      <c r="H17" s="31" t="n">
        <f aca="false">1-D17/B17</f>
        <v>0.830068072389175</v>
      </c>
      <c r="I17" s="8" t="str">
        <f aca="false">IF(D17+0.466&lt;C17-0.392,"Yes",IF(D17&lt;C17,"Tie (within noise)","No"))</f>
        <v>Tie (within noise)</v>
      </c>
      <c r="J17" s="26" t="n">
        <v>1</v>
      </c>
      <c r="K17" s="26" t="n">
        <v>1.05</v>
      </c>
      <c r="L17" s="25" t="n">
        <v>0.082</v>
      </c>
      <c r="M17" s="25" t="n">
        <v>0.08</v>
      </c>
    </row>
    <row r="18" customFormat="false" ht="15" hidden="false" customHeight="false" outlineLevel="0" collapsed="false">
      <c r="A18" s="58" t="s">
        <v>836</v>
      </c>
      <c r="B18" s="51" t="n">
        <v>8.524</v>
      </c>
      <c r="C18" s="51" t="n">
        <v>2.052</v>
      </c>
      <c r="D18" s="51" t="n">
        <v>1.694</v>
      </c>
      <c r="E18" s="59" t="s">
        <v>837</v>
      </c>
      <c r="F18" s="26" t="n">
        <v>22.574</v>
      </c>
      <c r="G18" s="26" t="n">
        <v>4.428</v>
      </c>
      <c r="H18" s="31" t="n">
        <f aca="false">1-D18/B18</f>
        <v>0.801267010793055</v>
      </c>
      <c r="I18" s="8" t="str">
        <f aca="false">IF(D18+0.139&lt;C18-0.266,"Yes",IF(D18&lt;C18,"Tie (within noise)","No"))</f>
        <v>Tie (within noise)</v>
      </c>
      <c r="J18" s="26" t="n">
        <v>0.55</v>
      </c>
      <c r="K18" s="26" t="n">
        <v>0.75</v>
      </c>
      <c r="L18" s="25" t="n">
        <v>0.02</v>
      </c>
      <c r="M18" s="25" t="n">
        <v>0.029</v>
      </c>
    </row>
    <row r="19" customFormat="false" ht="15" hidden="false" customHeight="false" outlineLevel="0" collapsed="false">
      <c r="A19" s="58" t="s">
        <v>838</v>
      </c>
      <c r="B19" s="51" t="n">
        <v>5.955</v>
      </c>
      <c r="C19" s="51" t="n">
        <v>1.441</v>
      </c>
      <c r="D19" s="51" t="n">
        <v>1.359</v>
      </c>
      <c r="E19" s="59" t="s">
        <v>839</v>
      </c>
      <c r="F19" s="26" t="n">
        <v>19.684</v>
      </c>
      <c r="G19" s="26" t="n">
        <v>4.567</v>
      </c>
      <c r="H19" s="31" t="n">
        <f aca="false">1-D19/B19</f>
        <v>0.771788413098237</v>
      </c>
      <c r="I19" s="8" t="str">
        <f aca="false">IF(D19+0.359&lt;C19-0.242,"Yes",IF(D19&lt;C19,"Tie (within noise)","No"))</f>
        <v>Tie (within noise)</v>
      </c>
      <c r="J19" s="26" t="n">
        <v>0.7</v>
      </c>
      <c r="K19" s="26" t="n">
        <v>1.15</v>
      </c>
      <c r="L19" s="25" t="n">
        <v>0.131</v>
      </c>
      <c r="M19" s="25" t="n">
        <v>0.063</v>
      </c>
    </row>
    <row r="20" customFormat="false" ht="15" hidden="false" customHeight="false" outlineLevel="0" collapsed="false">
      <c r="A20" s="58" t="s">
        <v>840</v>
      </c>
      <c r="B20" s="51" t="n">
        <v>8.778</v>
      </c>
      <c r="C20" s="51" t="n">
        <v>1.203</v>
      </c>
      <c r="D20" s="51" t="n">
        <v>0.953</v>
      </c>
      <c r="E20" s="59" t="s">
        <v>841</v>
      </c>
      <c r="F20" s="26" t="n">
        <v>17.315</v>
      </c>
      <c r="G20" s="26" t="n">
        <v>2.531</v>
      </c>
      <c r="H20" s="31" t="n">
        <f aca="false">1-D20/B20</f>
        <v>0.891433128275234</v>
      </c>
      <c r="I20" s="8" t="str">
        <f aca="false">IF(D20+0.17&lt;C20-0.298,"Yes",IF(D20&lt;C20,"Tie (within noise)","No"))</f>
        <v>Tie (within noise)</v>
      </c>
      <c r="J20" s="26" t="n">
        <v>0.5</v>
      </c>
      <c r="K20" s="26" t="n">
        <v>0.75</v>
      </c>
      <c r="L20" s="25" t="n">
        <v>0.064</v>
      </c>
      <c r="M20" s="25" t="n">
        <v>0.04</v>
      </c>
    </row>
    <row r="21" customFormat="false" ht="15" hidden="false" customHeight="false" outlineLevel="0" collapsed="false">
      <c r="A21" s="58" t="s">
        <v>842</v>
      </c>
      <c r="B21" s="51" t="n">
        <v>3.275</v>
      </c>
      <c r="C21" s="51" t="n">
        <v>0.694</v>
      </c>
      <c r="D21" s="51" t="n">
        <v>0.56</v>
      </c>
      <c r="E21" s="59" t="s">
        <v>843</v>
      </c>
      <c r="F21" s="26" t="n">
        <v>12.306</v>
      </c>
      <c r="G21" s="26" t="n">
        <v>1.903</v>
      </c>
      <c r="H21" s="31" t="n">
        <f aca="false">1-D21/B21</f>
        <v>0.829007633587786</v>
      </c>
      <c r="I21" s="8" t="str">
        <f aca="false">IF(D21+0.069&lt;C21-0.131,"Yes",IF(D21&lt;C21,"Tie (within noise)","No"))</f>
        <v>Tie (within noise)</v>
      </c>
      <c r="J21" s="26" t="n">
        <v>0.5</v>
      </c>
      <c r="K21" s="26" t="n">
        <v>0.35</v>
      </c>
      <c r="L21" s="25" t="n">
        <v>0.008</v>
      </c>
      <c r="M21" s="25" t="n">
        <v>0.065</v>
      </c>
    </row>
    <row r="22" customFormat="false" ht="15" hidden="false" customHeight="false" outlineLevel="0" collapsed="false">
      <c r="A22" s="58" t="s">
        <v>844</v>
      </c>
      <c r="B22" s="51" t="n">
        <v>1.654</v>
      </c>
      <c r="C22" s="51" t="n">
        <v>0.851</v>
      </c>
      <c r="D22" s="51" t="n">
        <v>0.548</v>
      </c>
      <c r="E22" s="59" t="s">
        <v>845</v>
      </c>
      <c r="F22" s="26" t="n">
        <v>5.023</v>
      </c>
      <c r="G22" s="26" t="n">
        <v>1.467</v>
      </c>
      <c r="H22" s="31" t="n">
        <f aca="false">1-D22/B22</f>
        <v>0.668681983071342</v>
      </c>
      <c r="I22" s="8" t="str">
        <f aca="false">IF(D22+0.062&lt;C22-0.176,"Yes",IF(D22&lt;C22,"Tie (within noise)","No"))</f>
        <v>Yes</v>
      </c>
      <c r="J22" s="26" t="n">
        <v>0.5</v>
      </c>
      <c r="K22" s="26" t="n">
        <v>0.55</v>
      </c>
      <c r="L22" s="25" t="n">
        <v>0.041</v>
      </c>
      <c r="M22" s="25" t="n">
        <v>0.072</v>
      </c>
    </row>
    <row r="23" customFormat="false" ht="15" hidden="false" customHeight="false" outlineLevel="0" collapsed="false">
      <c r="A23" s="58" t="s">
        <v>846</v>
      </c>
      <c r="B23" s="51" t="n">
        <v>5.757</v>
      </c>
      <c r="C23" s="51" t="n">
        <v>1.571</v>
      </c>
      <c r="D23" s="51" t="n">
        <v>0.878</v>
      </c>
      <c r="E23" s="59" t="s">
        <v>847</v>
      </c>
      <c r="F23" s="26" t="n">
        <v>14.914</v>
      </c>
      <c r="G23" s="26" t="n">
        <v>2.54</v>
      </c>
      <c r="H23" s="31" t="n">
        <f aca="false">1-D23/B23</f>
        <v>0.847490012159111</v>
      </c>
      <c r="I23" s="8" t="str">
        <f aca="false">IF(D23+0.228&lt;C23-0.392,"Yes",IF(D23&lt;C23,"Tie (within noise)","No"))</f>
        <v>Yes</v>
      </c>
      <c r="J23" s="26" t="n">
        <v>0.55</v>
      </c>
      <c r="K23" s="26" t="n">
        <v>0.9</v>
      </c>
      <c r="L23" s="25" t="n">
        <v>0.073</v>
      </c>
      <c r="M23" s="25" t="n">
        <v>0.093</v>
      </c>
    </row>
    <row r="24" customFormat="false" ht="15" hidden="false" customHeight="false" outlineLevel="0" collapsed="false">
      <c r="A24" s="58" t="s">
        <v>848</v>
      </c>
      <c r="B24" s="51" t="n">
        <v>4.31</v>
      </c>
      <c r="C24" s="51" t="n">
        <v>1.176</v>
      </c>
      <c r="D24" s="51" t="n">
        <v>1.104</v>
      </c>
      <c r="E24" s="59" t="s">
        <v>678</v>
      </c>
      <c r="F24" s="26" t="n">
        <v>13.906</v>
      </c>
      <c r="G24" s="26" t="n">
        <v>3.014</v>
      </c>
      <c r="H24" s="31" t="n">
        <f aca="false">1-D24/B24</f>
        <v>0.74385150812065</v>
      </c>
      <c r="I24" s="8" t="str">
        <f aca="false">IF(D24+0.134&lt;C24-0.293,"Yes",IF(D24&lt;C24,"Tie (within noise)","No"))</f>
        <v>Tie (within noise)</v>
      </c>
      <c r="J24" s="26" t="n">
        <v>0.45</v>
      </c>
      <c r="K24" s="26" t="n">
        <v>0.65</v>
      </c>
      <c r="L24" s="25" t="n">
        <v>0</v>
      </c>
      <c r="M24" s="25" t="n">
        <v>0.001</v>
      </c>
    </row>
    <row r="25" customFormat="false" ht="15" hidden="false" customHeight="false" outlineLevel="0" collapsed="false">
      <c r="A25" s="58" t="s">
        <v>849</v>
      </c>
      <c r="B25" s="51" t="n">
        <v>4.31</v>
      </c>
      <c r="C25" s="51" t="n">
        <v>1.159</v>
      </c>
      <c r="D25" s="51" t="n">
        <v>0.756</v>
      </c>
      <c r="E25" s="59" t="s">
        <v>685</v>
      </c>
      <c r="F25" s="26" t="n">
        <v>13.906</v>
      </c>
      <c r="G25" s="26" t="n">
        <v>2.004</v>
      </c>
      <c r="H25" s="31" t="n">
        <f aca="false">1-D25/B25</f>
        <v>0.824593967517401</v>
      </c>
      <c r="I25" s="8" t="str">
        <f aca="false">IF(D25+0.103&lt;C25-0.335,"Yes",IF(D25&lt;C25,"Tie (within noise)","No"))</f>
        <v>Tie (within noise)</v>
      </c>
      <c r="J25" s="26" t="n">
        <v>0.45</v>
      </c>
      <c r="K25" s="26" t="n">
        <v>0.75</v>
      </c>
      <c r="L25" s="25" t="n">
        <v>0.034</v>
      </c>
      <c r="M25" s="25" t="n">
        <v>0.071</v>
      </c>
    </row>
    <row r="26" customFormat="false" ht="15" hidden="false" customHeight="false" outlineLevel="0" collapsed="false">
      <c r="A26" s="58" t="s">
        <v>850</v>
      </c>
      <c r="B26" s="51" t="n">
        <v>12.883</v>
      </c>
      <c r="C26" s="51" t="n">
        <v>1.826</v>
      </c>
      <c r="D26" s="51" t="n">
        <v>1.857</v>
      </c>
      <c r="E26" s="59" t="s">
        <v>693</v>
      </c>
      <c r="F26" s="26" t="n">
        <v>33.864</v>
      </c>
      <c r="G26" s="26" t="n">
        <v>4.945</v>
      </c>
      <c r="H26" s="31" t="n">
        <f aca="false">1-D26/B26</f>
        <v>0.855856555150198</v>
      </c>
      <c r="I26" s="8" t="str">
        <f aca="false">IF(D26+0.162&lt;C26-0.155,"Yes",IF(D26&lt;C26,"Tie (within noise)","No"))</f>
        <v>No</v>
      </c>
      <c r="J26" s="26" t="n">
        <v>0.05</v>
      </c>
      <c r="K26" s="26" t="n">
        <v>0.35</v>
      </c>
      <c r="L26" s="25" t="n">
        <v>0.065</v>
      </c>
      <c r="M26" s="25" t="n">
        <v>0.055</v>
      </c>
    </row>
    <row r="27" customFormat="false" ht="15" hidden="false" customHeight="false" outlineLevel="0" collapsed="false">
      <c r="A27" s="58" t="s">
        <v>851</v>
      </c>
      <c r="B27" s="51" t="n">
        <v>1.793</v>
      </c>
      <c r="C27" s="51" t="n">
        <v>1.031</v>
      </c>
      <c r="D27" s="51" t="n">
        <v>0.557</v>
      </c>
      <c r="E27" s="59" t="s">
        <v>845</v>
      </c>
      <c r="F27" s="26" t="n">
        <v>6.807</v>
      </c>
      <c r="G27" s="26" t="n">
        <v>1.73</v>
      </c>
      <c r="H27" s="31" t="n">
        <f aca="false">1-D27/B27</f>
        <v>0.689347462353597</v>
      </c>
      <c r="I27" s="8" t="str">
        <f aca="false">IF(D27+0.056&lt;C27-0.375,"Yes",IF(D27&lt;C27,"Tie (within noise)","No"))</f>
        <v>Yes</v>
      </c>
      <c r="J27" s="26" t="n">
        <v>0.5</v>
      </c>
      <c r="K27" s="26" t="n">
        <v>0.45</v>
      </c>
      <c r="L27" s="25" t="n">
        <v>0.007</v>
      </c>
      <c r="M27" s="25" t="n">
        <v>0.017</v>
      </c>
    </row>
    <row r="28" customFormat="false" ht="15" hidden="false" customHeight="false" outlineLevel="0" collapsed="false">
      <c r="A28" s="58" t="s">
        <v>852</v>
      </c>
      <c r="B28" s="51" t="n">
        <v>6.524</v>
      </c>
      <c r="C28" s="51" t="n">
        <v>2.558</v>
      </c>
      <c r="D28" s="51" t="n">
        <v>0.938</v>
      </c>
      <c r="E28" s="59" t="s">
        <v>853</v>
      </c>
      <c r="F28" s="26" t="n">
        <v>20.512</v>
      </c>
      <c r="G28" s="26" t="n">
        <v>2.312</v>
      </c>
      <c r="H28" s="31" t="n">
        <f aca="false">1-D28/B28</f>
        <v>0.856223175965665</v>
      </c>
      <c r="I28" s="8" t="str">
        <f aca="false">IF(D28+0.122&lt;C28-0.236,"Yes",IF(D28&lt;C28,"Tie (within noise)","No"))</f>
        <v>Yes</v>
      </c>
      <c r="J28" s="26" t="n">
        <v>2</v>
      </c>
      <c r="K28" s="26" t="n">
        <v>2.2</v>
      </c>
      <c r="L28" s="25" t="n">
        <v>0.003</v>
      </c>
      <c r="M28" s="25" t="n">
        <v>0.054</v>
      </c>
    </row>
    <row r="29" customFormat="false" ht="15" hidden="false" customHeight="false" outlineLevel="0" collapsed="false">
      <c r="A29" s="58" t="s">
        <v>854</v>
      </c>
      <c r="B29" s="51" t="n">
        <v>3.611</v>
      </c>
      <c r="C29" s="51" t="n">
        <v>0.78</v>
      </c>
      <c r="D29" s="51" t="n">
        <v>0.762</v>
      </c>
      <c r="E29" s="59" t="s">
        <v>855</v>
      </c>
      <c r="F29" s="26" t="n">
        <v>11.778</v>
      </c>
      <c r="G29" s="26" t="n">
        <v>2.102</v>
      </c>
      <c r="H29" s="31" t="n">
        <f aca="false">1-D29/B29</f>
        <v>0.788978122403766</v>
      </c>
      <c r="I29" s="8" t="str">
        <f aca="false">IF(D29+0.092&lt;C29-0.09,"Yes",IF(D29&lt;C29,"Tie (within noise)","No"))</f>
        <v>Tie (within noise)</v>
      </c>
      <c r="J29" s="26" t="n">
        <v>0</v>
      </c>
      <c r="K29" s="26" t="n">
        <v>0</v>
      </c>
      <c r="L29" s="25" t="n">
        <v>0.012</v>
      </c>
      <c r="M29" s="25" t="n">
        <v>0.013</v>
      </c>
    </row>
    <row r="30" customFormat="false" ht="15" hidden="false" customHeight="false" outlineLevel="0" collapsed="false">
      <c r="A30" s="58" t="s">
        <v>856</v>
      </c>
      <c r="B30" s="51" t="n">
        <v>4.31</v>
      </c>
      <c r="C30" s="51" t="n">
        <v>1.191</v>
      </c>
      <c r="D30" s="51" t="n">
        <v>0.798</v>
      </c>
      <c r="E30" s="59" t="s">
        <v>685</v>
      </c>
      <c r="F30" s="26" t="n">
        <v>13.906</v>
      </c>
      <c r="G30" s="26" t="n">
        <v>2.104</v>
      </c>
      <c r="H30" s="31" t="n">
        <f aca="false">1-D30/B30</f>
        <v>0.814849187935035</v>
      </c>
      <c r="I30" s="8" t="str">
        <f aca="false">IF(D30+0.101&lt;C30-0.328,"Yes",IF(D30&lt;C30,"Tie (within noise)","No"))</f>
        <v>Tie (within noise)</v>
      </c>
      <c r="J30" s="26" t="n">
        <v>0.45</v>
      </c>
      <c r="K30" s="26" t="n">
        <v>0.35</v>
      </c>
      <c r="L30" s="25" t="n">
        <v>0.016</v>
      </c>
      <c r="M30" s="25" t="n">
        <v>0.015</v>
      </c>
    </row>
    <row r="31" customFormat="false" ht="15" hidden="false" customHeight="false" outlineLevel="0" collapsed="false">
      <c r="A31" s="4" t="s">
        <v>857</v>
      </c>
      <c r="H31" s="60" t="n">
        <f aca="false">MIN(H17:H30)</f>
        <v>0.668681983071342</v>
      </c>
    </row>
    <row r="33" customFormat="false" ht="57.75" hidden="false" customHeight="true" outlineLevel="0" collapsed="false">
      <c r="A33" s="3" t="s">
        <v>858</v>
      </c>
      <c r="B33" s="3"/>
      <c r="C33" s="3"/>
      <c r="D33" s="3"/>
      <c r="E33" s="3"/>
      <c r="F33" s="3"/>
      <c r="G33" s="3"/>
      <c r="H33" s="3"/>
      <c r="I33" s="3"/>
      <c r="J33" s="3"/>
      <c r="K33" s="3"/>
      <c r="L33" s="3"/>
      <c r="M33" s="3"/>
    </row>
  </sheetData>
  <mergeCells count="2">
    <mergeCell ref="A12:O12"/>
    <mergeCell ref="A33:M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5" min="2" style="0" width="15"/>
    <col collapsed="false" customWidth="true" hidden="false" outlineLevel="0" max="6" min="6" style="0" width="46"/>
  </cols>
  <sheetData>
    <row r="1" customFormat="false" ht="17.35" hidden="false" customHeight="false" outlineLevel="0" collapsed="false">
      <c r="A1" s="1" t="s">
        <v>859</v>
      </c>
      <c r="B1" s="2"/>
      <c r="C1" s="2"/>
      <c r="D1" s="2"/>
      <c r="E1" s="2"/>
      <c r="F1" s="2"/>
    </row>
    <row r="2" customFormat="false" ht="15" hidden="false" customHeight="false" outlineLevel="0" collapsed="false">
      <c r="A2" s="11" t="s">
        <v>860</v>
      </c>
    </row>
    <row r="4" customFormat="false" ht="35.05" hidden="false" customHeight="false" outlineLevel="0" collapsed="false">
      <c r="A4" s="7" t="s">
        <v>861</v>
      </c>
      <c r="B4" s="7" t="s">
        <v>862</v>
      </c>
      <c r="C4" s="7" t="s">
        <v>863</v>
      </c>
      <c r="D4" s="7" t="s">
        <v>864</v>
      </c>
      <c r="E4" s="7" t="s">
        <v>865</v>
      </c>
      <c r="F4" s="7" t="s">
        <v>866</v>
      </c>
    </row>
    <row r="5" customFormat="false" ht="35.05" hidden="false" customHeight="false" outlineLevel="0" collapsed="false">
      <c r="A5" s="13" t="s">
        <v>867</v>
      </c>
      <c r="B5" s="45" t="n">
        <f aca="false">'S15 Queuing'!$I$51</f>
        <v>3.56946845625261</v>
      </c>
      <c r="C5" s="45" t="n">
        <f aca="false">'S15 Queuing'!$J$51</f>
        <v>0.573987335452989</v>
      </c>
      <c r="F5" s="15" t="s">
        <v>868</v>
      </c>
    </row>
    <row r="6" customFormat="false" ht="43.5" hidden="false" customHeight="true" outlineLevel="0" collapsed="false">
      <c r="A6" s="13" t="s">
        <v>869</v>
      </c>
      <c r="B6" s="51" t="n">
        <v>3.77</v>
      </c>
      <c r="C6" s="51" t="n">
        <v>0.84</v>
      </c>
      <c r="D6" s="26" t="n">
        <v>11.6</v>
      </c>
      <c r="E6" s="26" t="n">
        <v>2.2</v>
      </c>
      <c r="F6" s="15" t="s">
        <v>870</v>
      </c>
    </row>
    <row r="7" customFormat="false" ht="30" hidden="false" customHeight="true" outlineLevel="0" collapsed="false">
      <c r="A7" s="13" t="s">
        <v>871</v>
      </c>
      <c r="B7" s="51" t="n">
        <v>3.5</v>
      </c>
      <c r="C7" s="51" t="n">
        <v>0.66</v>
      </c>
      <c r="D7" s="26" t="n">
        <v>11.4</v>
      </c>
      <c r="E7" s="26" t="n">
        <v>1.9</v>
      </c>
      <c r="F7" s="15" t="s">
        <v>872</v>
      </c>
    </row>
    <row r="8" customFormat="false" ht="30" hidden="false" customHeight="true" outlineLevel="0" collapsed="false">
      <c r="A8" s="13" t="s">
        <v>873</v>
      </c>
      <c r="B8" s="51" t="n">
        <v>3.62</v>
      </c>
      <c r="C8" s="51" t="n">
        <v>0.75</v>
      </c>
      <c r="D8" s="26" t="n">
        <v>11.6</v>
      </c>
      <c r="E8" s="26" t="n">
        <v>2</v>
      </c>
      <c r="F8" s="15" t="s">
        <v>874</v>
      </c>
    </row>
    <row r="9" customFormat="false" ht="30" hidden="false" customHeight="true" outlineLevel="0" collapsed="false">
      <c r="A9" s="13" t="s">
        <v>875</v>
      </c>
      <c r="B9" s="51" t="n">
        <v>3.62</v>
      </c>
      <c r="C9" s="51" t="n">
        <v>0.75</v>
      </c>
      <c r="D9" s="26" t="n">
        <v>11.6</v>
      </c>
      <c r="E9" s="26" t="n">
        <v>2</v>
      </c>
      <c r="F9" s="15" t="s">
        <v>876</v>
      </c>
    </row>
    <row r="10" customFormat="false" ht="30" hidden="false" customHeight="true" outlineLevel="0" collapsed="false">
      <c r="A10" s="13" t="s">
        <v>877</v>
      </c>
      <c r="B10" s="51" t="n">
        <v>4.31</v>
      </c>
      <c r="C10" s="51" t="n">
        <v>0.8</v>
      </c>
      <c r="D10" s="26" t="n">
        <v>13.9</v>
      </c>
      <c r="E10" s="26" t="n">
        <v>2.1</v>
      </c>
      <c r="F10" s="15" t="s">
        <v>878</v>
      </c>
    </row>
    <row r="11" customFormat="false" ht="23.85" hidden="false" customHeight="false" outlineLevel="0" collapsed="false">
      <c r="A11" s="13" t="s">
        <v>879</v>
      </c>
      <c r="B11" s="45" t="n">
        <f aca="false">'LP Student Flow'!$B$44</f>
        <v>3.06989558141934</v>
      </c>
      <c r="C11" s="45" t="n">
        <f aca="false">'LP Student Flow'!$B$43</f>
        <v>0.0440989503378378</v>
      </c>
      <c r="F11" s="15" t="s">
        <v>880</v>
      </c>
    </row>
    <row r="12" customFormat="false" ht="15" hidden="false" customHeight="false" outlineLevel="0" collapsed="false">
      <c r="A12" s="13" t="s">
        <v>881</v>
      </c>
      <c r="B12" s="61" t="n">
        <f aca="false">B6-B5</f>
        <v>0.200531543747394</v>
      </c>
    </row>
    <row r="13" customFormat="false" ht="15" hidden="false" customHeight="false" outlineLevel="0" collapsed="false">
      <c r="A13" s="13" t="s">
        <v>882</v>
      </c>
      <c r="B13" s="62" t="n">
        <f aca="false">B12/B6</f>
        <v>0.0531913909144281</v>
      </c>
    </row>
    <row r="14" customFormat="false" ht="57.75" hidden="false" customHeight="true" outlineLevel="0" collapsed="false">
      <c r="A14" s="3" t="s">
        <v>883</v>
      </c>
      <c r="B14" s="3"/>
      <c r="C14" s="3"/>
      <c r="D14" s="3"/>
      <c r="E14" s="3"/>
      <c r="F14" s="3"/>
    </row>
  </sheetData>
  <mergeCells count="1">
    <mergeCell ref="A14:F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4"/>
    <col collapsed="false" customWidth="true" hidden="false" outlineLevel="0" max="3" min="3" style="0" width="40"/>
    <col collapsed="false" customWidth="true" hidden="false" outlineLevel="0" max="4" min="4" style="0" width="22"/>
  </cols>
  <sheetData>
    <row r="1" customFormat="false" ht="17.35" hidden="false" customHeight="false" outlineLevel="0" collapsed="false">
      <c r="A1" s="1" t="s">
        <v>884</v>
      </c>
      <c r="B1" s="2"/>
      <c r="C1" s="2"/>
      <c r="D1" s="2"/>
    </row>
    <row r="2" customFormat="false" ht="15" hidden="false" customHeight="false" outlineLevel="0" collapsed="false">
      <c r="A2" s="11" t="s">
        <v>885</v>
      </c>
    </row>
    <row r="4" customFormat="false" ht="15" hidden="false" customHeight="false" outlineLevel="0" collapsed="false">
      <c r="A4" s="7" t="s">
        <v>886</v>
      </c>
      <c r="B4" s="7" t="s">
        <v>887</v>
      </c>
      <c r="C4" s="7" t="s">
        <v>888</v>
      </c>
      <c r="D4" s="7" t="s">
        <v>81</v>
      </c>
    </row>
    <row r="5" customFormat="false" ht="43.5" hidden="false" customHeight="true" outlineLevel="0" collapsed="false">
      <c r="A5" s="8" t="s">
        <v>889</v>
      </c>
      <c r="B5" s="9" t="s">
        <v>890</v>
      </c>
      <c r="C5" s="9" t="s">
        <v>891</v>
      </c>
      <c r="D5" s="9" t="s">
        <v>892</v>
      </c>
    </row>
    <row r="6" customFormat="false" ht="43.5" hidden="false" customHeight="true" outlineLevel="0" collapsed="false">
      <c r="A6" s="8" t="s">
        <v>893</v>
      </c>
      <c r="B6" s="9" t="s">
        <v>894</v>
      </c>
      <c r="C6" s="9" t="s">
        <v>895</v>
      </c>
      <c r="D6" s="9" t="s">
        <v>896</v>
      </c>
    </row>
    <row r="7" customFormat="false" ht="43.5" hidden="false" customHeight="true" outlineLevel="0" collapsed="false">
      <c r="A7" s="8" t="s">
        <v>897</v>
      </c>
      <c r="B7" s="9" t="s">
        <v>898</v>
      </c>
      <c r="C7" s="9" t="s">
        <v>899</v>
      </c>
      <c r="D7" s="9" t="s">
        <v>20</v>
      </c>
    </row>
    <row r="8" customFormat="false" ht="43.5" hidden="false" customHeight="true" outlineLevel="0" collapsed="false">
      <c r="A8" s="8" t="s">
        <v>900</v>
      </c>
      <c r="B8" s="9" t="s">
        <v>901</v>
      </c>
      <c r="C8" s="9" t="s">
        <v>902</v>
      </c>
      <c r="D8" s="9" t="s">
        <v>29</v>
      </c>
    </row>
    <row r="9" customFormat="false" ht="43.5" hidden="false" customHeight="true" outlineLevel="0" collapsed="false">
      <c r="A9" s="8" t="s">
        <v>903</v>
      </c>
      <c r="B9" s="9" t="s">
        <v>904</v>
      </c>
      <c r="C9" s="9" t="s">
        <v>905</v>
      </c>
      <c r="D9" s="9" t="s">
        <v>20</v>
      </c>
    </row>
    <row r="10" customFormat="false" ht="43.5" hidden="false" customHeight="true" outlineLevel="0" collapsed="false">
      <c r="A10" s="8" t="s">
        <v>906</v>
      </c>
      <c r="B10" s="9" t="s">
        <v>907</v>
      </c>
      <c r="C10" s="9" t="s">
        <v>908</v>
      </c>
      <c r="D10" s="9" t="s">
        <v>20</v>
      </c>
    </row>
    <row r="11" customFormat="false" ht="43.5" hidden="false" customHeight="true" outlineLevel="0" collapsed="false">
      <c r="A11" s="8" t="s">
        <v>909</v>
      </c>
      <c r="B11" s="9" t="s">
        <v>910</v>
      </c>
      <c r="C11" s="9" t="s">
        <v>911</v>
      </c>
      <c r="D11" s="9" t="s">
        <v>912</v>
      </c>
    </row>
    <row r="12" customFormat="false" ht="43.5" hidden="false" customHeight="true" outlineLevel="0" collapsed="false">
      <c r="A12" s="8" t="s">
        <v>913</v>
      </c>
      <c r="B12" s="9" t="s">
        <v>914</v>
      </c>
      <c r="C12" s="9" t="s">
        <v>915</v>
      </c>
      <c r="D12" s="9" t="s">
        <v>916</v>
      </c>
    </row>
    <row r="13" customFormat="false" ht="43.5" hidden="false" customHeight="true" outlineLevel="0" collapsed="false">
      <c r="A13" s="8" t="s">
        <v>917</v>
      </c>
      <c r="B13" s="9" t="s">
        <v>918</v>
      </c>
      <c r="C13" s="9" t="s">
        <v>919</v>
      </c>
      <c r="D13" s="9" t="s">
        <v>20</v>
      </c>
    </row>
    <row r="14" customFormat="false" ht="43.5" hidden="false" customHeight="true" outlineLevel="0" collapsed="false">
      <c r="A14" s="8" t="s">
        <v>920</v>
      </c>
      <c r="B14" s="9" t="s">
        <v>921</v>
      </c>
      <c r="C14" s="9" t="s">
        <v>922</v>
      </c>
      <c r="D14" s="9" t="s">
        <v>923</v>
      </c>
    </row>
    <row r="15" customFormat="false" ht="43.5" hidden="false" customHeight="true" outlineLevel="0" collapsed="false">
      <c r="A15" s="8" t="s">
        <v>924</v>
      </c>
      <c r="B15" s="9" t="s">
        <v>925</v>
      </c>
      <c r="C15" s="9" t="s">
        <v>926</v>
      </c>
      <c r="D15" s="9" t="s">
        <v>17</v>
      </c>
    </row>
    <row r="16" customFormat="false" ht="43.5" hidden="false" customHeight="true" outlineLevel="0" collapsed="false">
      <c r="A16" s="8" t="s">
        <v>927</v>
      </c>
      <c r="B16" s="9" t="s">
        <v>928</v>
      </c>
      <c r="C16" s="9" t="s">
        <v>929</v>
      </c>
      <c r="D16" s="9" t="s">
        <v>892</v>
      </c>
    </row>
    <row r="17" customFormat="false" ht="43.5" hidden="false" customHeight="true" outlineLevel="0" collapsed="false">
      <c r="A17" s="8" t="s">
        <v>930</v>
      </c>
      <c r="B17" s="9" t="s">
        <v>931</v>
      </c>
      <c r="C17" s="9" t="s">
        <v>932</v>
      </c>
      <c r="D17" s="9" t="s">
        <v>892</v>
      </c>
    </row>
    <row r="18" customFormat="false" ht="43.5" hidden="false" customHeight="true" outlineLevel="0" collapsed="false">
      <c r="A18" s="8" t="s">
        <v>933</v>
      </c>
      <c r="B18" s="9" t="s">
        <v>934</v>
      </c>
      <c r="C18" s="9" t="s">
        <v>935</v>
      </c>
      <c r="D18" s="9" t="s">
        <v>936</v>
      </c>
    </row>
    <row r="19" customFormat="false" ht="43.5" hidden="false" customHeight="true" outlineLevel="0" collapsed="false">
      <c r="A19" s="8" t="s">
        <v>937</v>
      </c>
      <c r="B19" s="9" t="s">
        <v>938</v>
      </c>
      <c r="C19" s="9" t="s">
        <v>37</v>
      </c>
      <c r="D19" s="9" t="s">
        <v>892</v>
      </c>
    </row>
    <row r="20" customFormat="false" ht="43.5" hidden="false" customHeight="true" outlineLevel="0" collapsed="false">
      <c r="A20" s="8" t="s">
        <v>939</v>
      </c>
      <c r="B20" s="9" t="s">
        <v>940</v>
      </c>
      <c r="C20" s="9" t="s">
        <v>941</v>
      </c>
      <c r="D20" s="9" t="s">
        <v>892</v>
      </c>
    </row>
    <row r="22" customFormat="false" ht="43.5" hidden="false" customHeight="true" outlineLevel="0" collapsed="false">
      <c r="A22" s="3" t="s">
        <v>942</v>
      </c>
      <c r="B22" s="3"/>
      <c r="C22" s="3"/>
      <c r="D22" s="3"/>
    </row>
  </sheetData>
  <mergeCells count="1">
    <mergeCell ref="A22: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13" min="2" style="0" width="13"/>
  </cols>
  <sheetData>
    <row r="1" customFormat="false" ht="17.35" hidden="false" customHeight="false" outlineLevel="0" collapsed="false">
      <c r="A1" s="1" t="s">
        <v>943</v>
      </c>
      <c r="B1" s="2"/>
      <c r="C1" s="2"/>
      <c r="D1" s="2"/>
      <c r="E1" s="2"/>
      <c r="F1" s="2"/>
      <c r="G1" s="2"/>
      <c r="H1" s="2"/>
      <c r="I1" s="2"/>
      <c r="J1" s="2"/>
      <c r="K1" s="2"/>
      <c r="L1" s="2"/>
      <c r="M1" s="2"/>
    </row>
    <row r="2" customFormat="false" ht="15" hidden="false" customHeight="false" outlineLevel="0" collapsed="false">
      <c r="A2" s="11" t="s">
        <v>944</v>
      </c>
    </row>
    <row r="4" customFormat="false" ht="23.85" hidden="false" customHeight="false" outlineLevel="0" collapsed="false">
      <c r="A4" s="7" t="s">
        <v>945</v>
      </c>
      <c r="B4" s="7" t="s">
        <v>946</v>
      </c>
      <c r="C4" s="7" t="s">
        <v>947</v>
      </c>
      <c r="D4" s="7" t="s">
        <v>948</v>
      </c>
    </row>
    <row r="5" customFormat="false" ht="30" hidden="false" customHeight="true" outlineLevel="0" collapsed="false">
      <c r="A5" s="8" t="s">
        <v>949</v>
      </c>
      <c r="B5" s="9" t="s">
        <v>950</v>
      </c>
      <c r="C5" s="9" t="s">
        <v>951</v>
      </c>
      <c r="D5" s="9" t="s">
        <v>952</v>
      </c>
    </row>
    <row r="6" customFormat="false" ht="30" hidden="false" customHeight="true" outlineLevel="0" collapsed="false">
      <c r="A6" s="8" t="s">
        <v>953</v>
      </c>
      <c r="B6" s="9" t="s">
        <v>954</v>
      </c>
      <c r="C6" s="9" t="s">
        <v>955</v>
      </c>
      <c r="D6" s="9" t="s">
        <v>956</v>
      </c>
    </row>
    <row r="7" customFormat="false" ht="30" hidden="false" customHeight="true" outlineLevel="0" collapsed="false">
      <c r="A7" s="8" t="s">
        <v>957</v>
      </c>
      <c r="B7" s="9" t="s">
        <v>958</v>
      </c>
      <c r="C7" s="9" t="s">
        <v>959</v>
      </c>
      <c r="D7" s="9" t="s">
        <v>956</v>
      </c>
    </row>
    <row r="8" customFormat="false" ht="30" hidden="false" customHeight="true" outlineLevel="0" collapsed="false">
      <c r="A8" s="8" t="s">
        <v>960</v>
      </c>
      <c r="B8" s="9" t="s">
        <v>961</v>
      </c>
      <c r="C8" s="9" t="s">
        <v>962</v>
      </c>
      <c r="D8" s="9" t="s">
        <v>963</v>
      </c>
    </row>
    <row r="9" customFormat="false" ht="30" hidden="false" customHeight="true" outlineLevel="0" collapsed="false">
      <c r="A9" s="8" t="s">
        <v>964</v>
      </c>
      <c r="B9" s="9" t="s">
        <v>965</v>
      </c>
      <c r="C9" s="9" t="s">
        <v>966</v>
      </c>
      <c r="D9" s="9" t="s">
        <v>967</v>
      </c>
    </row>
    <row r="10" customFormat="false" ht="30" hidden="false" customHeight="true" outlineLevel="0" collapsed="false">
      <c r="A10" s="8" t="s">
        <v>968</v>
      </c>
      <c r="B10" s="9" t="s">
        <v>969</v>
      </c>
      <c r="C10" s="9" t="s">
        <v>970</v>
      </c>
      <c r="D10" s="9" t="s">
        <v>967</v>
      </c>
    </row>
    <row r="11" customFormat="false" ht="30" hidden="false" customHeight="true" outlineLevel="0" collapsed="false">
      <c r="A11" s="8" t="s">
        <v>971</v>
      </c>
      <c r="B11" s="9" t="s">
        <v>972</v>
      </c>
      <c r="C11" s="9" t="s">
        <v>973</v>
      </c>
      <c r="D11" s="9" t="s">
        <v>974</v>
      </c>
    </row>
    <row r="12" customFormat="false" ht="39.75" hidden="false" customHeight="true" outlineLevel="0" collapsed="false">
      <c r="A12" s="3" t="s">
        <v>975</v>
      </c>
      <c r="B12" s="3"/>
      <c r="C12" s="3"/>
      <c r="D12" s="3"/>
    </row>
    <row r="15" customFormat="false" ht="57.75" hidden="false" customHeight="true" outlineLevel="0" collapsed="false">
      <c r="A15" s="7" t="s">
        <v>499</v>
      </c>
      <c r="B15" s="7" t="s">
        <v>976</v>
      </c>
      <c r="C15" s="7" t="s">
        <v>977</v>
      </c>
      <c r="D15" s="7" t="s">
        <v>978</v>
      </c>
      <c r="E15" s="7" t="s">
        <v>979</v>
      </c>
      <c r="F15" s="7" t="s">
        <v>980</v>
      </c>
      <c r="G15" s="7" t="s">
        <v>981</v>
      </c>
      <c r="H15" s="7" t="s">
        <v>982</v>
      </c>
      <c r="I15" s="7" t="s">
        <v>983</v>
      </c>
      <c r="J15" s="7" t="s">
        <v>984</v>
      </c>
      <c r="K15" s="7" t="s">
        <v>985</v>
      </c>
      <c r="L15" s="7" t="s">
        <v>986</v>
      </c>
    </row>
    <row r="16" customFormat="false" ht="15" hidden="false" customHeight="false" outlineLevel="0" collapsed="false">
      <c r="A16" s="54" t="s">
        <v>987</v>
      </c>
      <c r="B16" s="54" t="n">
        <v>240</v>
      </c>
      <c r="C16" s="54" t="n">
        <v>200</v>
      </c>
      <c r="D16" s="54" t="n">
        <v>35</v>
      </c>
      <c r="E16" s="54" t="n">
        <v>6.5</v>
      </c>
      <c r="F16" s="54" t="n">
        <v>40</v>
      </c>
      <c r="G16" s="54" t="n">
        <v>40</v>
      </c>
      <c r="H16" s="54" t="n">
        <v>0</v>
      </c>
      <c r="I16" s="54" t="n">
        <v>0.3</v>
      </c>
    </row>
    <row r="17" customFormat="false" ht="15" hidden="false" customHeight="false" outlineLevel="0" collapsed="false">
      <c r="A17" s="13" t="s">
        <v>92</v>
      </c>
      <c r="B17" s="18"/>
      <c r="C17" s="18"/>
      <c r="D17" s="18"/>
      <c r="E17" s="19"/>
      <c r="F17" s="18"/>
      <c r="G17" s="18"/>
      <c r="H17" s="18"/>
      <c r="I17" s="19"/>
      <c r="J17" s="31" t="str">
        <f aca="false">IF(COUNT(B17,F17)&lt;2,"",B17/MAX(1,B17+F17))</f>
        <v/>
      </c>
      <c r="K17" s="31" t="str">
        <f aca="false">IF(COUNT(B17)=0,"",B17/10/Inputs!$B$82)</f>
        <v/>
      </c>
      <c r="L17" s="31" t="str">
        <f aca="false">IF(COUNT(F17)=0,"",F17/10/Inputs!$B$83)</f>
        <v/>
      </c>
    </row>
    <row r="18" customFormat="false" ht="15" hidden="false" customHeight="false" outlineLevel="0" collapsed="false">
      <c r="A18" s="13" t="s">
        <v>501</v>
      </c>
      <c r="B18" s="18"/>
      <c r="C18" s="18"/>
      <c r="D18" s="18"/>
      <c r="E18" s="19"/>
      <c r="F18" s="18"/>
      <c r="G18" s="18"/>
      <c r="H18" s="18"/>
      <c r="I18" s="19"/>
      <c r="J18" s="31" t="str">
        <f aca="false">IF(COUNT(B18,F18)&lt;2,"",B18/MAX(1,B18+F18))</f>
        <v/>
      </c>
      <c r="K18" s="31" t="str">
        <f aca="false">IF(COUNT(B18)=0,"",B18/10/Inputs!$B$82)</f>
        <v/>
      </c>
      <c r="L18" s="31" t="str">
        <f aca="false">IF(COUNT(F18)=0,"",F18/10/Inputs!$B$83)</f>
        <v/>
      </c>
    </row>
    <row r="19" customFormat="false" ht="15" hidden="false" customHeight="false" outlineLevel="0" collapsed="false">
      <c r="A19" s="13" t="s">
        <v>502</v>
      </c>
      <c r="B19" s="18"/>
      <c r="C19" s="18"/>
      <c r="D19" s="18"/>
      <c r="E19" s="19"/>
      <c r="F19" s="18"/>
      <c r="G19" s="18"/>
      <c r="H19" s="18"/>
      <c r="I19" s="19"/>
      <c r="J19" s="31" t="str">
        <f aca="false">IF(COUNT(B19,F19)&lt;2,"",B19/MAX(1,B19+F19))</f>
        <v/>
      </c>
      <c r="K19" s="31" t="str">
        <f aca="false">IF(COUNT(B19)=0,"",B19/10/Inputs!$B$82)</f>
        <v/>
      </c>
      <c r="L19" s="31" t="str">
        <f aca="false">IF(COUNT(F19)=0,"",F19/10/Inputs!$B$83)</f>
        <v/>
      </c>
    </row>
    <row r="20" customFormat="false" ht="15" hidden="false" customHeight="false" outlineLevel="0" collapsed="false">
      <c r="A20" s="13" t="s">
        <v>503</v>
      </c>
      <c r="B20" s="18"/>
      <c r="C20" s="18"/>
      <c r="D20" s="18"/>
      <c r="E20" s="19"/>
      <c r="F20" s="18"/>
      <c r="G20" s="18"/>
      <c r="H20" s="18"/>
      <c r="I20" s="19"/>
      <c r="J20" s="31" t="str">
        <f aca="false">IF(COUNT(B20,F20)&lt;2,"",B20/MAX(1,B20+F20))</f>
        <v/>
      </c>
      <c r="K20" s="31" t="str">
        <f aca="false">IF(COUNT(B20)=0,"",B20/10/Inputs!$B$82)</f>
        <v/>
      </c>
      <c r="L20" s="31" t="str">
        <f aca="false">IF(COUNT(F20)=0,"",F20/10/Inputs!$B$83)</f>
        <v/>
      </c>
    </row>
    <row r="21" customFormat="false" ht="15" hidden="false" customHeight="false" outlineLevel="0" collapsed="false">
      <c r="A21" s="13" t="s">
        <v>504</v>
      </c>
      <c r="B21" s="18"/>
      <c r="C21" s="18"/>
      <c r="D21" s="18"/>
      <c r="E21" s="19"/>
      <c r="F21" s="18"/>
      <c r="G21" s="18"/>
      <c r="H21" s="18"/>
      <c r="I21" s="19"/>
      <c r="J21" s="31" t="str">
        <f aca="false">IF(COUNT(B21,F21)&lt;2,"",B21/MAX(1,B21+F21))</f>
        <v/>
      </c>
      <c r="K21" s="31" t="str">
        <f aca="false">IF(COUNT(B21)=0,"",B21/10/Inputs!$B$82)</f>
        <v/>
      </c>
      <c r="L21" s="31" t="str">
        <f aca="false">IF(COUNT(F21)=0,"",F21/10/Inputs!$B$83)</f>
        <v/>
      </c>
    </row>
    <row r="22" customFormat="false" ht="15" hidden="false" customHeight="false" outlineLevel="0" collapsed="false">
      <c r="A22" s="13" t="s">
        <v>505</v>
      </c>
      <c r="B22" s="18"/>
      <c r="C22" s="18"/>
      <c r="D22" s="18"/>
      <c r="E22" s="19"/>
      <c r="F22" s="18"/>
      <c r="G22" s="18"/>
      <c r="H22" s="18"/>
      <c r="I22" s="19"/>
      <c r="J22" s="31" t="str">
        <f aca="false">IF(COUNT(B22,F22)&lt;2,"",B22/MAX(1,B22+F22))</f>
        <v/>
      </c>
      <c r="K22" s="31" t="str">
        <f aca="false">IF(COUNT(B22)=0,"",B22/10/Inputs!$B$82)</f>
        <v/>
      </c>
      <c r="L22" s="31" t="str">
        <f aca="false">IF(COUNT(F22)=0,"",F22/10/Inputs!$B$83)</f>
        <v/>
      </c>
    </row>
    <row r="23" customFormat="false" ht="15" hidden="false" customHeight="false" outlineLevel="0" collapsed="false">
      <c r="A23" s="13" t="s">
        <v>506</v>
      </c>
      <c r="B23" s="18"/>
      <c r="C23" s="18"/>
      <c r="D23" s="18"/>
      <c r="E23" s="19"/>
      <c r="F23" s="18"/>
      <c r="G23" s="18"/>
      <c r="H23" s="18"/>
      <c r="I23" s="19"/>
      <c r="J23" s="31" t="str">
        <f aca="false">IF(COUNT(B23,F23)&lt;2,"",B23/MAX(1,B23+F23))</f>
        <v/>
      </c>
      <c r="K23" s="31" t="str">
        <f aca="false">IF(COUNT(B23)=0,"",B23/10/Inputs!$B$82)</f>
        <v/>
      </c>
      <c r="L23" s="31" t="str">
        <f aca="false">IF(COUNT(F23)=0,"",F23/10/Inputs!$B$83)</f>
        <v/>
      </c>
    </row>
    <row r="24" customFormat="false" ht="15" hidden="false" customHeight="false" outlineLevel="0" collapsed="false">
      <c r="A24" s="13" t="s">
        <v>507</v>
      </c>
      <c r="B24" s="18"/>
      <c r="C24" s="18"/>
      <c r="D24" s="18"/>
      <c r="E24" s="19"/>
      <c r="F24" s="18"/>
      <c r="G24" s="18"/>
      <c r="H24" s="18"/>
      <c r="I24" s="19"/>
      <c r="J24" s="31" t="str">
        <f aca="false">IF(COUNT(B24,F24)&lt;2,"",B24/MAX(1,B24+F24))</f>
        <v/>
      </c>
      <c r="K24" s="31" t="str">
        <f aca="false">IF(COUNT(B24)=0,"",B24/10/Inputs!$B$82)</f>
        <v/>
      </c>
      <c r="L24" s="31" t="str">
        <f aca="false">IF(COUNT(F24)=0,"",F24/10/Inputs!$B$83)</f>
        <v/>
      </c>
    </row>
    <row r="25" customFormat="false" ht="15" hidden="false" customHeight="false" outlineLevel="0" collapsed="false">
      <c r="A25" s="13" t="s">
        <v>508</v>
      </c>
      <c r="B25" s="18"/>
      <c r="C25" s="18"/>
      <c r="D25" s="18"/>
      <c r="E25" s="19"/>
      <c r="F25" s="18"/>
      <c r="G25" s="18"/>
      <c r="H25" s="18"/>
      <c r="I25" s="19"/>
      <c r="J25" s="31" t="str">
        <f aca="false">IF(COUNT(B25,F25)&lt;2,"",B25/MAX(1,B25+F25))</f>
        <v/>
      </c>
      <c r="K25" s="31" t="str">
        <f aca="false">IF(COUNT(B25)=0,"",B25/10/Inputs!$B$82)</f>
        <v/>
      </c>
      <c r="L25" s="31" t="str">
        <f aca="false">IF(COUNT(F25)=0,"",F25/10/Inputs!$B$83)</f>
        <v/>
      </c>
    </row>
    <row r="26" customFormat="false" ht="15" hidden="false" customHeight="false" outlineLevel="0" collapsed="false">
      <c r="A26" s="13" t="s">
        <v>509</v>
      </c>
      <c r="B26" s="18"/>
      <c r="C26" s="18"/>
      <c r="D26" s="18"/>
      <c r="E26" s="19"/>
      <c r="F26" s="18"/>
      <c r="G26" s="18"/>
      <c r="H26" s="18"/>
      <c r="I26" s="19"/>
      <c r="J26" s="31" t="str">
        <f aca="false">IF(COUNT(B26,F26)&lt;2,"",B26/MAX(1,B26+F26))</f>
        <v/>
      </c>
      <c r="K26" s="31" t="str">
        <f aca="false">IF(COUNT(B26)=0,"",B26/10/Inputs!$B$82)</f>
        <v/>
      </c>
      <c r="L26" s="31" t="str">
        <f aca="false">IF(COUNT(F26)=0,"",F26/10/Inputs!$B$83)</f>
        <v/>
      </c>
    </row>
    <row r="27" customFormat="false" ht="15" hidden="false" customHeight="false" outlineLevel="0" collapsed="false">
      <c r="A27" s="13" t="s">
        <v>510</v>
      </c>
      <c r="B27" s="18"/>
      <c r="C27" s="18"/>
      <c r="D27" s="18"/>
      <c r="E27" s="19"/>
      <c r="F27" s="18"/>
      <c r="G27" s="18"/>
      <c r="H27" s="18"/>
      <c r="I27" s="19"/>
      <c r="J27" s="31" t="str">
        <f aca="false">IF(COUNT(B27,F27)&lt;2,"",B27/MAX(1,B27+F27))</f>
        <v/>
      </c>
      <c r="K27" s="31" t="str">
        <f aca="false">IF(COUNT(B27)=0,"",B27/10/Inputs!$B$82)</f>
        <v/>
      </c>
      <c r="L27" s="31" t="str">
        <f aca="false">IF(COUNT(F27)=0,"",F27/10/Inputs!$B$83)</f>
        <v/>
      </c>
    </row>
    <row r="28" customFormat="false" ht="15" hidden="false" customHeight="false" outlineLevel="0" collapsed="false">
      <c r="A28" s="13" t="s">
        <v>511</v>
      </c>
      <c r="B28" s="18"/>
      <c r="C28" s="18"/>
      <c r="D28" s="18"/>
      <c r="E28" s="19"/>
      <c r="F28" s="18"/>
      <c r="G28" s="18"/>
      <c r="H28" s="18"/>
      <c r="I28" s="19"/>
      <c r="J28" s="31" t="str">
        <f aca="false">IF(COUNT(B28,F28)&lt;2,"",B28/MAX(1,B28+F28))</f>
        <v/>
      </c>
      <c r="K28" s="31" t="str">
        <f aca="false">IF(COUNT(B28)=0,"",B28/10/Inputs!$B$82)</f>
        <v/>
      </c>
      <c r="L28" s="31" t="str">
        <f aca="false">IF(COUNT(F28)=0,"",F28/10/Inputs!$B$83)</f>
        <v/>
      </c>
    </row>
    <row r="29" customFormat="false" ht="15" hidden="false" customHeight="false" outlineLevel="0" collapsed="false">
      <c r="A29" s="13" t="s">
        <v>512</v>
      </c>
      <c r="B29" s="18"/>
      <c r="C29" s="18"/>
      <c r="D29" s="18"/>
      <c r="E29" s="19"/>
      <c r="F29" s="18"/>
      <c r="G29" s="18"/>
      <c r="H29" s="18"/>
      <c r="I29" s="19"/>
      <c r="J29" s="31" t="str">
        <f aca="false">IF(COUNT(B29,F29)&lt;2,"",B29/MAX(1,B29+F29))</f>
        <v/>
      </c>
      <c r="K29" s="31" t="str">
        <f aca="false">IF(COUNT(B29)=0,"",B29/10/Inputs!$B$82)</f>
        <v/>
      </c>
      <c r="L29" s="31" t="str">
        <f aca="false">IF(COUNT(F29)=0,"",F29/10/Inputs!$B$83)</f>
        <v/>
      </c>
    </row>
    <row r="30" customFormat="false" ht="15" hidden="false" customHeight="false" outlineLevel="0" collapsed="false">
      <c r="A30" s="13" t="s">
        <v>513</v>
      </c>
      <c r="B30" s="18"/>
      <c r="C30" s="18"/>
      <c r="D30" s="18"/>
      <c r="E30" s="19"/>
      <c r="F30" s="18"/>
      <c r="G30" s="18"/>
      <c r="H30" s="18"/>
      <c r="I30" s="19"/>
      <c r="J30" s="31" t="str">
        <f aca="false">IF(COUNT(B30,F30)&lt;2,"",B30/MAX(1,B30+F30))</f>
        <v/>
      </c>
      <c r="K30" s="31" t="str">
        <f aca="false">IF(COUNT(B30)=0,"",B30/10/Inputs!$B$82)</f>
        <v/>
      </c>
      <c r="L30" s="31" t="str">
        <f aca="false">IF(COUNT(F30)=0,"",F30/10/Inputs!$B$83)</f>
        <v/>
      </c>
    </row>
    <row r="31" customFormat="false" ht="15" hidden="false" customHeight="false" outlineLevel="0" collapsed="false">
      <c r="A31" s="13" t="s">
        <v>514</v>
      </c>
      <c r="B31" s="18"/>
      <c r="C31" s="18"/>
      <c r="D31" s="18"/>
      <c r="E31" s="19"/>
      <c r="F31" s="18"/>
      <c r="G31" s="18"/>
      <c r="H31" s="18"/>
      <c r="I31" s="19"/>
      <c r="J31" s="31" t="str">
        <f aca="false">IF(COUNT(B31,F31)&lt;2,"",B31/MAX(1,B31+F31))</f>
        <v/>
      </c>
      <c r="K31" s="31" t="str">
        <f aca="false">IF(COUNT(B31)=0,"",B31/10/Inputs!$B$82)</f>
        <v/>
      </c>
      <c r="L31" s="31" t="str">
        <f aca="false">IF(COUNT(F31)=0,"",F31/10/Inputs!$B$83)</f>
        <v/>
      </c>
    </row>
    <row r="32" customFormat="false" ht="15" hidden="false" customHeight="false" outlineLevel="0" collapsed="false">
      <c r="A32" s="13" t="s">
        <v>515</v>
      </c>
      <c r="B32" s="18"/>
      <c r="C32" s="18"/>
      <c r="D32" s="18"/>
      <c r="E32" s="19"/>
      <c r="F32" s="18"/>
      <c r="G32" s="18"/>
      <c r="H32" s="18"/>
      <c r="I32" s="19"/>
      <c r="J32" s="31" t="str">
        <f aca="false">IF(COUNT(B32,F32)&lt;2,"",B32/MAX(1,B32+F32))</f>
        <v/>
      </c>
      <c r="K32" s="31" t="str">
        <f aca="false">IF(COUNT(B32)=0,"",B32/10/Inputs!$B$82)</f>
        <v/>
      </c>
      <c r="L32" s="31" t="str">
        <f aca="false">IF(COUNT(F32)=0,"",F32/10/Inputs!$B$83)</f>
        <v/>
      </c>
    </row>
    <row r="33" customFormat="false" ht="15" hidden="false" customHeight="false" outlineLevel="0" collapsed="false">
      <c r="A33" s="13" t="s">
        <v>516</v>
      </c>
      <c r="B33" s="18"/>
      <c r="C33" s="18"/>
      <c r="D33" s="18"/>
      <c r="E33" s="19"/>
      <c r="F33" s="18"/>
      <c r="G33" s="18"/>
      <c r="H33" s="18"/>
      <c r="I33" s="19"/>
      <c r="J33" s="31" t="str">
        <f aca="false">IF(COUNT(B33,F33)&lt;2,"",B33/MAX(1,B33+F33))</f>
        <v/>
      </c>
      <c r="K33" s="31" t="str">
        <f aca="false">IF(COUNT(B33)=0,"",B33/10/Inputs!$B$82)</f>
        <v/>
      </c>
      <c r="L33" s="31" t="str">
        <f aca="false">IF(COUNT(F33)=0,"",F33/10/Inputs!$B$83)</f>
        <v/>
      </c>
    </row>
    <row r="34" customFormat="false" ht="15" hidden="false" customHeight="false" outlineLevel="0" collapsed="false">
      <c r="A34" s="13" t="s">
        <v>517</v>
      </c>
      <c r="B34" s="18"/>
      <c r="C34" s="18"/>
      <c r="D34" s="18"/>
      <c r="E34" s="19"/>
      <c r="F34" s="18"/>
      <c r="G34" s="18"/>
      <c r="H34" s="18"/>
      <c r="I34" s="19"/>
      <c r="J34" s="31" t="str">
        <f aca="false">IF(COUNT(B34,F34)&lt;2,"",B34/MAX(1,B34+F34))</f>
        <v/>
      </c>
      <c r="K34" s="31" t="str">
        <f aca="false">IF(COUNT(B34)=0,"",B34/10/Inputs!$B$82)</f>
        <v/>
      </c>
      <c r="L34" s="31" t="str">
        <f aca="false">IF(COUNT(F34)=0,"",F34/10/Inputs!$B$83)</f>
        <v/>
      </c>
    </row>
    <row r="36" customFormat="false" ht="15" hidden="false" customHeight="false" outlineLevel="0" collapsed="false">
      <c r="A36" s="4" t="s">
        <v>988</v>
      </c>
    </row>
    <row r="37" customFormat="false" ht="15" hidden="false" customHeight="false" outlineLevel="0" collapsed="false">
      <c r="A37" s="5" t="s">
        <v>989</v>
      </c>
      <c r="B37" s="5"/>
      <c r="C37" s="5"/>
      <c r="D37" s="5"/>
      <c r="E37" s="5"/>
      <c r="F37" s="5"/>
      <c r="G37" s="32" t="n">
        <f aca="false">COUNT(B17:B34)</f>
        <v>0</v>
      </c>
      <c r="H37" s="32"/>
      <c r="I37" s="32"/>
      <c r="J37" s="32"/>
      <c r="K37" s="32"/>
      <c r="L37" s="32"/>
    </row>
    <row r="38" customFormat="false" ht="15" hidden="false" customHeight="false" outlineLevel="0" collapsed="false">
      <c r="A38" s="5" t="s">
        <v>990</v>
      </c>
      <c r="B38" s="5"/>
      <c r="C38" s="5"/>
      <c r="D38" s="5"/>
      <c r="E38" s="5"/>
      <c r="F38" s="5"/>
      <c r="G38" s="31" t="str">
        <f aca="false">IF(B37=0,"",SUM(B17:B34)/MAX(1,SUM(B17:B34)+SUM(F17:F34)))</f>
        <v/>
      </c>
      <c r="H38" s="31"/>
      <c r="I38" s="31"/>
      <c r="J38" s="31"/>
      <c r="K38" s="31"/>
      <c r="L38" s="31"/>
    </row>
    <row r="39" customFormat="false" ht="15" hidden="false" customHeight="false" outlineLevel="0" collapsed="false">
      <c r="A39" s="5" t="s">
        <v>991</v>
      </c>
      <c r="B39" s="5"/>
      <c r="C39" s="5"/>
      <c r="D39" s="5"/>
      <c r="E39" s="5"/>
      <c r="F39" s="5"/>
      <c r="G39" s="31" t="n">
        <f aca="false">Inputs!$B$9/(Inputs!$B$9+Inputs!$B$10)</f>
        <v>0.646551724137931</v>
      </c>
      <c r="H39" s="31"/>
      <c r="I39" s="31"/>
      <c r="J39" s="31"/>
      <c r="K39" s="31"/>
      <c r="L39" s="31"/>
    </row>
    <row r="40" customFormat="false" ht="15" hidden="false" customHeight="false" outlineLevel="0" collapsed="false">
      <c r="A40" s="5" t="s">
        <v>992</v>
      </c>
      <c r="B40" s="5"/>
      <c r="C40" s="5"/>
      <c r="D40" s="5"/>
      <c r="E40" s="5"/>
      <c r="F40" s="5"/>
      <c r="G40" s="31" t="str">
        <f aca="false">IF(B37=0,"",MAX(K17:K34))</f>
        <v/>
      </c>
      <c r="H40" s="31"/>
      <c r="I40" s="31"/>
      <c r="J40" s="31"/>
      <c r="K40" s="31"/>
      <c r="L40" s="31"/>
    </row>
    <row r="41" customFormat="false" ht="15" hidden="false" customHeight="false" outlineLevel="0" collapsed="false">
      <c r="A41" s="5" t="s">
        <v>993</v>
      </c>
      <c r="B41" s="5"/>
      <c r="C41" s="5"/>
      <c r="D41" s="5"/>
      <c r="E41" s="5"/>
      <c r="F41" s="5"/>
      <c r="G41" s="31" t="str">
        <f aca="false">IF(B37=0,"",MAX(L17:L34))</f>
        <v/>
      </c>
      <c r="H41" s="31"/>
      <c r="I41" s="31"/>
      <c r="J41" s="31"/>
      <c r="K41" s="31"/>
      <c r="L41" s="31"/>
    </row>
    <row r="42" customFormat="false" ht="15" hidden="false" customHeight="false" outlineLevel="0" collapsed="false">
      <c r="A42" s="5" t="s">
        <v>994</v>
      </c>
      <c r="B42" s="5"/>
      <c r="C42" s="5"/>
      <c r="D42" s="5"/>
      <c r="E42" s="5"/>
      <c r="F42" s="5"/>
      <c r="G42" s="27" t="str">
        <f aca="false">IF(B37=0,"",SUMPRODUCT(MAX((D17:D34&gt;0)*C17:C34))/Inputs!$B$11/10)</f>
        <v/>
      </c>
      <c r="H42" s="27"/>
      <c r="I42" s="27"/>
      <c r="J42" s="27"/>
      <c r="K42" s="27"/>
      <c r="L42" s="27"/>
    </row>
    <row r="43" customFormat="false" ht="15" hidden="false" customHeight="false" outlineLevel="0" collapsed="false">
      <c r="A43" s="5" t="s">
        <v>995</v>
      </c>
      <c r="B43" s="5"/>
      <c r="C43" s="5"/>
      <c r="D43" s="5"/>
      <c r="E43" s="5"/>
      <c r="F43" s="5"/>
      <c r="G43" s="39" t="str">
        <f aca="false">IF(B37=0,"",IF(AND(B38&gt;B39,B40&gt;=Inputs!$B$76),"Yes: more than its seat share and above target utilisation","No: revise the diagnosis"))</f>
        <v/>
      </c>
      <c r="H43" s="39"/>
      <c r="I43" s="39"/>
      <c r="J43" s="39"/>
      <c r="K43" s="39"/>
      <c r="L43" s="39"/>
    </row>
    <row r="44" customFormat="false" ht="15" hidden="false" customHeight="false" outlineLevel="0" collapsed="false">
      <c r="A44" s="5" t="s">
        <v>996</v>
      </c>
      <c r="B44" s="5"/>
      <c r="C44" s="5"/>
      <c r="D44" s="5"/>
      <c r="E44" s="5"/>
      <c r="F44" s="5"/>
      <c r="G44" s="39" t="str">
        <f aca="false">IF(B37=0,"",IF(B41&lt;0.7,"Yes: below 70% busy","No: redistribution would just move the queue"))</f>
        <v/>
      </c>
      <c r="H44" s="39"/>
      <c r="I44" s="39"/>
      <c r="J44" s="39"/>
      <c r="K44" s="39"/>
      <c r="L44" s="39"/>
    </row>
    <row r="46" customFormat="false" ht="30" hidden="false" customHeight="true" outlineLevel="0" collapsed="false">
      <c r="A46" s="3" t="s">
        <v>997</v>
      </c>
      <c r="B46" s="3"/>
      <c r="C46" s="3"/>
      <c r="D46" s="3"/>
      <c r="E46" s="3"/>
      <c r="F46" s="3"/>
      <c r="G46" s="3"/>
      <c r="H46" s="3"/>
      <c r="I46" s="3"/>
      <c r="J46" s="3"/>
      <c r="K46" s="3"/>
      <c r="L46" s="3"/>
    </row>
  </sheetData>
  <mergeCells count="18">
    <mergeCell ref="A12:D12"/>
    <mergeCell ref="A37:F37"/>
    <mergeCell ref="G37:L37"/>
    <mergeCell ref="A38:F38"/>
    <mergeCell ref="G38:L38"/>
    <mergeCell ref="A39:F39"/>
    <mergeCell ref="G39:L39"/>
    <mergeCell ref="A40:F40"/>
    <mergeCell ref="G40:L40"/>
    <mergeCell ref="A41:F41"/>
    <mergeCell ref="G41:L41"/>
    <mergeCell ref="A42:F42"/>
    <mergeCell ref="G42:L42"/>
    <mergeCell ref="A43:F43"/>
    <mergeCell ref="G43:L43"/>
    <mergeCell ref="A44:F44"/>
    <mergeCell ref="G44:L44"/>
    <mergeCell ref="A46:L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4"/>
    <col collapsed="false" customWidth="true" hidden="false" outlineLevel="0" max="2" min="2" style="0" width="18"/>
    <col collapsed="false" customWidth="true" hidden="false" outlineLevel="0" max="3" min="3" style="0" width="12"/>
    <col collapsed="false" customWidth="true" hidden="false" outlineLevel="0" max="4" min="4" style="0" width="50"/>
  </cols>
  <sheetData>
    <row r="1" customFormat="false" ht="17.35" hidden="false" customHeight="false" outlineLevel="0" collapsed="false">
      <c r="A1" s="1" t="s">
        <v>998</v>
      </c>
      <c r="B1" s="2"/>
      <c r="C1" s="2"/>
      <c r="D1" s="2"/>
    </row>
    <row r="2" customFormat="false" ht="15" hidden="false" customHeight="false" outlineLevel="0" collapsed="false">
      <c r="A2" s="11" t="s">
        <v>999</v>
      </c>
    </row>
    <row r="4" customFormat="false" ht="15" hidden="false" customHeight="false" outlineLevel="0" collapsed="false">
      <c r="A4" s="7" t="s">
        <v>1000</v>
      </c>
      <c r="B4" s="7" t="s">
        <v>79</v>
      </c>
      <c r="C4" s="7" t="s">
        <v>1001</v>
      </c>
      <c r="D4" s="7" t="s">
        <v>1002</v>
      </c>
    </row>
    <row r="5" customFormat="false" ht="15" hidden="false" customHeight="false" outlineLevel="0" collapsed="false">
      <c r="A5" s="13" t="s">
        <v>1003</v>
      </c>
      <c r="B5" s="45" t="n">
        <f aca="false">COUNT(Inputs!$B$5:$B$79)</f>
        <v>67</v>
      </c>
      <c r="C5" s="39" t="str">
        <f aca="false">IF(B5=67,"OK","CHECK")</f>
        <v>OK</v>
      </c>
      <c r="D5" s="54" t="s">
        <v>1004</v>
      </c>
    </row>
    <row r="6" customFormat="false" ht="15" hidden="false" customHeight="false" outlineLevel="0" collapsed="false">
      <c r="A6" s="13" t="s">
        <v>1005</v>
      </c>
      <c r="B6" s="45" t="n">
        <f aca="false">SUMPRODUCT(--ISERROR('S15 Queuing'!$A$30:$AN$47))</f>
        <v>0</v>
      </c>
      <c r="C6" s="39" t="str">
        <f aca="false">IF(B6=0,"OK","CHECK")</f>
        <v>OK</v>
      </c>
      <c r="D6" s="54" t="s">
        <v>1006</v>
      </c>
    </row>
    <row r="7" customFormat="false" ht="15" hidden="false" customHeight="false" outlineLevel="0" collapsed="false">
      <c r="A7" s="13" t="s">
        <v>1007</v>
      </c>
      <c r="B7" s="45" t="n">
        <f aca="false">SUMPRODUCT(--ISERROR('LP Student Flow'!$A$19:$N$40))</f>
        <v>0</v>
      </c>
      <c r="C7" s="39" t="str">
        <f aca="false">IF(B7=0,"OK","CHECK")</f>
        <v>OK</v>
      </c>
      <c r="D7" s="54"/>
    </row>
    <row r="8" customFormat="false" ht="15" hidden="false" customHeight="false" outlineLevel="0" collapsed="false">
      <c r="A8" s="13" t="s">
        <v>1008</v>
      </c>
      <c r="B8" s="45" t="n">
        <f aca="false">SUMPRODUCT(--ISERROR('Decision Rule'!$A$14:$T$22))</f>
        <v>0</v>
      </c>
      <c r="C8" s="39" t="str">
        <f aca="false">IF(B8=0,"OK","CHECK")</f>
        <v>OK</v>
      </c>
      <c r="D8" s="54"/>
    </row>
    <row r="9" customFormat="false" ht="15" hidden="false" customHeight="false" outlineLevel="0" collapsed="false">
      <c r="A9" s="13" t="s">
        <v>1009</v>
      </c>
      <c r="B9" s="45" t="n">
        <f aca="false">SUM('S15 Queuing'!$B$30:$B$47)</f>
        <v>1</v>
      </c>
      <c r="C9" s="39" t="str">
        <f aca="false">IF(ABS(B9-1)&lt;0.0001,"OK","CHECK")</f>
        <v>OK</v>
      </c>
      <c r="D9" s="54" t="s">
        <v>1010</v>
      </c>
    </row>
    <row r="10" customFormat="false" ht="15" hidden="false" customHeight="false" outlineLevel="0" collapsed="false">
      <c r="A10" s="13" t="s">
        <v>1011</v>
      </c>
      <c r="B10" s="45" t="n">
        <f aca="false">SUM('S15 Queuing'!$C$30:$C$47)-Inputs!$B$6</f>
        <v>0</v>
      </c>
      <c r="C10" s="39" t="str">
        <f aca="false">IF(ABS(B10)&lt;0.5,"OK","CHECK")</f>
        <v>OK</v>
      </c>
      <c r="D10" s="54" t="s">
        <v>1010</v>
      </c>
    </row>
    <row r="11" customFormat="false" ht="15" hidden="false" customHeight="false" outlineLevel="0" collapsed="false">
      <c r="A11" s="13" t="s">
        <v>1012</v>
      </c>
      <c r="B11" s="45" t="n">
        <f aca="false">AND(Inputs!$B$35&gt;=0,Inputs!$B$35&lt;=1,Inputs!$B$36&gt;=0,Inputs!$B$36&lt;=1)</f>
        <v>1</v>
      </c>
      <c r="C11" s="39" t="str">
        <f aca="false">IF(B11,"OK","CHECK")</f>
        <v>OK</v>
      </c>
      <c r="D11" s="54"/>
    </row>
    <row r="12" customFormat="false" ht="15" hidden="false" customHeight="false" outlineLevel="0" collapsed="false">
      <c r="A12" s="13" t="s">
        <v>1013</v>
      </c>
      <c r="B12" s="45" t="n">
        <f aca="false">Inputs!$B$72+Inputs!$B$73+Inputs!$B$74</f>
        <v>1</v>
      </c>
      <c r="C12" s="39" t="str">
        <f aca="false">IF(ABS(B12-1)&lt;0.0001,"OK","CHECK")</f>
        <v>OK</v>
      </c>
      <c r="D12" s="54" t="s">
        <v>1014</v>
      </c>
    </row>
    <row r="13" customFormat="false" ht="15" hidden="false" customHeight="false" outlineLevel="0" collapsed="false">
      <c r="A13" s="13" t="s">
        <v>1015</v>
      </c>
      <c r="B13" s="45" t="n">
        <f aca="false">'LP Student Flow'!$B$49</f>
        <v>-4.54902931323886E-007</v>
      </c>
      <c r="C13" s="39" t="str">
        <f aca="false">IF(B13&gt;=-0.01,"OK","CHECK (re-run Solver)")</f>
        <v>OK</v>
      </c>
      <c r="D13" s="54" t="s">
        <v>1016</v>
      </c>
    </row>
    <row r="14" customFormat="false" ht="15" hidden="false" customHeight="false" outlineLevel="0" collapsed="false">
      <c r="A14" s="13" t="s">
        <v>1017</v>
      </c>
      <c r="B14" s="45" t="str">
        <f aca="false">'LP Student Flow'!$B$50</f>
        <v>Yes</v>
      </c>
      <c r="C14" s="39" t="str">
        <f aca="false">IF(B14="Yes","OK","CHECK (re-run Solver)")</f>
        <v>OK</v>
      </c>
      <c r="D14" s="54" t="s">
        <v>1018</v>
      </c>
    </row>
    <row r="15" customFormat="false" ht="15" hidden="false" customHeight="false" outlineLevel="0" collapsed="false">
      <c r="A15" s="13" t="s">
        <v>1019</v>
      </c>
      <c r="B15" s="45" t="str">
        <f aca="false">'LP Student Flow'!$B$48</f>
        <v>Yes</v>
      </c>
      <c r="C15" s="39" t="str">
        <f aca="false">IF(B15="Yes","OK","CHECK (re-run Solver)")</f>
        <v>OK</v>
      </c>
      <c r="D15" s="54" t="s">
        <v>1020</v>
      </c>
    </row>
    <row r="16" customFormat="false" ht="15" hidden="false" customHeight="false" outlineLevel="0" collapsed="false">
      <c r="A16" s="13" t="s">
        <v>1021</v>
      </c>
      <c r="B16" s="45" t="n">
        <f aca="false">'LP Student Flow'!$B$43-'LP Student Flow'!$B$44</f>
        <v>-3.0257966310815</v>
      </c>
      <c r="C16" s="39" t="str">
        <f aca="false">IF(B16&lt;0,"OK","CHECK")</f>
        <v>OK</v>
      </c>
      <c r="D16" s="54"/>
    </row>
    <row r="17" customFormat="false" ht="15" hidden="false" customHeight="false" outlineLevel="0" collapsed="false">
      <c r="A17" s="13" t="s">
        <v>1022</v>
      </c>
      <c r="B17" s="45" t="n">
        <f aca="false">IF(17/(2*(1.1*Inputs!$B$26))&lt;1,((17/(1.1*Inputs!$B$26))^2/2*2/(2-17/(1.1*Inputs!$B$26)))/(1+17/(1.1*Inputs!$B$26)+(17/(1.1*Inputs!$B$26))^2/2*2/(2-17/(1.1*Inputs!$B$26)))/(2*(1.1*Inputs!$B$26)-17),99)-IF(17/(2*Inputs!$B$26)&lt;1,((17/Inputs!$B$26)^2/2*2/(2-17/Inputs!$B$26))/(1+17/Inputs!$B$26+(17/Inputs!$B$26)^2/2*2/(2-17/Inputs!$B$26))/(2*Inputs!$B$26-17),99)</f>
        <v>-0.125628425628426</v>
      </c>
      <c r="C17" s="39" t="str">
        <f aca="false">IF(B17&lt;0,"OK","CHECK")</f>
        <v>OK</v>
      </c>
      <c r="D17" s="54" t="s">
        <v>1023</v>
      </c>
    </row>
    <row r="18" customFormat="false" ht="15" hidden="false" customHeight="false" outlineLevel="0" collapsed="false">
      <c r="A18" s="13" t="s">
        <v>1024</v>
      </c>
      <c r="B18" s="45" t="n">
        <f aca="false">'S15 Queuing'!$H$53</f>
        <v>0.713525311190771</v>
      </c>
      <c r="C18" s="39" t="str">
        <f aca="false">IF(B18&lt;1,"OK","CHECK")</f>
        <v>OK</v>
      </c>
      <c r="D18" s="54" t="s">
        <v>1025</v>
      </c>
    </row>
    <row r="19" customFormat="false" ht="15" hidden="false" customHeight="false" outlineLevel="0" collapsed="false">
      <c r="A19" s="13" t="s">
        <v>1026</v>
      </c>
      <c r="B19" s="45" t="n">
        <f aca="false">Inputs!$B$90</f>
        <v>28.625</v>
      </c>
      <c r="C19" s="39" t="str">
        <f aca="false">IF(AND(B19&gt;=Inputs!$B$16-1,B19&lt;=Inputs!$B$17),"OK","CHECK")</f>
        <v>OK</v>
      </c>
      <c r="D19" s="54" t="s">
        <v>1027</v>
      </c>
    </row>
    <row r="20" customFormat="false" ht="15" hidden="false" customHeight="false" outlineLevel="0" collapsed="false">
      <c r="A20" s="13" t="s">
        <v>1028</v>
      </c>
      <c r="B20" s="51" t="n">
        <v>28.8</v>
      </c>
      <c r="C20" s="39" t="str">
        <f aca="false">IF(AND(B20&gt;=Inputs!$B$16-1,B20&lt;=Inputs!$B$17),"OK","CHECK")</f>
        <v>OK</v>
      </c>
      <c r="D20" s="54" t="s">
        <v>1029</v>
      </c>
    </row>
    <row r="21" customFormat="false" ht="15" hidden="false" customHeight="false" outlineLevel="0" collapsed="false">
      <c r="A21" s="13" t="s">
        <v>1030</v>
      </c>
      <c r="B21" s="51" t="n">
        <v>34.6</v>
      </c>
      <c r="C21" s="39" t="str">
        <f aca="false">IF(AND(B21&gt;=Inputs!$B$16,B21&lt;=Inputs!$B$17+3),"OK","CHECK")</f>
        <v>OK</v>
      </c>
      <c r="D21" s="54" t="s">
        <v>1031</v>
      </c>
    </row>
    <row r="22" customFormat="false" ht="15" hidden="false" customHeight="false" outlineLevel="0" collapsed="false">
      <c r="A22" s="13" t="s">
        <v>1032</v>
      </c>
      <c r="B22" s="45" t="n">
        <f aca="false">Reconciliation!$B$12</f>
        <v>0.200531543747394</v>
      </c>
      <c r="C22" s="39" t="str">
        <f aca="false">IF(ABS(B22)&lt;=0.15*Reconciliation!$B$6,"OK","CHECK")</f>
        <v>OK</v>
      </c>
      <c r="D22" s="54" t="s">
        <v>1033</v>
      </c>
    </row>
    <row r="23" customFormat="false" ht="15" hidden="false" customHeight="false" outlineLevel="0" collapsed="false">
      <c r="A23" s="13" t="s">
        <v>1034</v>
      </c>
      <c r="B23" s="45" t="n">
        <f aca="false">SUMPRODUCT(--ISERROR('S7 Payoff Matrix'!$A$6:$J$42))</f>
        <v>0</v>
      </c>
      <c r="C23" s="39" t="str">
        <f aca="false">IF(B23=0,"OK","CHECK")</f>
        <v>OK</v>
      </c>
      <c r="D23" s="54"/>
    </row>
    <row r="24" customFormat="false" ht="15" hidden="false" customHeight="false" outlineLevel="0" collapsed="false">
      <c r="A24" s="13" t="s">
        <v>1035</v>
      </c>
      <c r="B24" s="45" t="n">
        <f aca="false">SUMPRODUCT(--ISERROR('Arrival Curve'!$A$3:$N$40))</f>
        <v>0</v>
      </c>
      <c r="C24" s="39" t="str">
        <f aca="false">IF(B24=0,"OK","CHECK")</f>
        <v>OK</v>
      </c>
      <c r="D24" s="54"/>
    </row>
    <row r="25" customFormat="false" ht="15" hidden="false" customHeight="false" outlineLevel="0" collapsed="false">
      <c r="A25" s="13" t="s">
        <v>1036</v>
      </c>
      <c r="B25" s="45" t="n">
        <f aca="false">'Arrival Curve'!$B$14-Inputs!$B$6</f>
        <v>0</v>
      </c>
      <c r="C25" s="39" t="str">
        <f aca="false">IF(ABS(B25)&lt;0.5,"OK","CHECK")</f>
        <v>OK</v>
      </c>
      <c r="D25" s="54" t="s">
        <v>1037</v>
      </c>
    </row>
    <row r="27" customFormat="false" ht="15" hidden="false" customHeight="false" outlineLevel="0" collapsed="false">
      <c r="A27" s="4" t="s">
        <v>1038</v>
      </c>
      <c r="C27" s="39" t="str">
        <f aca="false">IF(COUNTIF(C5:C25,"OK")=21,"ALL OK","CHECK")</f>
        <v>ALL 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2026-10-26T17:31:34Z</dcterms:created>
  <dc:creator>openpyxl</dc:creator>
  <dc:description/>
  <dc:language>en-US</dc:language>
  <cp:lastModifiedBy/>
  <dcterms:modified xsi:type="dcterms:W3CDTF">2026-10-26T17:31:38Z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