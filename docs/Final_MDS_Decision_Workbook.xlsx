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drawings/drawing1.xml" ContentType="application/vnd.openxmlformats-officedocument.drawing+xml"/>
  <Override PartName="/xl/worksheets/sheet7.xml" ContentType="application/vnd.openxmlformats-officedocument.spreadsheetml.worksheet+xml"/>
  <Override PartName="/xl/drawings/drawing2.xml" ContentType="application/vnd.openxmlformats-officedocument.drawing+xml"/>
  <Override PartName="/xl/worksheets/sheet8.xml" ContentType="application/vnd.openxmlformats-officedocument.spreadsheetml.worksheet+xml"/>
  <Override PartName="/xl/drawings/drawing3.xml" ContentType="application/vnd.openxmlformats-officedocument.drawing+xml"/>
  <Override PartName="/xl/worksheets/sheet9.xml" ContentType="application/vnd.openxmlformats-officedocument.spreadsheetml.worksheet+xml"/>
  <Override PartName="/xl/worksheets/sheet10.xml" ContentType="application/vnd.openxmlformats-officedocument.spreadsheetml.worksheet+xml"/>
  <Override PartName="/xl/drawings/drawing4.xml" ContentType="application/vnd.openxmlformats-officedocument.drawing+xml"/>
  <Override PartName="/xl/comments/comment1.xml" ContentType="application/vnd.openxmlformats-officedocument.spreadsheetml.comments+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drawings/drawing5.xml" ContentType="application/vnd.openxmlformats-officedocument.drawing+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tart Here" sheetId="1" state="visible" r:id="rId1"/>
    <sheet xmlns:r="http://schemas.openxmlformats.org/officeDocument/2006/relationships" name="Inputs" sheetId="2" state="visible" r:id="rId2"/>
    <sheet xmlns:r="http://schemas.openxmlformats.org/officeDocument/2006/relationships" name="S2-3 Problem &amp; Root Cause" sheetId="3" state="visible" r:id="rId3"/>
    <sheet xmlns:r="http://schemas.openxmlformats.org/officeDocument/2006/relationships" name="S4 Biases &amp; Ethics" sheetId="4" state="visible" r:id="rId4"/>
    <sheet xmlns:r="http://schemas.openxmlformats.org/officeDocument/2006/relationships" name="S5-6 Priority Matrix" sheetId="5" state="visible" r:id="rId5"/>
    <sheet xmlns:r="http://schemas.openxmlformats.org/officeDocument/2006/relationships" name="Arrival Curve" sheetId="6" state="visible" r:id="rId6"/>
    <sheet xmlns:r="http://schemas.openxmlformats.org/officeDocument/2006/relationships" name="S15 Queuing" sheetId="7" state="visible" r:id="rId7"/>
    <sheet xmlns:r="http://schemas.openxmlformats.org/officeDocument/2006/relationships" name="LP Student Flow" sheetId="8" state="visible" r:id="rId8"/>
    <sheet xmlns:r="http://schemas.openxmlformats.org/officeDocument/2006/relationships" name="LP Food Allocation" sheetId="9" state="visible" r:id="rId9"/>
    <sheet xmlns:r="http://schemas.openxmlformats.org/officeDocument/2006/relationships" name="S7 Payoff Matrix" sheetId="10" state="visible" r:id="rId10"/>
    <sheet xmlns:r="http://schemas.openxmlformats.org/officeDocument/2006/relationships" name="S18 Heuristics" sheetId="11" state="visible" r:id="rId11"/>
    <sheet xmlns:r="http://schemas.openxmlformats.org/officeDocument/2006/relationships" name="Decision Rule" sheetId="12" state="visible" r:id="rId12"/>
    <sheet xmlns:r="http://schemas.openxmlformats.org/officeDocument/2006/relationships" name="Scenarios" sheetId="13" state="visible" r:id="rId13"/>
    <sheet xmlns:r="http://schemas.openxmlformats.org/officeDocument/2006/relationships" name="Reconciliation" sheetId="14" state="visible" r:id="rId14"/>
    <sheet xmlns:r="http://schemas.openxmlformats.org/officeDocument/2006/relationships" name="Simulation Method" sheetId="15" state="visible" r:id="rId15"/>
    <sheet xmlns:r="http://schemas.openxmlformats.org/officeDocument/2006/relationships" name="Data Collection" sheetId="16" state="visible" r:id="rId16"/>
    <sheet xmlns:r="http://schemas.openxmlformats.org/officeDocument/2006/relationships" name="Checks" sheetId="17" state="visible" r:id="rId17"/>
  </sheets>
  <definedNames/>
  <calcPr calcId="124519" fullCalcOnLoad="1"/>
</workbook>
</file>

<file path=xl/styles.xml><?xml version="1.0" encoding="utf-8"?>
<styleSheet xmlns="http://schemas.openxmlformats.org/spreadsheetml/2006/main">
  <numFmts count="9">
    <numFmt numFmtId="164" formatCode="0.0"/>
    <numFmt numFmtId="165" formatCode="0.0%"/>
    <numFmt numFmtId="166" formatCode="hh:mm"/>
    <numFmt numFmtId="167" formatCode="0.000"/>
    <numFmt numFmtId="168" formatCode="0.0;-0.0;0.0"/>
    <numFmt numFmtId="169" formatCode="+0.00;-0.00"/>
    <numFmt numFmtId="170" formatCode="0% &quot;shorter&quot;"/>
    <numFmt numFmtId="171" formatCode="+0.0;-0.0"/>
    <numFmt numFmtId="172" formatCode="+0%;-0%"/>
  </numFmts>
  <fonts count="11">
    <font>
      <name val="Calibri"/>
      <family val="2"/>
      <color theme="1"/>
      <sz val="11"/>
      <scheme val="minor"/>
    </font>
    <font>
      <name val="Arial"/>
      <b val="1"/>
      <color rgb="00FFFFFF"/>
      <sz val="14"/>
    </font>
    <font>
      <name val="Arial"/>
      <i val="1"/>
      <color rgb="00595959"/>
      <sz val="10"/>
    </font>
    <font>
      <name val="Arial"/>
      <b val="1"/>
      <color rgb="00000000"/>
      <sz val="10"/>
    </font>
    <font>
      <name val="Arial"/>
      <b val="1"/>
      <color rgb="001F3A5F"/>
      <sz val="10"/>
    </font>
    <font>
      <name val="Arial"/>
      <color rgb="00000000"/>
      <sz val="10"/>
    </font>
    <font>
      <name val="Arial"/>
      <color rgb="000000FF"/>
      <sz val="10"/>
    </font>
    <font>
      <name val="Arial"/>
      <i val="1"/>
      <color rgb="00595959"/>
      <sz val="9"/>
    </font>
    <font>
      <name val="Arial"/>
      <color rgb="00008000"/>
      <sz val="10"/>
    </font>
    <font>
      <name val="Arial"/>
      <b val="1"/>
      <color rgb="00000000"/>
      <sz val="14"/>
    </font>
    <font>
      <name val="Arial"/>
      <color rgb="000563C1"/>
      <sz val="10"/>
      <u val="single"/>
    </font>
  </fonts>
  <fills count="6">
    <fill>
      <patternFill/>
    </fill>
    <fill>
      <patternFill patternType="gray125"/>
    </fill>
    <fill>
      <patternFill patternType="solid">
        <fgColor rgb="001F3A5F"/>
      </patternFill>
    </fill>
    <fill>
      <patternFill patternType="solid">
        <fgColor rgb="00E7E6E1"/>
      </patternFill>
    </fill>
    <fill>
      <patternFill patternType="solid">
        <fgColor rgb="00FFFF00"/>
      </patternFill>
    </fill>
    <fill>
      <patternFill patternType="solid">
        <fgColor rgb="00E8F3E8"/>
      </patternFill>
    </fill>
  </fills>
  <borders count="6">
    <border>
      <left/>
      <right/>
      <top/>
      <bottom/>
      <diagonal/>
    </border>
    <border>
      <left style="thin">
        <color rgb="00C9C8C3"/>
      </left>
      <right style="thin">
        <color rgb="00C9C8C3"/>
      </right>
      <top style="thin">
        <color rgb="00C9C8C3"/>
      </top>
      <bottom style="thin">
        <color rgb="00C9C8C3"/>
      </bottom>
    </border>
    <border>
      <left/>
      <right/>
      <top style="thin">
        <color rgb="00C9C8C3"/>
      </top>
      <bottom/>
      <diagonal/>
    </border>
    <border>
      <left/>
      <right style="thin">
        <color rgb="00C9C8C3"/>
      </right>
      <top style="thin">
        <color rgb="00C9C8C3"/>
      </top>
      <bottom/>
      <diagonal/>
    </border>
    <border>
      <left/>
      <right/>
      <top style="thin">
        <color rgb="00C9C8C3"/>
      </top>
      <bottom style="thin">
        <color rgb="00C9C8C3"/>
      </bottom>
      <diagonal/>
    </border>
    <border>
      <left/>
      <right style="thin">
        <color rgb="00C9C8C3"/>
      </right>
      <top style="thin">
        <color rgb="00C9C8C3"/>
      </top>
      <bottom style="thin">
        <color rgb="00C9C8C3"/>
      </bottom>
      <diagonal/>
    </border>
  </borders>
  <cellStyleXfs count="1">
    <xf numFmtId="0" fontId="0" fillId="0" borderId="0"/>
  </cellStyleXfs>
  <cellXfs count="61">
    <xf numFmtId="0" fontId="0" fillId="0" borderId="0" pivotButton="0" quotePrefix="0" xfId="0"/>
    <xf numFmtId="0" fontId="1" fillId="2" borderId="0" pivotButton="0" quotePrefix="0" xfId="0"/>
    <xf numFmtId="0" fontId="0" fillId="2" borderId="0" pivotButton="0" quotePrefix="0" xfId="0"/>
    <xf numFmtId="0" fontId="7" fillId="0" borderId="0" applyAlignment="1" pivotButton="0" quotePrefix="0" xfId="0">
      <alignment vertical="top" wrapText="1"/>
    </xf>
    <xf numFmtId="0" fontId="3" fillId="0" borderId="0" pivotButton="0" quotePrefix="0" xfId="0"/>
    <xf numFmtId="0" fontId="5" fillId="0" borderId="0" pivotButton="0" quotePrefix="0" xfId="0"/>
    <xf numFmtId="0" fontId="8" fillId="5" borderId="1" pivotButton="0" quotePrefix="0" xfId="0"/>
    <xf numFmtId="0" fontId="3" fillId="3" borderId="1" applyAlignment="1" pivotButton="0" quotePrefix="0" xfId="0">
      <alignment horizontal="center" vertical="center" wrapText="1"/>
    </xf>
    <xf numFmtId="0" fontId="5" fillId="0" borderId="1" pivotButton="0" quotePrefix="0" xfId="0"/>
    <xf numFmtId="0" fontId="5" fillId="0" borderId="1" applyAlignment="1" pivotButton="0" quotePrefix="0" xfId="0">
      <alignment vertical="top" wrapText="1"/>
    </xf>
    <xf numFmtId="0" fontId="10" fillId="0" borderId="1" pivotButton="0" quotePrefix="0" xfId="0"/>
    <xf numFmtId="0" fontId="2" fillId="0" borderId="0" pivotButton="0" quotePrefix="0" xfId="0"/>
    <xf numFmtId="0" fontId="4" fillId="0" borderId="0" pivotButton="0" quotePrefix="0" xfId="0"/>
    <xf numFmtId="3" fontId="6" fillId="0" borderId="1" pivotButton="0" quotePrefix="0" xfId="0"/>
    <xf numFmtId="0" fontId="5" fillId="0" borderId="0" applyAlignment="1" pivotButton="0" quotePrefix="0" xfId="0">
      <alignment vertical="top" wrapText="1"/>
    </xf>
    <xf numFmtId="49" fontId="6" fillId="0" borderId="1" pivotButton="0" quotePrefix="0" xfId="0"/>
    <xf numFmtId="1" fontId="6" fillId="0" borderId="1" pivotButton="0" quotePrefix="0" xfId="0"/>
    <xf numFmtId="1" fontId="6" fillId="4" borderId="1" pivotButton="0" quotePrefix="0" xfId="0"/>
    <xf numFmtId="164" fontId="6" fillId="4" borderId="1" pivotButton="0" quotePrefix="0" xfId="0"/>
    <xf numFmtId="165" fontId="6" fillId="0" borderId="1" pivotButton="0" quotePrefix="0" xfId="0"/>
    <xf numFmtId="9" fontId="6" fillId="4" borderId="1" pivotButton="0" quotePrefix="0" xfId="0"/>
    <xf numFmtId="3" fontId="6" fillId="4" borderId="1" pivotButton="0" quotePrefix="0" xfId="0"/>
    <xf numFmtId="166" fontId="6" fillId="0" borderId="1" pivotButton="0" quotePrefix="0" xfId="0"/>
    <xf numFmtId="166" fontId="6" fillId="4" borderId="1" pivotButton="0" quotePrefix="0" xfId="0"/>
    <xf numFmtId="9" fontId="6" fillId="0" borderId="1" pivotButton="0" quotePrefix="0" xfId="0"/>
    <xf numFmtId="164" fontId="6" fillId="0" borderId="1" pivotButton="0" quotePrefix="0" xfId="0"/>
    <xf numFmtId="164" fontId="5" fillId="0" borderId="1" pivotButton="0" quotePrefix="0" xfId="0"/>
    <xf numFmtId="2" fontId="5" fillId="0" borderId="1" pivotButton="0" quotePrefix="0" xfId="0"/>
    <xf numFmtId="0" fontId="6" fillId="0" borderId="1" pivotButton="0" quotePrefix="0" xfId="0"/>
    <xf numFmtId="9" fontId="5" fillId="0" borderId="1" pivotButton="0" quotePrefix="0" xfId="0"/>
    <xf numFmtId="1" fontId="5" fillId="0" borderId="1" pivotButton="0" quotePrefix="0" xfId="0"/>
    <xf numFmtId="167" fontId="8" fillId="0" borderId="1" pivotButton="0" quotePrefix="0" xfId="0"/>
    <xf numFmtId="1" fontId="8" fillId="0" borderId="1" pivotButton="0" quotePrefix="0" xfId="0"/>
    <xf numFmtId="3" fontId="5" fillId="0" borderId="1" pivotButton="0" quotePrefix="0" xfId="0"/>
    <xf numFmtId="1" fontId="5" fillId="0" borderId="0" pivotButton="0" quotePrefix="0" xfId="0"/>
    <xf numFmtId="1" fontId="5" fillId="5" borderId="1" pivotButton="0" quotePrefix="0" xfId="0"/>
    <xf numFmtId="165" fontId="5" fillId="0" borderId="1" pivotButton="0" quotePrefix="0" xfId="0"/>
    <xf numFmtId="0" fontId="5" fillId="5" borderId="1" pivotButton="0" quotePrefix="0" xfId="0"/>
    <xf numFmtId="167" fontId="5" fillId="0" borderId="1" pivotButton="0" quotePrefix="0" xfId="0"/>
    <xf numFmtId="165" fontId="8" fillId="0" borderId="1" pivotButton="0" quotePrefix="0" xfId="0"/>
    <xf numFmtId="164" fontId="8" fillId="0" borderId="1" pivotButton="0" quotePrefix="0" xfId="0"/>
    <xf numFmtId="9" fontId="8" fillId="0" borderId="1" pivotButton="0" quotePrefix="0" xfId="0"/>
    <xf numFmtId="2" fontId="8" fillId="0" borderId="1" pivotButton="0" quotePrefix="0" xfId="0"/>
    <xf numFmtId="2" fontId="5" fillId="5" borderId="1" pivotButton="0" quotePrefix="0" xfId="0"/>
    <xf numFmtId="164" fontId="5" fillId="5" borderId="1" pivotButton="0" quotePrefix="0" xfId="0"/>
    <xf numFmtId="3" fontId="8" fillId="0" borderId="1" pivotButton="0" quotePrefix="0" xfId="0"/>
    <xf numFmtId="168" fontId="5" fillId="0" borderId="1" pivotButton="0" quotePrefix="0" xfId="0"/>
    <xf numFmtId="3" fontId="5" fillId="5" borderId="1" pivotButton="0" quotePrefix="0" xfId="0"/>
    <xf numFmtId="2" fontId="6" fillId="0" borderId="1" pivotButton="0" quotePrefix="0" xfId="0"/>
    <xf numFmtId="3" fontId="5" fillId="4" borderId="1" pivotButton="0" quotePrefix="0" xfId="0"/>
    <xf numFmtId="0" fontId="5" fillId="5" borderId="1" applyAlignment="1" pivotButton="0" quotePrefix="0" xfId="0">
      <alignment vertical="top" wrapText="1"/>
    </xf>
    <xf numFmtId="0" fontId="0" fillId="0" borderId="4" pivotButton="0" quotePrefix="0" xfId="0"/>
    <xf numFmtId="0" fontId="0" fillId="0" borderId="5" pivotButton="0" quotePrefix="0" xfId="0"/>
    <xf numFmtId="169" fontId="5" fillId="0" borderId="1" pivotButton="0" quotePrefix="0" xfId="0"/>
    <xf numFmtId="170" fontId="5" fillId="0" borderId="1" pivotButton="0" quotePrefix="0" xfId="0"/>
    <xf numFmtId="171" fontId="5" fillId="0" borderId="1" pivotButton="0" quotePrefix="0" xfId="0"/>
    <xf numFmtId="164" fontId="5" fillId="0" borderId="0" pivotButton="0" quotePrefix="0" xfId="0"/>
    <xf numFmtId="164" fontId="7" fillId="0" borderId="0" applyAlignment="1" pivotButton="0" quotePrefix="0" xfId="0">
      <alignment vertical="top" wrapText="1"/>
    </xf>
    <xf numFmtId="9" fontId="5" fillId="5" borderId="1" pivotButton="0" quotePrefix="0" xfId="0"/>
    <xf numFmtId="169" fontId="5" fillId="5" borderId="1" pivotButton="0" quotePrefix="0" xfId="0"/>
    <xf numFmtId="172" fontId="5" fillId="5"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styles" Target="styles.xml" Id="rId18"/><Relationship Type="http://schemas.openxmlformats.org/officeDocument/2006/relationships/theme" Target="theme/theme1.xml" Id="rId19"/></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Arrivals per 10 minutes, by department</a:t>
            </a:r>
          </a:p>
        </rich>
      </tx>
    </title>
    <plotArea>
      <barChart>
        <barDir val="col"/>
        <grouping val="stacked"/>
        <ser>
          <idx val="0"/>
          <order val="0"/>
          <tx>
            <strRef>
              <f>'Arrival Curve'!C18</f>
            </strRef>
          </tx>
          <spPr>
            <a:ln xmlns:a="http://schemas.openxmlformats.org/drawingml/2006/main">
              <a:prstDash val="solid"/>
            </a:ln>
          </spPr>
          <cat>
            <numRef>
              <f>'Arrival Curve'!$A$19:$A$36</f>
            </numRef>
          </cat>
          <val>
            <numRef>
              <f>'Arrival Curve'!$C$19:$C$36</f>
            </numRef>
          </val>
        </ser>
        <ser>
          <idx val="1"/>
          <order val="1"/>
          <tx>
            <strRef>
              <f>'Arrival Curve'!D18</f>
            </strRef>
          </tx>
          <spPr>
            <a:ln xmlns:a="http://schemas.openxmlformats.org/drawingml/2006/main">
              <a:prstDash val="solid"/>
            </a:ln>
          </spPr>
          <cat>
            <numRef>
              <f>'Arrival Curve'!$A$19:$A$36</f>
            </numRef>
          </cat>
          <val>
            <numRef>
              <f>'Arrival Curve'!$D$19:$D$36</f>
            </numRef>
          </val>
        </ser>
        <ser>
          <idx val="2"/>
          <order val="2"/>
          <tx>
            <strRef>
              <f>'Arrival Curve'!E18</f>
            </strRef>
          </tx>
          <spPr>
            <a:ln xmlns:a="http://schemas.openxmlformats.org/drawingml/2006/main">
              <a:prstDash val="solid"/>
            </a:ln>
          </spPr>
          <cat>
            <numRef>
              <f>'Arrival Curve'!$A$19:$A$36</f>
            </numRef>
          </cat>
          <val>
            <numRef>
              <f>'Arrival Curve'!$E$19:$E$36</f>
            </numRef>
          </val>
        </ser>
        <ser>
          <idx val="3"/>
          <order val="3"/>
          <tx>
            <strRef>
              <f>'Arrival Curve'!F18</f>
            </strRef>
          </tx>
          <spPr>
            <a:ln xmlns:a="http://schemas.openxmlformats.org/drawingml/2006/main">
              <a:prstDash val="solid"/>
            </a:ln>
          </spPr>
          <cat>
            <numRef>
              <f>'Arrival Curve'!$A$19:$A$36</f>
            </numRef>
          </cat>
          <val>
            <numRef>
              <f>'Arrival Curve'!$F$19:$F$36</f>
            </numRef>
          </val>
        </ser>
        <ser>
          <idx val="4"/>
          <order val="4"/>
          <tx>
            <strRef>
              <f>'Arrival Curve'!G18</f>
            </strRef>
          </tx>
          <spPr>
            <a:ln xmlns:a="http://schemas.openxmlformats.org/drawingml/2006/main">
              <a:prstDash val="solid"/>
            </a:ln>
          </spPr>
          <cat>
            <numRef>
              <f>'Arrival Curve'!$A$19:$A$36</f>
            </numRef>
          </cat>
          <val>
            <numRef>
              <f>'Arrival Curve'!$G$19:$G$36</f>
            </numRef>
          </val>
        </ser>
        <ser>
          <idx val="5"/>
          <order val="5"/>
          <tx>
            <strRef>
              <f>'Arrival Curve'!H18</f>
            </strRef>
          </tx>
          <spPr>
            <a:ln xmlns:a="http://schemas.openxmlformats.org/drawingml/2006/main">
              <a:prstDash val="solid"/>
            </a:ln>
          </spPr>
          <cat>
            <numRef>
              <f>'Arrival Curve'!$A$19:$A$36</f>
            </numRef>
          </cat>
          <val>
            <numRef>
              <f>'Arrival Curve'!$H$19:$H$36</f>
            </numRef>
          </val>
        </ser>
        <ser>
          <idx val="6"/>
          <order val="6"/>
          <tx>
            <strRef>
              <f>'Arrival Curve'!I18</f>
            </strRef>
          </tx>
          <spPr>
            <a:ln xmlns:a="http://schemas.openxmlformats.org/drawingml/2006/main">
              <a:prstDash val="solid"/>
            </a:ln>
          </spPr>
          <cat>
            <numRef>
              <f>'Arrival Curve'!$A$19:$A$36</f>
            </numRef>
          </cat>
          <val>
            <numRef>
              <f>'Arrival Curve'!$I$19:$I$36</f>
            </numRef>
          </val>
        </ser>
        <ser>
          <idx val="7"/>
          <order val="7"/>
          <tx>
            <strRef>
              <f>'Arrival Curve'!J18</f>
            </strRef>
          </tx>
          <spPr>
            <a:ln xmlns:a="http://schemas.openxmlformats.org/drawingml/2006/main">
              <a:prstDash val="solid"/>
            </a:ln>
          </spPr>
          <cat>
            <numRef>
              <f>'Arrival Curve'!$A$19:$A$36</f>
            </numRef>
          </cat>
          <val>
            <numRef>
              <f>'Arrival Curve'!$J$19:$J$36</f>
            </numRef>
          </val>
        </ser>
        <gapWidth val="150"/>
        <overlap val="10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Students</a:t>
                </a:r>
              </a:p>
            </rich>
          </tx>
        </title>
        <majorTickMark val="none"/>
        <minorTickMark val="none"/>
        <crossAx val="10"/>
      </valAx>
    </plotArea>
    <legend>
      <legendPos val="r"/>
    </legend>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Average wait vs utilisation (M/M/1)</a:t>
            </a:r>
          </a:p>
        </rich>
      </tx>
    </title>
    <plotArea>
      <lineChart>
        <grouping val="standard"/>
        <ser>
          <idx val="0"/>
          <order val="0"/>
          <tx>
            <strRef>
              <f>'S15 Queuing'!L6</f>
            </strRef>
          </tx>
          <spPr>
            <a:ln xmlns:a="http://schemas.openxmlformats.org/drawingml/2006/main">
              <a:prstDash val="solid"/>
            </a:ln>
          </spPr>
          <marker>
            <symbol val="none"/>
            <spPr>
              <a:ln xmlns:a="http://schemas.openxmlformats.org/drawingml/2006/main">
                <a:prstDash val="solid"/>
              </a:ln>
            </spPr>
          </marker>
          <cat>
            <numRef>
              <f>'S15 Queuing'!$J$7:$J$18</f>
            </numRef>
          </cat>
          <val>
            <numRef>
              <f>'S15 Queuing'!$L$7:$L$18</f>
            </numRef>
          </val>
        </ser>
        <axId val="10"/>
        <axId val="100"/>
      </lineChart>
      <catAx>
        <axId val="10"/>
        <scaling>
          <orientation val="minMax"/>
        </scaling>
        <axPos val="l"/>
        <title>
          <tx>
            <rich>
              <a:bodyPr xmlns:a="http://schemas.openxmlformats.org/drawingml/2006/main"/>
              <a:p xmlns:a="http://schemas.openxmlformats.org/drawingml/2006/main">
                <a:pPr>
                  <a:defRPr/>
                </a:pPr>
                <a:r>
                  <a:t>Utilisation ρ</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Wq (minutes)</a:t>
                </a:r>
              </a:p>
            </rich>
          </tx>
        </title>
        <majorTickMark val="none"/>
        <minorTickMark val="none"/>
        <crossAx val="10"/>
      </valAx>
    </plotArea>
    <plotVisOnly val="1"/>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Queue wait per 10-min slot</a:t>
            </a:r>
          </a:p>
        </rich>
      </tx>
    </title>
    <plotArea>
      <lineChart>
        <grouping val="standard"/>
        <ser>
          <idx val="0"/>
          <order val="0"/>
          <tx>
            <v>Central, without</v>
          </tx>
          <spPr>
            <a:ln xmlns:a="http://schemas.openxmlformats.org/drawingml/2006/main">
              <a:prstDash val="solid"/>
            </a:ln>
          </spPr>
          <marker>
            <symbol val="none"/>
            <spPr>
              <a:ln xmlns:a="http://schemas.openxmlformats.org/drawingml/2006/main">
                <a:prstDash val="solid"/>
              </a:ln>
            </spPr>
          </marker>
          <cat>
            <numRef>
              <f>'S15 Queuing'!$A$30:$A$47</f>
            </numRef>
          </cat>
          <val>
            <numRef>
              <f>'S15 Queuing'!$K$30:$K$47</f>
            </numRef>
          </val>
        </ser>
        <ser>
          <idx val="1"/>
          <order val="1"/>
          <tx>
            <v>Central, with</v>
          </tx>
          <spPr>
            <a:ln xmlns:a="http://schemas.openxmlformats.org/drawingml/2006/main">
              <a:prstDash val="solid"/>
            </a:ln>
          </spPr>
          <marker>
            <symbol val="none"/>
            <spPr>
              <a:ln xmlns:a="http://schemas.openxmlformats.org/drawingml/2006/main">
                <a:prstDash val="solid"/>
              </a:ln>
            </spPr>
          </marker>
          <cat>
            <numRef>
              <f>'S15 Queuing'!$A$30:$A$47</f>
            </numRef>
          </cat>
          <val>
            <numRef>
              <f>'S15 Queuing'!$AC$30:$AC$47</f>
            </numRef>
          </val>
        </ser>
        <ser>
          <idx val="2"/>
          <order val="2"/>
          <tx>
            <v>Munch, without</v>
          </tx>
          <spPr>
            <a:ln xmlns:a="http://schemas.openxmlformats.org/drawingml/2006/main">
              <a:prstDash val="solid"/>
            </a:ln>
          </spPr>
          <marker>
            <symbol val="none"/>
            <spPr>
              <a:ln xmlns:a="http://schemas.openxmlformats.org/drawingml/2006/main">
                <a:prstDash val="solid"/>
              </a:ln>
            </spPr>
          </marker>
          <cat>
            <numRef>
              <f>'S15 Queuing'!$A$30:$A$47</f>
            </numRef>
          </cat>
          <val>
            <numRef>
              <f>'S15 Queuing'!$T$30:$T$47</f>
            </numRef>
          </val>
        </ser>
        <ser>
          <idx val="3"/>
          <order val="3"/>
          <tx>
            <v>Munch, with</v>
          </tx>
          <spPr>
            <a:ln xmlns:a="http://schemas.openxmlformats.org/drawingml/2006/main">
              <a:prstDash val="solid"/>
            </a:ln>
          </spPr>
          <marker>
            <symbol val="none"/>
            <spPr>
              <a:ln xmlns:a="http://schemas.openxmlformats.org/drawingml/2006/main">
                <a:prstDash val="solid"/>
              </a:ln>
            </spPr>
          </marker>
          <cat>
            <numRef>
              <f>'S15 Queuing'!$A$30:$A$47</f>
            </numRef>
          </cat>
          <val>
            <numRef>
              <f>'S15 Queuing'!$AL$30:$AL$47</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Minutes</a:t>
                </a:r>
              </a:p>
            </rich>
          </tx>
        </title>
        <majorTickMark val="none"/>
        <minorTickMark val="none"/>
        <crossAx val="10"/>
      </valAx>
    </plotArea>
    <legend>
      <legendPos val="r"/>
    </legend>
    <plotVisOnly val="1"/>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Queue at Central: today vs LP optimum</a:t>
            </a:r>
          </a:p>
        </rich>
      </tx>
    </title>
    <plotArea>
      <lineChart>
        <grouping val="standard"/>
        <ser>
          <idx val="0"/>
          <order val="0"/>
          <tx>
            <strRef>
              <f>'LP Student Flow'!K19</f>
            </strRef>
          </tx>
          <spPr>
            <a:ln xmlns:a="http://schemas.openxmlformats.org/drawingml/2006/main">
              <a:prstDash val="solid"/>
            </a:ln>
          </spPr>
          <marker>
            <symbol val="none"/>
            <spPr>
              <a:ln xmlns:a="http://schemas.openxmlformats.org/drawingml/2006/main">
                <a:prstDash val="solid"/>
              </a:ln>
            </spPr>
          </marker>
          <cat>
            <numRef>
              <f>'LP Student Flow'!$A$20:$A$37</f>
            </numRef>
          </cat>
          <val>
            <numRef>
              <f>'LP Student Flow'!$K$20:$K$37</f>
            </numRef>
          </val>
        </ser>
        <ser>
          <idx val="1"/>
          <order val="1"/>
          <tx>
            <strRef>
              <f>'LP Student Flow'!G19</f>
            </strRef>
          </tx>
          <spPr>
            <a:ln xmlns:a="http://schemas.openxmlformats.org/drawingml/2006/main">
              <a:prstDash val="solid"/>
            </a:ln>
          </spPr>
          <marker>
            <symbol val="none"/>
            <spPr>
              <a:ln xmlns:a="http://schemas.openxmlformats.org/drawingml/2006/main">
                <a:prstDash val="solid"/>
              </a:ln>
            </spPr>
          </marker>
          <cat>
            <numRef>
              <f>'LP Student Flow'!$A$20:$A$37</f>
            </numRef>
          </cat>
          <val>
            <numRef>
              <f>'LP Student Flow'!$G$20:$G$37</f>
            </numRef>
          </val>
        </ser>
        <ser>
          <idx val="2"/>
          <order val="2"/>
          <tx>
            <strRef>
              <f>'LP Student Flow'!F19</f>
            </strRef>
          </tx>
          <spPr>
            <a:ln xmlns:a="http://schemas.openxmlformats.org/drawingml/2006/main">
              <a:prstDash val="solid"/>
            </a:ln>
          </spPr>
          <marker>
            <symbol val="none"/>
            <spPr>
              <a:ln xmlns:a="http://schemas.openxmlformats.org/drawingml/2006/main">
                <a:prstDash val="solid"/>
              </a:ln>
            </spPr>
          </marker>
          <cat>
            <numRef>
              <f>'LP Student Flow'!$A$20:$A$37</f>
            </numRef>
          </cat>
          <val>
            <numRef>
              <f>'LP Student Flow'!$F$20:$F$37</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Students queueing</a:t>
                </a:r>
              </a:p>
            </rich>
          </tx>
        </title>
        <majorTickMark val="none"/>
        <minorTickMark val="none"/>
        <crossAx val="10"/>
      </valAx>
    </plotArea>
    <legend>
      <legendPos val="r"/>
    </legend>
    <plotVisOnly val="1"/>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Expected minutes saved per student (EMV)</a:t>
            </a:r>
          </a:p>
        </rich>
      </tx>
    </title>
    <plotArea>
      <barChart>
        <barDir val="col"/>
        <grouping val="clustered"/>
        <ser>
          <idx val="0"/>
          <order val="0"/>
          <tx>
            <strRef>
              <f>'S7 Payoff Matrix'!I18</f>
            </strRef>
          </tx>
          <spPr>
            <a:ln xmlns:a="http://schemas.openxmlformats.org/drawingml/2006/main">
              <a:prstDash val="solid"/>
            </a:ln>
          </spPr>
          <cat>
            <numRef>
              <f>'S7 Payoff Matrix'!$A$19:$A$23</f>
            </numRef>
          </cat>
          <val>
            <numRef>
              <f>'S7 Payoff Matrix'!$I$19:$I$23</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charts/chart6.xml><?xml version="1.0" encoding="utf-8"?>
<chartSpace xmlns="http://schemas.openxmlformats.org/drawingml/2006/chart">
  <chart>
    <title>
      <tx>
        <rich>
          <a:bodyPr xmlns:a="http://schemas.openxmlformats.org/drawingml/2006/main"/>
          <a:p xmlns:a="http://schemas.openxmlformats.org/drawingml/2006/main">
            <a:pPr>
              <a:defRPr/>
            </a:pPr>
            <a:r>
              <a:t>Average queue wait by scenario (busy day)</a:t>
            </a:r>
          </a:p>
        </rich>
      </tx>
    </title>
    <plotArea>
      <barChart>
        <barDir val="col"/>
        <grouping val="clustered"/>
        <ser>
          <idx val="0"/>
          <order val="0"/>
          <tx>
            <strRef>
              <f>'Scenarios'!B5</f>
            </strRef>
          </tx>
          <spPr>
            <a:ln xmlns:a="http://schemas.openxmlformats.org/drawingml/2006/main">
              <a:prstDash val="solid"/>
            </a:ln>
          </spPr>
          <cat>
            <numRef>
              <f>'Scenarios'!$A$6:$A$9</f>
            </numRef>
          </cat>
          <val>
            <numRef>
              <f>'Scenarios'!$B$6:$B$9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comments/comment1.xml><?xml version="1.0" encoding="utf-8"?>
<comments xmlns="http://schemas.openxmlformats.org/spreadsheetml/2006/main">
  <authors>
    <author>WGB3</author>
  </authors>
  <commentList>
    <comment ref="B7" authorId="0" shapeId="0">
      <text>
        <t>Simulated: 20 lunches, ±0.13 (95% CI)</t>
      </text>
    </comment>
    <comment ref="C7" authorId="0" shapeId="0">
      <text>
        <t>Simulated: 20 lunches, ±0.63 (95% CI)</t>
      </text>
    </comment>
    <comment ref="D7" authorId="0" shapeId="0">
      <text>
        <t>Simulated: 20 lunches, ±0.55 (95% CI)</t>
      </text>
    </comment>
    <comment ref="B8" authorId="0" shapeId="0">
      <text>
        <t>Simulated: 20 lunches, ±0.05 (95% CI)</t>
      </text>
    </comment>
    <comment ref="C8" authorId="0" shapeId="0">
      <text>
        <t>Simulated: 20 lunches, ±0.33 (95% CI)</t>
      </text>
    </comment>
    <comment ref="D8" authorId="0" shapeId="0">
      <text>
        <t>Simulated: 20 lunches, ±0.24 (95% CI)</t>
      </text>
    </comment>
    <comment ref="B9" authorId="0" shapeId="0">
      <text>
        <t>Simulated: 20 lunches, ±0.05 (95% CI)</t>
      </text>
    </comment>
    <comment ref="C9" authorId="0" shapeId="0">
      <text>
        <t>Simulated: 20 lunches, ±0.10 (95% CI)</t>
      </text>
    </comment>
    <comment ref="D9" authorId="0" shapeId="0">
      <text>
        <t>Simulated: 20 lunches, ±0.31 (95% CI)</t>
      </text>
    </comment>
    <comment ref="B10" authorId="0" shapeId="0">
      <text>
        <t>Simulated: 20 lunches, ±0.02 (95% CI)</t>
      </text>
    </comment>
    <comment ref="C10" authorId="0" shapeId="0">
      <text>
        <t>Simulated: 20 lunches, ±0.38 (95% CI)</t>
      </text>
    </comment>
    <comment ref="D10" authorId="0" shapeId="0">
      <text>
        <t>Simulated: 20 lunches, ±0.45 (95% CI)</t>
      </text>
    </comment>
    <comment ref="B11" authorId="0" shapeId="0">
      <text>
        <t>Simulated: 20 lunches, ±0.01 (95% CI)</t>
      </text>
    </comment>
    <comment ref="C11" authorId="0" shapeId="0">
      <text>
        <t>Simulated: 20 lunches, ±0.16 (95% CI)</t>
      </text>
    </comment>
    <comment ref="D11" authorId="0" shapeId="0">
      <text>
        <t>Simulated: 20 lunches, ±0.26 (95% CI)</t>
      </text>
    </comment>
  </commentList>
</comments>
</file>

<file path=xl/drawings/_rels/drawing1.xml.rels><Relationships xmlns="http://schemas.openxmlformats.org/package/2006/relationships"><Relationship Type="http://schemas.openxmlformats.org/officeDocument/2006/relationships/chart" Target="/xl/charts/chart1.xml" Id="rId1"/></Relationships>
</file>

<file path=xl/drawings/_rels/drawing2.xml.rels><Relationships xmlns="http://schemas.openxmlformats.org/package/2006/relationships"><Relationship Type="http://schemas.openxmlformats.org/officeDocument/2006/relationships/chart" Target="/xl/charts/chart2.xml" Id="rId1"/><Relationship Type="http://schemas.openxmlformats.org/officeDocument/2006/relationships/chart" Target="/xl/charts/chart3.xml" Id="rId2"/></Relationships>
</file>

<file path=xl/drawings/_rels/drawing3.xml.rels><Relationships xmlns="http://schemas.openxmlformats.org/package/2006/relationships"><Relationship Type="http://schemas.openxmlformats.org/officeDocument/2006/relationships/chart" Target="/xl/charts/chart4.xml" Id="rId1"/></Relationships>
</file>

<file path=xl/drawings/_rels/drawing4.xml.rels><Relationships xmlns="http://schemas.openxmlformats.org/package/2006/relationships"><Relationship Type="http://schemas.openxmlformats.org/officeDocument/2006/relationships/chart" Target="/xl/charts/chart5.xml" Id="rId1"/></Relationships>
</file>

<file path=xl/drawings/_rels/drawing5.xml.rels><Relationships xmlns="http://schemas.openxmlformats.org/package/2006/relationships"><Relationship Type="http://schemas.openxmlformats.org/officeDocument/2006/relationships/chart" Target="/xl/charts/chart6.xml" Id="rId1"/></Relationships>
</file>

<file path=xl/drawings/drawing1.xml><?xml version="1.0" encoding="utf-8"?>
<wsDr xmlns="http://schemas.openxmlformats.org/drawingml/2006/spreadsheetDrawing">
  <oneCellAnchor>
    <from>
      <col>0</col>
      <colOff>0</colOff>
      <row>43</row>
      <rowOff>0</rowOff>
    </from>
    <ext cx="792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2.xml><?xml version="1.0" encoding="utf-8"?>
<wsDr xmlns="http://schemas.openxmlformats.org/drawingml/2006/spreadsheetDrawing">
  <oneCellAnchor>
    <from>
      <col>14</col>
      <colOff>0</colOff>
      <row>3</row>
      <rowOff>0</rowOff>
    </from>
    <ext cx="4320000" cy="25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11</col>
      <colOff>0</colOff>
      <row>48</row>
      <rowOff>0</rowOff>
    </from>
    <ext cx="5760000" cy="28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drawings/drawing3.xml><?xml version="1.0" encoding="utf-8"?>
<wsDr xmlns="http://schemas.openxmlformats.org/drawingml/2006/spreadsheetDrawing">
  <oneCellAnchor>
    <from>
      <col>15</col>
      <colOff>0</colOff>
      <row>18</row>
      <rowOff>0</rowOff>
    </from>
    <ext cx="57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4.xml><?xml version="1.0" encoding="utf-8"?>
<wsDr xmlns="http://schemas.openxmlformats.org/drawingml/2006/spreadsheetDrawing">
  <oneCellAnchor>
    <from>
      <col>11</col>
      <colOff>0</colOff>
      <row>17</row>
      <rowOff>0</rowOff>
    </from>
    <ext cx="5760000" cy="27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5.xml><?xml version="1.0" encoding="utf-8"?>
<wsDr xmlns="http://schemas.openxmlformats.org/drawingml/2006/spreadsheetDrawing">
  <oneCellAnchor>
    <from>
      <col>16</col>
      <colOff>0</colOff>
      <row>3</row>
      <rowOff>0</rowOff>
    </from>
    <ext cx="5040000" cy="25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Inputs'!A1" TargetMode="External" Id="rId1"/><Relationship Type="http://schemas.openxmlformats.org/officeDocument/2006/relationships/hyperlink" Target="#'S2-3 Problem &amp; Root Cause'!A1" TargetMode="External" Id="rId2"/><Relationship Type="http://schemas.openxmlformats.org/officeDocument/2006/relationships/hyperlink" Target="#'S4 Biases &amp; Ethics'!A1" TargetMode="External" Id="rId3"/><Relationship Type="http://schemas.openxmlformats.org/officeDocument/2006/relationships/hyperlink" Target="#'S5-6 Priority Matrix'!A1" TargetMode="External" Id="rId4"/><Relationship Type="http://schemas.openxmlformats.org/officeDocument/2006/relationships/hyperlink" Target="#'Arrival Curve'!A1" TargetMode="External" Id="rId5"/><Relationship Type="http://schemas.openxmlformats.org/officeDocument/2006/relationships/hyperlink" Target="#'S15 Queuing'!A1" TargetMode="External" Id="rId6"/><Relationship Type="http://schemas.openxmlformats.org/officeDocument/2006/relationships/hyperlink" Target="#'LP Student Flow'!A1" TargetMode="External" Id="rId7"/><Relationship Type="http://schemas.openxmlformats.org/officeDocument/2006/relationships/hyperlink" Target="#'LP Food Allocation'!A1" TargetMode="External" Id="rId8"/><Relationship Type="http://schemas.openxmlformats.org/officeDocument/2006/relationships/hyperlink" Target="#'S7 Payoff Matrix'!A1" TargetMode="External" Id="rId9"/><Relationship Type="http://schemas.openxmlformats.org/officeDocument/2006/relationships/hyperlink" Target="#'S18 Heuristics'!A1" TargetMode="External" Id="rId10"/><Relationship Type="http://schemas.openxmlformats.org/officeDocument/2006/relationships/hyperlink" Target="#'Decision Rule'!A1" TargetMode="External" Id="rId11"/><Relationship Type="http://schemas.openxmlformats.org/officeDocument/2006/relationships/hyperlink" Target="#'Scenarios'!A1" TargetMode="External" Id="rId12"/><Relationship Type="http://schemas.openxmlformats.org/officeDocument/2006/relationships/hyperlink" Target="#'Reconciliation'!A1" TargetMode="External" Id="rId13"/><Relationship Type="http://schemas.openxmlformats.org/officeDocument/2006/relationships/hyperlink" Target="#'Simulation Method'!A1" TargetMode="External" Id="rId14"/><Relationship Type="http://schemas.openxmlformats.org/officeDocument/2006/relationships/hyperlink" Target="#'Data Collection'!A1" TargetMode="External" Id="rId15"/><Relationship Type="http://schemas.openxmlformats.org/officeDocument/2006/relationships/hyperlink" Target="#'Checks'!A1" TargetMode="External" Id="rId16"/></Relationships>
</file>

<file path=xl/worksheets/_rels/sheet6.xml.rels><Relationships xmlns="http://schemas.openxmlformats.org/package/2006/relationships"><Relationship Type="http://schemas.openxmlformats.org/officeDocument/2006/relationships/drawing" Target="/xl/drawings/drawing1.xml" Id="rId1"/></Relationships>
</file>

<file path=xl/worksheets/_rels/sheet7.xml.rels><Relationships xmlns="http://schemas.openxmlformats.org/package/2006/relationships"><Relationship Type="http://schemas.openxmlformats.org/officeDocument/2006/relationships/drawing" Target="/xl/drawings/drawing2.xml" Id="rId1"/></Relationships>
</file>

<file path=xl/worksheets/_rels/sheet8.xml.rels><Relationships xmlns="http://schemas.openxmlformats.org/package/2006/relationships"><Relationship Type="http://schemas.openxmlformats.org/officeDocument/2006/relationships/drawing" Target="/xl/drawings/drawing3.xml" Id="rId1"/></Relationships>
</file>

<file path=xl/worksheets/_rels/sheet10.xml.rels><Relationships xmlns="http://schemas.openxmlformats.org/package/2006/relationships"><Relationship Type="http://schemas.openxmlformats.org/officeDocument/2006/relationships/drawing" Target="/xl/drawings/drawing4.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13.xml.rels><Relationships xmlns="http://schemas.openxmlformats.org/package/2006/relationships"><Relationship Type="http://schemas.openxmlformats.org/officeDocument/2006/relationships/drawing" Target="/xl/drawings/drawing5.xml" Id="rId1"/></Relationships>
</file>

<file path=xl/worksheets/sheet1.xml><?xml version="1.0" encoding="utf-8"?>
<worksheet xmlns="http://schemas.openxmlformats.org/spreadsheetml/2006/main">
  <sheetPr>
    <outlinePr summaryBelow="1" summaryRight="1"/>
    <pageSetUpPr/>
  </sheetPr>
  <dimension ref="A1:C39"/>
  <sheetViews>
    <sheetView showGridLines="0" workbookViewId="0">
      <selection activeCell="A1" sqref="A1"/>
    </sheetView>
  </sheetViews>
  <sheetFormatPr baseColWidth="8" defaultRowHeight="15"/>
  <cols>
    <col width="24" customWidth="1" min="1" max="1"/>
    <col width="34" customWidth="1" min="2" max="2"/>
    <col width="78" customWidth="1" min="3" max="3"/>
  </cols>
  <sheetData>
    <row r="1">
      <c r="A1" s="1" t="inlineStr">
        <is>
          <t>MDS decision workbook — Beyond the Bottleneck (Group WGB3)</t>
        </is>
      </c>
      <c r="B1" s="2" t="n"/>
      <c r="C1" s="2" t="n"/>
    </row>
    <row r="2">
      <c r="A2" s="3" t="inlineStr">
        <is>
          <t>Enabling smarter lunch flow by optimising queue management and capacity utilisation across Chefs Touch centres (Central CT and Munch Mess, 11:30–14:30).</t>
        </is>
      </c>
    </row>
    <row r="3"/>
    <row r="4">
      <c r="A4" s="4" t="inlineStr">
        <is>
          <t>How to use</t>
        </is>
      </c>
    </row>
    <row r="5">
      <c r="A5" s="5" t="inlineStr">
        <is>
          <t>1. Change only BLUE cells, and almost all of them live on the Inputs tab. Black cells are formulas; GREEN cells pull values from another tab.</t>
        </is>
      </c>
    </row>
    <row r="6">
      <c r="A6" s="5" t="inlineStr">
        <is>
          <t>2. YELLOW cells are not measured yet (assumed or group estimate). Replace them with measurements (Data Collection tab).</t>
        </is>
      </c>
    </row>
    <row r="7">
      <c r="A7" s="5" t="inlineStr">
        <is>
          <t>3. Green-filled cells are the key results. The Checks tab must say ALL OK:</t>
        </is>
      </c>
      <c r="C7" s="6">
        <f>'Checks'!$C$27</f>
        <v/>
      </c>
    </row>
    <row r="8"/>
    <row r="9">
      <c r="A9" s="4" t="inlineStr">
        <is>
          <t>How the parts fit together</t>
        </is>
      </c>
    </row>
    <row r="10">
      <c r="A10" s="5" t="inlineStr">
        <is>
          <t>Inputs → S15 Queuing (the analytic model) → LP Student Flow (the primary decision: students per mess per slot) → LP Food Allocation (food supports the flow)</t>
        </is>
      </c>
    </row>
    <row r="11">
      <c r="A11" s="5" t="inlineStr">
        <is>
          <t>Inputs → the simulator (python -m messq.scenarios) → Scenarios, S7 Payoff Matrix, Reconciliation (why the two models differ)</t>
        </is>
      </c>
    </row>
    <row r="12">
      <c r="A12" s="5" t="inlineStr">
        <is>
          <t>Decision Rule = how the screens turn estimates into advice: when Central, when Munch, when no advice</t>
        </is>
      </c>
    </row>
    <row r="13"/>
    <row r="14">
      <c r="A14" s="4" t="inlineStr">
        <is>
          <t>Status tags</t>
        </is>
      </c>
    </row>
    <row r="15">
      <c r="A15" s="7" t="inlineStr">
        <is>
          <t>Tag</t>
        </is>
      </c>
      <c r="B15" s="7" t="inlineStr">
        <is>
          <t>Meaning</t>
        </is>
      </c>
      <c r="C15" s="7" t="inlineStr">
        <is>
          <t>Example</t>
        </is>
      </c>
    </row>
    <row r="16">
      <c r="A16" s="8" t="inlineStr">
        <is>
          <t>Measured</t>
        </is>
      </c>
      <c r="B16" s="9" t="inlineStr">
        <is>
          <t>From field work, CT or the group</t>
        </is>
      </c>
      <c r="C16" s="9" t="inlineStr">
        <is>
          <t>2,960 students; seats 900 / 492; 2 stations + 1 scanner per mess</t>
        </is>
      </c>
    </row>
    <row r="17">
      <c r="A17" s="8" t="inlineStr">
        <is>
          <t>Group estimate</t>
        </is>
      </c>
      <c r="B17" s="9" t="inlineStr">
        <is>
          <t>The group's figure, not yet timed</t>
        </is>
      </c>
      <c r="C17" s="9" t="inlineStr">
        <is>
          <t>Eating 14–18 min; disposal ≤ 2 min; food ready 70% of the time</t>
        </is>
      </c>
    </row>
    <row r="18">
      <c r="A18" s="8" t="inlineStr">
        <is>
          <t>Assumed</t>
        </is>
      </c>
      <c r="B18" s="9" t="inlineStr">
        <is>
          <t>A placeholder until measured</t>
        </is>
      </c>
      <c r="C18" s="9" t="inlineStr">
        <is>
          <t>10 students/min per station; MIT lab share; DLHS/MILHS size</t>
        </is>
      </c>
    </row>
    <row r="19">
      <c r="A19" s="8" t="inlineStr">
        <is>
          <t>Calibrated</t>
        </is>
      </c>
      <c r="B19" s="9" t="inlineStr">
        <is>
          <t>Not measured: chosen so the model reproduces what was observed</t>
        </is>
      </c>
      <c r="C19" s="9" t="inlineStr">
        <is>
          <t>Lag from the start of a lunch break to the mess door</t>
        </is>
      </c>
    </row>
    <row r="20">
      <c r="A20" s="8" t="inlineStr">
        <is>
          <t>Simulated</t>
        </is>
      </c>
      <c r="B20" s="9" t="inlineStr">
        <is>
          <t>Output of the simulator, 20 lunches per row</t>
        </is>
      </c>
      <c r="C20" s="9" t="inlineStr">
        <is>
          <t>Average wait 4.3 → 0.8 min on a busy day</t>
        </is>
      </c>
    </row>
    <row r="21">
      <c r="A21" s="8" t="inlineStr">
        <is>
          <t>Policy</t>
        </is>
      </c>
      <c r="B21" s="9" t="inlineStr">
        <is>
          <t>Our design choice</t>
        </is>
      </c>
      <c r="C21" s="9" t="inlineStr">
        <is>
          <t>Minimum saving 2 min before suggesting a switch</t>
        </is>
      </c>
    </row>
    <row r="22">
      <c r="A22" s="4" t="inlineStr">
        <is>
          <t>Tabs</t>
        </is>
      </c>
    </row>
    <row r="23">
      <c r="A23" s="7" t="inlineStr">
        <is>
          <t>Tab</t>
        </is>
      </c>
      <c r="B23" s="7" t="inlineStr">
        <is>
          <t>Session(s)</t>
        </is>
      </c>
      <c r="C23" s="7" t="inlineStr">
        <is>
          <t>What it does</t>
        </is>
      </c>
    </row>
    <row r="24">
      <c r="A24" s="10" t="inlineStr">
        <is>
          <t>Inputs</t>
        </is>
      </c>
      <c r="B24" s="8" t="inlineStr">
        <is>
          <t>—</t>
        </is>
      </c>
      <c r="C24" s="9" t="inlineStr">
        <is>
          <t>One assumptions table: value, unit, status, source, date, where it is used</t>
        </is>
      </c>
    </row>
    <row r="25">
      <c r="A25" s="10" t="inlineStr">
        <is>
          <t>S2-3 Problem &amp; Root Cause</t>
        </is>
      </c>
      <c r="B25" s="8" t="inlineStr">
        <is>
          <t>2–3</t>
        </is>
      </c>
      <c r="C25" s="9" t="inlineStr">
        <is>
          <t>Problem and decision; 5 Whys backtracked from the Phase 1 symptom; fishbone; issue tree</t>
        </is>
      </c>
    </row>
    <row r="26">
      <c r="A26" s="10" t="inlineStr">
        <is>
          <t>S4 Biases &amp; Ethics</t>
        </is>
      </c>
      <c r="B26" s="8" t="inlineStr">
        <is>
          <t>4</t>
        </is>
      </c>
      <c r="C26" s="9" t="inlineStr">
        <is>
          <t>Status quo, herding, loss aversion, missing information (hypotheses vs findings); DPDP ethics</t>
        </is>
      </c>
    </row>
    <row r="27">
      <c r="A27" s="10" t="inlineStr">
        <is>
          <t>S5-6 Priority Matrix</t>
        </is>
      </c>
      <c r="B27" s="8" t="inlineStr">
        <is>
          <t>5–6</t>
        </is>
      </c>
      <c r="C27" s="9" t="inlineStr">
        <is>
          <t>ABC/XYZ menu matrix; tray weights; impact–effort matrix; decision dilemmas</t>
        </is>
      </c>
    </row>
    <row r="28">
      <c r="A28" s="10" t="inlineStr">
        <is>
          <t>Arrival Curve</t>
        </is>
      </c>
      <c r="B28" s="8" t="inlineStr">
        <is>
          <t>15</t>
        </is>
      </c>
      <c r="C28" s="9" t="inlineStr">
        <is>
          <t>Department lunch breaks added up: when students arrive, and the 13:10–13:30 overlap</t>
        </is>
      </c>
    </row>
    <row r="29">
      <c r="A29" s="10" t="inlineStr">
        <is>
          <t>S15 Queuing</t>
        </is>
      </c>
      <c r="B29" s="8" t="inlineStr">
        <is>
          <t>15</t>
        </is>
      </c>
      <c r="C29" s="9" t="inlineStr">
        <is>
          <t>M/M/1 check, utilisation curve, M/M/c + fluid queue by 10-min slot, four-stage throughput</t>
        </is>
      </c>
    </row>
    <row r="30">
      <c r="A30" s="10" t="inlineStr">
        <is>
          <t>LP Student Flow</t>
        </is>
      </c>
      <c r="B30" s="8" t="inlineStr">
        <is>
          <t>10–11</t>
        </is>
      </c>
      <c r="C30" s="9" t="inlineStr">
        <is>
          <t>PRIMARY model: students to direct to each mess per slot; food as a constraint; shadow price</t>
        </is>
      </c>
    </row>
    <row r="31">
      <c r="A31" s="10" t="inlineStr">
        <is>
          <t>LP Food Allocation</t>
        </is>
      </c>
      <c r="B31" s="8" t="inlineStr">
        <is>
          <t>10–11</t>
        </is>
      </c>
      <c r="C31" s="9" t="inlineStr">
        <is>
          <t>SECONDARY model: the star dish split that supports the flow; graphical method</t>
        </is>
      </c>
    </row>
    <row r="32">
      <c r="A32" s="10" t="inlineStr">
        <is>
          <t>S7 Payoff Matrix</t>
        </is>
      </c>
      <c r="B32" s="8" t="inlineStr">
        <is>
          <t>7</t>
        </is>
      </c>
      <c r="C32" s="9" t="inlineStr">
        <is>
          <t>Five alternatives × three kinds of day, every cell simulated: maximax, maximin, Hurwicz, Laplace, EMV, regret, EVPI</t>
        </is>
      </c>
    </row>
    <row r="33">
      <c r="A33" s="10" t="inlineStr">
        <is>
          <t>S18 Heuristics</t>
        </is>
      </c>
      <c r="B33" s="8" t="inlineStr">
        <is>
          <t>18</t>
        </is>
      </c>
      <c r="C33" s="9" t="inlineStr">
        <is>
          <t>Door-screen rule, reorder point, heuristic vs full model vs LP bound, metaheuristics</t>
        </is>
      </c>
    </row>
    <row r="34">
      <c r="A34" s="10" t="inlineStr">
        <is>
          <t>Decision Rule</t>
        </is>
      </c>
      <c r="B34" s="8" t="inlineStr">
        <is>
          <t>—</t>
        </is>
      </c>
      <c r="C34" s="9" t="inlineStr">
        <is>
          <t>When the screen recommends Munch, Central, or gives no advice; worked situations</t>
        </is>
      </c>
    </row>
    <row r="35">
      <c r="A35" s="10" t="inlineStr">
        <is>
          <t>Scenarios</t>
        </is>
      </c>
      <c r="B35" s="8" t="inlineStr">
        <is>
          <t>—</t>
        </is>
      </c>
      <c r="C35" s="9" t="inlineStr">
        <is>
          <t>Current vs queue-only vs queue + food, with uncertainty; stress tests</t>
        </is>
      </c>
    </row>
    <row r="36">
      <c r="A36" s="10" t="inlineStr">
        <is>
          <t>Reconciliation</t>
        </is>
      </c>
      <c r="B36" s="8" t="inlineStr">
        <is>
          <t>—</t>
        </is>
      </c>
      <c r="C36" s="9" t="inlineStr">
        <is>
          <t>Why the spreadsheet and the simulator differ, step by step</t>
        </is>
      </c>
    </row>
    <row r="37">
      <c r="A37" s="10" t="inlineStr">
        <is>
          <t>Simulation Method</t>
        </is>
      </c>
      <c r="B37" s="8" t="inlineStr">
        <is>
          <t>—</t>
        </is>
      </c>
      <c r="C37" s="9" t="inlineStr">
        <is>
          <t>Arrivals, queues, service, food, routing, measures, runs</t>
        </is>
      </c>
    </row>
    <row r="38">
      <c r="A38" s="10" t="inlineStr">
        <is>
          <t>Data Collection</t>
        </is>
      </c>
      <c r="B38" s="8" t="inlineStr">
        <is>
          <t>—</t>
        </is>
      </c>
      <c r="C38" s="9" t="inlineStr">
        <is>
          <t>Stage 2 template: what to measure at both messes, with an automatic diagnosis</t>
        </is>
      </c>
    </row>
    <row r="39">
      <c r="A39" s="10" t="inlineStr">
        <is>
          <t>Checks</t>
        </is>
      </c>
      <c r="B39" s="8" t="inlineStr">
        <is>
          <t>—</t>
        </is>
      </c>
      <c r="C39" s="9" t="inlineStr">
        <is>
          <t>Validation: no errors, balances, constraints, calibration, response to inputs</t>
        </is>
      </c>
    </row>
  </sheetData>
  <mergeCells count="7">
    <mergeCell ref="A10:C10"/>
    <mergeCell ref="A11:C11"/>
    <mergeCell ref="A7:B7"/>
    <mergeCell ref="A5:C5"/>
    <mergeCell ref="A6:C6"/>
    <mergeCell ref="A12:C12"/>
    <mergeCell ref="A2:C2"/>
  </mergeCells>
  <hyperlinks>
    <hyperlink xmlns:r="http://schemas.openxmlformats.org/officeDocument/2006/relationships" ref="A24" r:id="rId1"/>
    <hyperlink xmlns:r="http://schemas.openxmlformats.org/officeDocument/2006/relationships" ref="A25" r:id="rId2"/>
    <hyperlink xmlns:r="http://schemas.openxmlformats.org/officeDocument/2006/relationships" ref="A26" r:id="rId3"/>
    <hyperlink xmlns:r="http://schemas.openxmlformats.org/officeDocument/2006/relationships" ref="A27" r:id="rId4"/>
    <hyperlink xmlns:r="http://schemas.openxmlformats.org/officeDocument/2006/relationships" ref="A28" r:id="rId5"/>
    <hyperlink xmlns:r="http://schemas.openxmlformats.org/officeDocument/2006/relationships" ref="A29" r:id="rId6"/>
    <hyperlink xmlns:r="http://schemas.openxmlformats.org/officeDocument/2006/relationships" ref="A30" r:id="rId7"/>
    <hyperlink xmlns:r="http://schemas.openxmlformats.org/officeDocument/2006/relationships" ref="A31" r:id="rId8"/>
    <hyperlink xmlns:r="http://schemas.openxmlformats.org/officeDocument/2006/relationships" ref="A32" r:id="rId9"/>
    <hyperlink xmlns:r="http://schemas.openxmlformats.org/officeDocument/2006/relationships" ref="A33" r:id="rId10"/>
    <hyperlink xmlns:r="http://schemas.openxmlformats.org/officeDocument/2006/relationships" ref="A34" r:id="rId11"/>
    <hyperlink xmlns:r="http://schemas.openxmlformats.org/officeDocument/2006/relationships" ref="A35" r:id="rId12"/>
    <hyperlink xmlns:r="http://schemas.openxmlformats.org/officeDocument/2006/relationships" ref="A36" r:id="rId13"/>
    <hyperlink xmlns:r="http://schemas.openxmlformats.org/officeDocument/2006/relationships" ref="A37" r:id="rId14"/>
    <hyperlink xmlns:r="http://schemas.openxmlformats.org/officeDocument/2006/relationships" ref="A38" r:id="rId15"/>
    <hyperlink xmlns:r="http://schemas.openxmlformats.org/officeDocument/2006/relationships" ref="A39" r:id="rId16"/>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92"/>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70" customWidth="1" min="1" max="1"/>
    <col width="11" customWidth="1" min="2" max="2"/>
    <col width="15" customWidth="1" min="3" max="3"/>
    <col width="15" customWidth="1" min="4" max="4"/>
    <col width="58" customWidth="1" min="5" max="5"/>
    <col width="12" customWidth="1" min="6" max="6"/>
    <col width="34" customWidth="1" min="7" max="7"/>
  </cols>
  <sheetData>
    <row r="1">
      <c r="A1" s="1" t="inlineStr">
        <is>
          <t>Inputs: every assumption the workbook and the simulator use</t>
        </is>
      </c>
      <c r="B1" s="2" t="n"/>
      <c r="C1" s="2" t="n"/>
      <c r="D1" s="2" t="n"/>
      <c r="E1" s="2" t="n"/>
      <c r="F1" s="2" t="n"/>
      <c r="G1" s="2" t="n"/>
    </row>
    <row r="2">
      <c r="A2" s="11" t="inlineStr">
        <is>
          <t>Change BLUE cells only. Yellow = not measured yet (assumed or group estimate): replace with measured data. The simulator reads the same values from config/default.toml.</t>
        </is>
      </c>
    </row>
    <row r="3"/>
    <row r="4">
      <c r="A4" s="7" t="inlineStr">
        <is>
          <t>Parameter</t>
        </is>
      </c>
      <c r="B4" s="7" t="inlineStr">
        <is>
          <t>Value</t>
        </is>
      </c>
      <c r="C4" s="7" t="inlineStr">
        <is>
          <t>Unit</t>
        </is>
      </c>
      <c r="D4" s="7" t="inlineStr">
        <is>
          <t>Status</t>
        </is>
      </c>
      <c r="E4" s="7" t="inlineStr">
        <is>
          <t>Source / how to measure</t>
        </is>
      </c>
      <c r="F4" s="7" t="inlineStr">
        <is>
          <t>Date</t>
        </is>
      </c>
      <c r="G4" s="7" t="inlineStr">
        <is>
          <t>Used in</t>
        </is>
      </c>
    </row>
    <row r="5">
      <c r="A5" s="12" t="inlineStr">
        <is>
          <t>MEASURED (Phase 1 field work, CT, the group)</t>
        </is>
      </c>
    </row>
    <row r="6">
      <c r="A6" s="5" t="inlineStr">
        <is>
          <t>Students per lunch at Central CT + Munch (= plates served)</t>
        </is>
      </c>
      <c r="B6" s="13" t="n">
        <v>2960</v>
      </c>
      <c r="C6" s="5" t="inlineStr">
        <is>
          <t>students</t>
        </is>
      </c>
      <c r="D6" s="4" t="inlineStr">
        <is>
          <t>Measured</t>
        </is>
      </c>
      <c r="E6" s="14" t="inlineStr">
        <is>
          <t>Phase 1 deck: ~2,960 plates; one plate per student. Daily counts 2,810–3,465</t>
        </is>
      </c>
      <c r="F6" s="5" t="inlineStr">
        <is>
          <t>Sep 2026</t>
        </is>
      </c>
      <c r="G6" s="14" t="inlineStr">
        <is>
          <t>S15, LP Student Flow, all scenarios</t>
        </is>
      </c>
    </row>
    <row r="7">
      <c r="A7" s="5" t="inlineStr">
        <is>
          <t>Lunch opens</t>
        </is>
      </c>
      <c r="B7" s="15" t="inlineStr">
        <is>
          <t>11:30</t>
        </is>
      </c>
      <c r="C7" s="5" t="inlineStr">
        <is>
          <t>time</t>
        </is>
      </c>
      <c r="D7" s="4" t="inlineStr">
        <is>
          <t>Measured</t>
        </is>
      </c>
      <c r="E7" s="14" t="inlineStr">
        <is>
          <t>Mess timings 11:30–14:30</t>
        </is>
      </c>
      <c r="F7" s="5" t="inlineStr">
        <is>
          <t>Oct 2026</t>
        </is>
      </c>
      <c r="G7" s="14" t="inlineStr">
        <is>
          <t>S15, LP Student Flow</t>
        </is>
      </c>
    </row>
    <row r="8">
      <c r="A8" s="5" t="inlineStr">
        <is>
          <t>Lunch window length</t>
        </is>
      </c>
      <c r="B8" s="16" t="n">
        <v>180</v>
      </c>
      <c r="C8" s="5" t="inlineStr">
        <is>
          <t>minutes</t>
        </is>
      </c>
      <c r="D8" s="4" t="inlineStr">
        <is>
          <t>Measured</t>
        </is>
      </c>
      <c r="E8" s="14" t="inlineStr">
        <is>
          <t>11:30–14:30</t>
        </is>
      </c>
      <c r="F8" s="5" t="inlineStr">
        <is>
          <t>Oct 2026</t>
        </is>
      </c>
      <c r="G8" s="14" t="inlineStr">
        <is>
          <t>S15</t>
        </is>
      </c>
    </row>
    <row r="9">
      <c r="A9" s="5" t="inlineStr">
        <is>
          <t>Seats: Central CT</t>
        </is>
      </c>
      <c r="B9" s="13" t="n">
        <v>900</v>
      </c>
      <c r="C9" s="5" t="inlineStr">
        <is>
          <t>seats</t>
        </is>
      </c>
      <c r="D9" s="4" t="inlineStr">
        <is>
          <t>Measured</t>
        </is>
      </c>
      <c r="E9" s="14" t="inlineStr">
        <is>
          <t>Group measurement</t>
        </is>
      </c>
      <c r="F9" s="5" t="inlineStr">
        <is>
          <t>Oct 2026</t>
        </is>
      </c>
      <c r="G9" s="14" t="inlineStr">
        <is>
          <t>S15, simulator</t>
        </is>
      </c>
    </row>
    <row r="10">
      <c r="A10" s="5" t="inlineStr">
        <is>
          <t>Seats: Munch Mess</t>
        </is>
      </c>
      <c r="B10" s="13" t="n">
        <v>492</v>
      </c>
      <c r="C10" s="5" t="inlineStr">
        <is>
          <t>seats</t>
        </is>
      </c>
      <c r="D10" s="4" t="inlineStr">
        <is>
          <t>Measured</t>
        </is>
      </c>
      <c r="E10" s="14" t="inlineStr">
        <is>
          <t>Group measurement</t>
        </is>
      </c>
      <c r="F10" s="5" t="inlineStr">
        <is>
          <t>Oct 2026</t>
        </is>
      </c>
      <c r="G10" s="14" t="inlineStr">
        <is>
          <t>S15, simulator</t>
        </is>
      </c>
    </row>
    <row r="11">
      <c r="A11" s="5" t="inlineStr">
        <is>
          <t>Serving stations: Central CT</t>
        </is>
      </c>
      <c r="B11" s="16" t="n">
        <v>2</v>
      </c>
      <c r="C11" s="5" t="inlineStr">
        <is>
          <t>stations</t>
        </is>
      </c>
      <c r="D11" s="4" t="inlineStr">
        <is>
          <t>Measured</t>
        </is>
      </c>
      <c r="E11" s="14" t="inlineStr">
        <is>
          <t>Group observation</t>
        </is>
      </c>
      <c r="F11" s="5" t="inlineStr">
        <is>
          <t>Oct 2026</t>
        </is>
      </c>
      <c r="G11" s="14" t="inlineStr">
        <is>
          <t>S15, LP, Decision Rule</t>
        </is>
      </c>
    </row>
    <row r="12">
      <c r="A12" s="5" t="inlineStr">
        <is>
          <t>Serving stations: Munch Mess</t>
        </is>
      </c>
      <c r="B12" s="16" t="n">
        <v>2</v>
      </c>
      <c r="C12" s="5" t="inlineStr">
        <is>
          <t>stations</t>
        </is>
      </c>
      <c r="D12" s="4" t="inlineStr">
        <is>
          <t>Measured</t>
        </is>
      </c>
      <c r="E12" s="14" t="inlineStr">
        <is>
          <t>Group observation</t>
        </is>
      </c>
      <c r="F12" s="5" t="inlineStr">
        <is>
          <t>Oct 2026</t>
        </is>
      </c>
      <c r="G12" s="14" t="inlineStr">
        <is>
          <t>S15, LP, Decision Rule</t>
        </is>
      </c>
    </row>
    <row r="13">
      <c r="A13" s="5" t="inlineStr">
        <is>
          <t>Face scanners at the entrance: Central CT</t>
        </is>
      </c>
      <c r="B13" s="16" t="n">
        <v>1</v>
      </c>
      <c r="C13" s="5" t="inlineStr">
        <is>
          <t>scanners</t>
        </is>
      </c>
      <c r="D13" s="4" t="inlineStr">
        <is>
          <t>Measured</t>
        </is>
      </c>
      <c r="E13" s="14" t="inlineStr">
        <is>
          <t>Group observation</t>
        </is>
      </c>
      <c r="F13" s="5" t="inlineStr">
        <is>
          <t>Oct 2026</t>
        </is>
      </c>
      <c r="G13" s="14" t="inlineStr">
        <is>
          <t>S15</t>
        </is>
      </c>
    </row>
    <row r="14">
      <c r="A14" s="5" t="inlineStr">
        <is>
          <t>Face scanners at the entrance: Munch Mess</t>
        </is>
      </c>
      <c r="B14" s="16" t="n">
        <v>1</v>
      </c>
      <c r="C14" s="5" t="inlineStr">
        <is>
          <t>scanners</t>
        </is>
      </c>
      <c r="D14" s="4" t="inlineStr">
        <is>
          <t>Measured</t>
        </is>
      </c>
      <c r="E14" s="14" t="inlineStr">
        <is>
          <t>Group observation</t>
        </is>
      </c>
      <c r="F14" s="5" t="inlineStr">
        <is>
          <t>Oct 2026</t>
        </is>
      </c>
      <c r="G14" s="14" t="inlineStr">
        <is>
          <t>S15</t>
        </is>
      </c>
    </row>
    <row r="15">
      <c r="A15" s="5" t="inlineStr">
        <is>
          <t>Normal visit, scan to leaving (quiet times)</t>
        </is>
      </c>
      <c r="B15" s="17" t="n">
        <v>20</v>
      </c>
      <c r="C15" s="5" t="inlineStr">
        <is>
          <t>minutes</t>
        </is>
      </c>
      <c r="D15" s="5" t="inlineStr">
        <is>
          <t>Group estimate</t>
        </is>
      </c>
      <c r="E15" s="14" t="inlineStr">
        <is>
          <t>Group: about 20 min on a normal day</t>
        </is>
      </c>
      <c r="F15" s="5" t="inlineStr">
        <is>
          <t>Oct 2026</t>
        </is>
      </c>
      <c r="G15" s="14" t="inlineStr">
        <is>
          <t>Checks (calibration)</t>
        </is>
      </c>
    </row>
    <row r="16">
      <c r="A16" s="5" t="inlineStr">
        <is>
          <t>Throughput time range: low (quiet)</t>
        </is>
      </c>
      <c r="B16" s="17" t="n">
        <v>17</v>
      </c>
      <c r="C16" s="5" t="inlineStr">
        <is>
          <t>minutes</t>
        </is>
      </c>
      <c r="D16" s="5" t="inlineStr">
        <is>
          <t>Group estimate</t>
        </is>
      </c>
      <c r="E16" s="14" t="inlineStr">
        <is>
          <t>Group: door to leaving takes 17–35 min depending on the rush</t>
        </is>
      </c>
      <c r="F16" s="5" t="inlineStr">
        <is>
          <t>Oct 2026</t>
        </is>
      </c>
      <c r="G16" s="14" t="inlineStr">
        <is>
          <t>Checks (calibration)</t>
        </is>
      </c>
    </row>
    <row r="17">
      <c r="A17" s="5" t="inlineStr">
        <is>
          <t>Throughput time range: high (surge)</t>
        </is>
      </c>
      <c r="B17" s="17" t="n">
        <v>35</v>
      </c>
      <c r="C17" s="5" t="inlineStr">
        <is>
          <t>minutes</t>
        </is>
      </c>
      <c r="D17" s="5" t="inlineStr">
        <is>
          <t>Group estimate</t>
        </is>
      </c>
      <c r="E17" s="14" t="inlineStr">
        <is>
          <t>As above</t>
        </is>
      </c>
      <c r="F17" s="5" t="inlineStr">
        <is>
          <t>Oct 2026</t>
        </is>
      </c>
      <c r="G17" s="14" t="inlineStr">
        <is>
          <t>Checks (calibration)</t>
        </is>
      </c>
    </row>
    <row r="18">
      <c r="A18" s="5" t="inlineStr">
        <is>
          <t>Refill after the 'running low' call if the food must be made (make + send)</t>
        </is>
      </c>
      <c r="B18" s="16" t="n">
        <v>30</v>
      </c>
      <c r="C18" s="5" t="inlineStr">
        <is>
          <t>minutes</t>
        </is>
      </c>
      <c r="D18" s="4" t="inlineStr">
        <is>
          <t>Measured</t>
        </is>
      </c>
      <c r="E18" s="14" t="inlineStr">
        <is>
          <t>Group: the 30 min starts when the mess calls the kitchen</t>
        </is>
      </c>
      <c r="F18" s="5" t="inlineStr">
        <is>
          <t>Oct 2026</t>
        </is>
      </c>
      <c r="G18" s="14" t="inlineStr">
        <is>
          <t>Decision Rule, S18, simulator</t>
        </is>
      </c>
    </row>
    <row r="19">
      <c r="A19" s="5" t="inlineStr">
        <is>
          <t>Refill if the food is already made: sending only (low)</t>
        </is>
      </c>
      <c r="B19" s="16" t="n">
        <v>10</v>
      </c>
      <c r="C19" s="5" t="inlineStr">
        <is>
          <t>minutes</t>
        </is>
      </c>
      <c r="D19" s="4" t="inlineStr">
        <is>
          <t>Measured</t>
        </is>
      </c>
      <c r="E19" s="14" t="inlineStr">
        <is>
          <t>Group: 10–14 min</t>
        </is>
      </c>
      <c r="F19" s="5" t="inlineStr">
        <is>
          <t>Oct 2026</t>
        </is>
      </c>
      <c r="G19" s="14" t="inlineStr">
        <is>
          <t>Decision Rule, simulator</t>
        </is>
      </c>
    </row>
    <row r="20">
      <c r="A20" s="5" t="inlineStr">
        <is>
          <t>Refill if the food is already made: sending only (high)</t>
        </is>
      </c>
      <c r="B20" s="16" t="n">
        <v>14</v>
      </c>
      <c r="C20" s="5" t="inlineStr">
        <is>
          <t>minutes</t>
        </is>
      </c>
      <c r="D20" s="4" t="inlineStr">
        <is>
          <t>Measured</t>
        </is>
      </c>
      <c r="E20" s="14" t="inlineStr">
        <is>
          <t>Group: 10–14 min</t>
        </is>
      </c>
      <c r="F20" s="5" t="inlineStr">
        <is>
          <t>Oct 2026</t>
        </is>
      </c>
      <c r="G20" s="14" t="inlineStr">
        <is>
          <t>Decision Rule, simulator</t>
        </is>
      </c>
    </row>
    <row r="21">
      <c r="A21" s="5" t="inlineStr">
        <is>
          <t>Delay faced by students at the peak (observed)</t>
        </is>
      </c>
      <c r="B21" s="16" t="n">
        <v>15</v>
      </c>
      <c r="C21" s="5" t="inlineStr">
        <is>
          <t>minutes</t>
        </is>
      </c>
      <c r="D21" s="4" t="inlineStr">
        <is>
          <t>Measured</t>
        </is>
      </c>
      <c r="E21" s="14" t="inlineStr">
        <is>
          <t>Phase 1 deck: ~15 min</t>
        </is>
      </c>
      <c r="F21" s="5" t="inlineStr">
        <is>
          <t>Sep 2026</t>
        </is>
      </c>
      <c r="G21" s="14" t="inlineStr">
        <is>
          <t>Checks (calibration)</t>
        </is>
      </c>
    </row>
    <row r="22">
      <c r="A22" s="12" t="inlineStr">
        <is>
          <t>THE FOUR STAGES OF A VISIT (group estimates where given, else assumed)</t>
        </is>
      </c>
    </row>
    <row r="23">
      <c r="A23" s="5" t="inlineStr">
        <is>
          <t>Stage 1: one face scan</t>
        </is>
      </c>
      <c r="B23" s="18" t="n">
        <v>2</v>
      </c>
      <c r="C23" s="5" t="inlineStr">
        <is>
          <t>seconds</t>
        </is>
      </c>
      <c r="D23" s="5" t="inlineStr">
        <is>
          <t>Assumed</t>
        </is>
      </c>
      <c r="E23" s="14" t="inlineStr">
        <is>
          <t>Stopwatch at the scanner, or gaps between scans in the logs</t>
        </is>
      </c>
      <c r="F23" s="5" t="inlineStr">
        <is>
          <t>—</t>
        </is>
      </c>
      <c r="G23" s="14" t="inlineStr">
        <is>
          <t>S15, simulator</t>
        </is>
      </c>
    </row>
    <row r="24">
      <c r="A24" s="5" t="inlineStr">
        <is>
          <t>Stage 1: collect a plate after the scan (low)</t>
        </is>
      </c>
      <c r="B24" s="17" t="n">
        <v>28</v>
      </c>
      <c r="C24" s="5" t="inlineStr">
        <is>
          <t>seconds</t>
        </is>
      </c>
      <c r="D24" s="5" t="inlineStr">
        <is>
          <t>Group estimate</t>
        </is>
      </c>
      <c r="E24" s="14" t="inlineStr">
        <is>
          <t>Group: scan + plate takes 30–45 s</t>
        </is>
      </c>
      <c r="F24" s="5" t="inlineStr">
        <is>
          <t>—</t>
        </is>
      </c>
      <c r="G24" s="14" t="inlineStr">
        <is>
          <t>S15, simulator</t>
        </is>
      </c>
    </row>
    <row r="25">
      <c r="A25" s="5" t="inlineStr">
        <is>
          <t>Stage 1: collect a plate after the scan (high)</t>
        </is>
      </c>
      <c r="B25" s="17" t="n">
        <v>43</v>
      </c>
      <c r="C25" s="5" t="inlineStr">
        <is>
          <t>seconds</t>
        </is>
      </c>
      <c r="D25" s="5" t="inlineStr">
        <is>
          <t>Group estimate</t>
        </is>
      </c>
      <c r="E25" s="14" t="inlineStr">
        <is>
          <t>As above</t>
        </is>
      </c>
      <c r="F25" s="5" t="inlineStr">
        <is>
          <t>—</t>
        </is>
      </c>
      <c r="G25" s="14" t="inlineStr">
        <is>
          <t>S15, simulator</t>
        </is>
      </c>
    </row>
    <row r="26">
      <c r="A26" s="5" t="inlineStr">
        <is>
          <t>Stage 2: service rate per serving station</t>
        </is>
      </c>
      <c r="B26" s="18" t="n">
        <v>10</v>
      </c>
      <c r="C26" s="5" t="inlineStr">
        <is>
          <t>students/min</t>
        </is>
      </c>
      <c r="D26" s="5" t="inlineStr">
        <is>
          <t>Assumed</t>
        </is>
      </c>
      <c r="E26" s="14" t="inlineStr">
        <is>
          <t>≈6 s per student. Must be about this fast for 2 stations to serve ~2,360 Central students, mostly within two hours. Stopwatch 20–30 students</t>
        </is>
      </c>
      <c r="F26" s="5" t="inlineStr">
        <is>
          <t>—</t>
        </is>
      </c>
      <c r="G26" s="14" t="inlineStr">
        <is>
          <t>S15, LP, Decision Rule, simulator</t>
        </is>
      </c>
    </row>
    <row r="27">
      <c r="A27" s="5" t="inlineStr">
        <is>
          <t>Stage 2: rest of food collection after the station (low)</t>
        </is>
      </c>
      <c r="B27" s="17" t="n">
        <v>54</v>
      </c>
      <c r="C27" s="5" t="inlineStr">
        <is>
          <t>seconds</t>
        </is>
      </c>
      <c r="D27" s="5" t="inlineStr">
        <is>
          <t>Group estimate</t>
        </is>
      </c>
      <c r="E27" s="14" t="inlineStr">
        <is>
          <t>Group: collecting food takes 1–2 min without a queue, incl. ~6 s at the station</t>
        </is>
      </c>
      <c r="F27" s="5" t="inlineStr">
        <is>
          <t>—</t>
        </is>
      </c>
      <c r="G27" s="14" t="inlineStr">
        <is>
          <t>S15, simulator</t>
        </is>
      </c>
    </row>
    <row r="28">
      <c r="A28" s="5" t="inlineStr">
        <is>
          <t>Stage 2: rest of food collection (high)</t>
        </is>
      </c>
      <c r="B28" s="17" t="n">
        <v>114</v>
      </c>
      <c r="C28" s="5" t="inlineStr">
        <is>
          <t>seconds</t>
        </is>
      </c>
      <c r="D28" s="5" t="inlineStr">
        <is>
          <t>Group estimate</t>
        </is>
      </c>
      <c r="E28" s="14" t="inlineStr">
        <is>
          <t>As above</t>
        </is>
      </c>
      <c r="F28" s="5" t="inlineStr">
        <is>
          <t>—</t>
        </is>
      </c>
      <c r="G28" s="14" t="inlineStr">
        <is>
          <t>S15, simulator</t>
        </is>
      </c>
    </row>
    <row r="29">
      <c r="A29" s="5" t="inlineStr">
        <is>
          <t>Stage 3: eating at a table (low)</t>
        </is>
      </c>
      <c r="B29" s="17" t="n">
        <v>14</v>
      </c>
      <c r="C29" s="5" t="inlineStr">
        <is>
          <t>minutes</t>
        </is>
      </c>
      <c r="D29" s="5" t="inlineStr">
        <is>
          <t>Group estimate</t>
        </is>
      </c>
      <c r="E29" s="14" t="inlineStr">
        <is>
          <t>Group: 14–18 min</t>
        </is>
      </c>
      <c r="F29" s="5" t="inlineStr">
        <is>
          <t>Oct 2026</t>
        </is>
      </c>
      <c r="G29" s="14" t="inlineStr">
        <is>
          <t>S15, simulator</t>
        </is>
      </c>
    </row>
    <row r="30">
      <c r="A30" s="5" t="inlineStr">
        <is>
          <t>Stage 3: eating at a table (high)</t>
        </is>
      </c>
      <c r="B30" s="17" t="n">
        <v>18</v>
      </c>
      <c r="C30" s="5" t="inlineStr">
        <is>
          <t>minutes</t>
        </is>
      </c>
      <c r="D30" s="5" t="inlineStr">
        <is>
          <t>Group estimate</t>
        </is>
      </c>
      <c r="E30" s="14" t="inlineStr">
        <is>
          <t>As above</t>
        </is>
      </c>
      <c r="F30" s="5" t="inlineStr">
        <is>
          <t>Oct 2026</t>
        </is>
      </c>
      <c r="G30" s="14" t="inlineStr">
        <is>
          <t>S15, simulator</t>
        </is>
      </c>
    </row>
    <row r="31">
      <c r="A31" s="5" t="inlineStr">
        <is>
          <t>Stage 4: dispose of leftovers and the plate (low)</t>
        </is>
      </c>
      <c r="B31" s="18" t="n">
        <v>1</v>
      </c>
      <c r="C31" s="5" t="inlineStr">
        <is>
          <t>minutes</t>
        </is>
      </c>
      <c r="D31" s="5" t="inlineStr">
        <is>
          <t>Group estimate</t>
        </is>
      </c>
      <c r="E31" s="14" t="inlineStr">
        <is>
          <t>Group: 2 min at most</t>
        </is>
      </c>
      <c r="F31" s="5" t="inlineStr">
        <is>
          <t>Oct 2026</t>
        </is>
      </c>
      <c r="G31" s="14" t="inlineStr">
        <is>
          <t>S15, simulator</t>
        </is>
      </c>
    </row>
    <row r="32">
      <c r="A32" s="5" t="inlineStr">
        <is>
          <t>Stage 4: dispose of leftovers and the plate (high)</t>
        </is>
      </c>
      <c r="B32" s="18" t="n">
        <v>2</v>
      </c>
      <c r="C32" s="5" t="inlineStr">
        <is>
          <t>minutes</t>
        </is>
      </c>
      <c r="D32" s="5" t="inlineStr">
        <is>
          <t>Group estimate</t>
        </is>
      </c>
      <c r="E32" s="14" t="inlineStr">
        <is>
          <t>As above</t>
        </is>
      </c>
      <c r="F32" s="5" t="inlineStr">
        <is>
          <t>Oct 2026</t>
        </is>
      </c>
      <c r="G32" s="14" t="inlineStr">
        <is>
          <t>S15, simulator</t>
        </is>
      </c>
    </row>
    <row r="33">
      <c r="A33" s="12" t="inlineStr">
        <is>
          <t>BEHAVIOUR AND DEMAND</t>
        </is>
      </c>
    </row>
    <row r="34">
      <c r="A34" s="5" t="inlineStr">
        <is>
          <t>Share who go to Central CT by habit (no screens)</t>
        </is>
      </c>
      <c r="B34" s="19" t="n">
        <v>0.797</v>
      </c>
      <c r="C34" s="5" t="inlineStr">
        <is>
          <t>share</t>
        </is>
      </c>
      <c r="D34" s="4" t="inlineStr">
        <is>
          <t>Measured</t>
        </is>
      </c>
      <c r="E34" s="14" t="inlineStr">
        <is>
          <t>Group: ~2,360 eat at Central and ~600 at Munch of ~2,960. A day of biometric logs confirms it (Data Collection tab)</t>
        </is>
      </c>
      <c r="F34" s="5" t="inlineStr">
        <is>
          <t>Oct 2026</t>
        </is>
      </c>
      <c r="G34" s="14" t="inlineStr">
        <is>
          <t>S15, LP, scenarios</t>
        </is>
      </c>
    </row>
    <row r="35">
      <c r="A35" s="5" t="inlineStr">
        <is>
          <t>Share of students who follow the screen</t>
        </is>
      </c>
      <c r="B35" s="20" t="n">
        <v>0.6</v>
      </c>
      <c r="C35" s="5" t="inlineStr">
        <is>
          <t>share</t>
        </is>
      </c>
      <c r="D35" s="5" t="inlineStr">
        <is>
          <t>Assumed</t>
        </is>
      </c>
      <c r="E35" s="14" t="inlineStr">
        <is>
          <t>The pilot measures it; stress-tested at 30% and 100%</t>
        </is>
      </c>
      <c r="F35" s="5" t="inlineStr">
        <is>
          <t>—</t>
        </is>
      </c>
      <c r="G35" s="14" t="inlineStr">
        <is>
          <t>S15, LP, scenarios</t>
        </is>
      </c>
    </row>
    <row r="36">
      <c r="A36" s="5" t="inlineStr">
        <is>
          <t>Walk between the two mess doors</t>
        </is>
      </c>
      <c r="B36" s="18" t="n">
        <v>0.5</v>
      </c>
      <c r="C36" s="5" t="inlineStr">
        <is>
          <t>minutes</t>
        </is>
      </c>
      <c r="D36" s="5" t="inlineStr">
        <is>
          <t>Assumed</t>
        </is>
      </c>
      <c r="E36" s="14" t="inlineStr">
        <is>
          <t>30 s; walk it with a stopwatch</t>
        </is>
      </c>
      <c r="F36" s="5" t="inlineStr">
        <is>
          <t>—</t>
        </is>
      </c>
      <c r="G36" s="14" t="inlineStr">
        <is>
          <t>LP, Decision Rule, simulator</t>
        </is>
      </c>
    </row>
    <row r="37">
      <c r="A37" s="5" t="inlineStr">
        <is>
          <t>Minutes from the start of a department's lunch break to the mess door: mean</t>
        </is>
      </c>
      <c r="B37" s="17" t="n">
        <v>20</v>
      </c>
      <c r="C37" s="5" t="inlineStr">
        <is>
          <t>minutes</t>
        </is>
      </c>
      <c r="D37" s="5" t="inlineStr">
        <is>
          <t>Calibrated</t>
        </is>
      </c>
      <c r="E37" s="14" t="inlineStr">
        <is>
          <t>Chosen so the no-screen simulation fits the 17–35 min visit and ~15 min peak delay. Logs + timetable measure it</t>
        </is>
      </c>
      <c r="F37" s="5" t="inlineStr">
        <is>
          <t>—</t>
        </is>
      </c>
      <c r="G37" s="14" t="inlineStr">
        <is>
          <t>Arrival Curve, simulator</t>
        </is>
      </c>
    </row>
    <row r="38">
      <c r="A38" s="5" t="inlineStr">
        <is>
          <t>Same lag: spread (standard deviation); cut off at the end of the break</t>
        </is>
      </c>
      <c r="B38" s="17" t="n">
        <v>20</v>
      </c>
      <c r="C38" s="5" t="inlineStr">
        <is>
          <t>minutes</t>
        </is>
      </c>
      <c r="D38" s="5" t="inlineStr">
        <is>
          <t>Calibrated</t>
        </is>
      </c>
      <c r="E38" s="14" t="inlineStr">
        <is>
          <t>Stress-tested at 15 ± 10 min (everyone rushes at the bell)</t>
        </is>
      </c>
      <c r="F38" s="5" t="inlineStr">
        <is>
          <t>—</t>
        </is>
      </c>
      <c r="G38" s="14" t="inlineStr">
        <is>
          <t>Arrival Curve, simulator</t>
        </is>
      </c>
    </row>
    <row r="39">
      <c r="A39" s="12" t="inlineStr">
        <is>
          <t>DEPARTMENT LUNCH BREAKS (sizes are rough counts, used as shares and scaled to the plates served)</t>
        </is>
      </c>
    </row>
    <row r="40">
      <c r="A40" s="5" t="inlineStr">
        <is>
          <t>MIT: students (rough)</t>
        </is>
      </c>
      <c r="B40" s="21" t="n">
        <v>1100</v>
      </c>
      <c r="C40" s="5" t="inlineStr">
        <is>
          <t>students</t>
        </is>
      </c>
      <c r="D40" s="5" t="inlineStr">
        <is>
          <t>Group estimate</t>
        </is>
      </c>
      <c r="E40" s="14" t="inlineStr">
        <is>
          <t>Group: ~1,100 (rough)</t>
        </is>
      </c>
      <c r="F40" s="5" t="inlineStr">
        <is>
          <t>Oct 2026</t>
        </is>
      </c>
      <c r="G40" s="14" t="inlineStr">
        <is>
          <t>Arrival Curve, simulator</t>
        </is>
      </c>
    </row>
    <row r="41">
      <c r="A41" s="5" t="inlineStr">
        <is>
          <t>MIT: lunch break starts</t>
        </is>
      </c>
      <c r="B41" s="22" t="n">
        <v>0.5</v>
      </c>
      <c r="C41" s="5" t="inlineStr">
        <is>
          <t>time</t>
        </is>
      </c>
      <c r="D41" s="4" t="inlineStr">
        <is>
          <t>Measured</t>
        </is>
      </c>
      <c r="E41" s="14" t="inlineStr">
        <is>
          <t>Department timetable</t>
        </is>
      </c>
      <c r="F41" s="5" t="inlineStr">
        <is>
          <t>Oct 2026</t>
        </is>
      </c>
      <c r="G41" s="14" t="inlineStr">
        <is>
          <t>Arrival Curve, simulator</t>
        </is>
      </c>
    </row>
    <row r="42">
      <c r="A42" s="5" t="inlineStr">
        <is>
          <t>MIT: lunch break ends</t>
        </is>
      </c>
      <c r="B42" s="22" t="n">
        <v>0.5416666666666666</v>
      </c>
      <c r="C42" s="5" t="inlineStr">
        <is>
          <t>time</t>
        </is>
      </c>
      <c r="D42" s="4" t="inlineStr">
        <is>
          <t>Measured</t>
        </is>
      </c>
      <c r="E42" s="14" t="inlineStr">
        <is>
          <t>Department timetable</t>
        </is>
      </c>
      <c r="F42" s="5" t="inlineStr">
        <is>
          <t>Oct 2026</t>
        </is>
      </c>
      <c r="G42" s="14" t="inlineStr">
        <is>
          <t>Arrival Curve, simulator</t>
        </is>
      </c>
    </row>
    <row r="43">
      <c r="A43" s="5" t="inlineStr">
        <is>
          <t>MIT: share eating in the lab-day break (average weekday)</t>
        </is>
      </c>
      <c r="B43" s="20" t="n">
        <v>0.45</v>
      </c>
      <c r="C43" s="5" t="inlineStr">
        <is>
          <t>share</t>
        </is>
      </c>
      <c r="D43" s="5" t="inlineStr">
        <is>
          <t>Assumed</t>
        </is>
      </c>
      <c r="E43" s="14" t="inlineStr">
        <is>
          <t>Labs: electrical 3 days/week, other branches 2. Assumed 5-day week, ~25% electrical: 0.75×2/5 + 0.25×3/5</t>
        </is>
      </c>
      <c r="F43" s="5" t="inlineStr">
        <is>
          <t>Oct 2026</t>
        </is>
      </c>
      <c r="G43" s="14" t="inlineStr">
        <is>
          <t>Arrival Curve, simulator</t>
        </is>
      </c>
    </row>
    <row r="44">
      <c r="A44" s="5" t="inlineStr">
        <is>
          <t>MIT: lab-day break starts</t>
        </is>
      </c>
      <c r="B44" s="22" t="n">
        <v>0.5416666666666666</v>
      </c>
      <c r="C44" s="5" t="inlineStr">
        <is>
          <t>time</t>
        </is>
      </c>
      <c r="D44" s="4" t="inlineStr">
        <is>
          <t>Measured</t>
        </is>
      </c>
      <c r="E44" s="14" t="inlineStr">
        <is>
          <t>Group: 13:00–14:00 if there is a lab</t>
        </is>
      </c>
      <c r="F44" s="5" t="inlineStr">
        <is>
          <t>Oct 2026</t>
        </is>
      </c>
      <c r="G44" s="14" t="inlineStr">
        <is>
          <t>Arrival Curve, simulator</t>
        </is>
      </c>
    </row>
    <row r="45">
      <c r="A45" s="5" t="inlineStr">
        <is>
          <t>MIT: lab-day break ends</t>
        </is>
      </c>
      <c r="B45" s="22" t="n">
        <v>0.5833333333333334</v>
      </c>
      <c r="C45" s="5" t="inlineStr">
        <is>
          <t>time</t>
        </is>
      </c>
      <c r="D45" s="4" t="inlineStr">
        <is>
          <t>Measured</t>
        </is>
      </c>
      <c r="E45" s="14" t="inlineStr">
        <is>
          <t>As above</t>
        </is>
      </c>
      <c r="F45" s="5" t="inlineStr">
        <is>
          <t>Oct 2026</t>
        </is>
      </c>
      <c r="G45" s="14" t="inlineStr">
        <is>
          <t>Arrival Curve, simulator</t>
        </is>
      </c>
    </row>
    <row r="46">
      <c r="A46" s="5" t="inlineStr">
        <is>
          <t>TAPMI: students (rough)</t>
        </is>
      </c>
      <c r="B46" s="21" t="n">
        <v>850</v>
      </c>
      <c r="C46" s="5" t="inlineStr">
        <is>
          <t>students</t>
        </is>
      </c>
      <c r="D46" s="5" t="inlineStr">
        <is>
          <t>Group estimate</t>
        </is>
      </c>
      <c r="E46" s="14" t="inlineStr">
        <is>
          <t>Group: ~850 (rough)</t>
        </is>
      </c>
      <c r="F46" s="5" t="inlineStr">
        <is>
          <t>Oct 2026</t>
        </is>
      </c>
      <c r="G46" s="14" t="inlineStr">
        <is>
          <t>Arrival Curve, simulator</t>
        </is>
      </c>
    </row>
    <row r="47">
      <c r="A47" s="5" t="inlineStr">
        <is>
          <t>TAPMI: lunch break starts</t>
        </is>
      </c>
      <c r="B47" s="22" t="n">
        <v>0.5451388888888888</v>
      </c>
      <c r="C47" s="5" t="inlineStr">
        <is>
          <t>time</t>
        </is>
      </c>
      <c r="D47" s="4" t="inlineStr">
        <is>
          <t>Measured</t>
        </is>
      </c>
      <c r="E47" s="14" t="inlineStr">
        <is>
          <t>Department timetable</t>
        </is>
      </c>
      <c r="F47" s="5" t="inlineStr">
        <is>
          <t>Oct 2026</t>
        </is>
      </c>
      <c r="G47" s="14" t="inlineStr">
        <is>
          <t>Arrival Curve, simulator</t>
        </is>
      </c>
    </row>
    <row r="48">
      <c r="A48" s="5" t="inlineStr">
        <is>
          <t>TAPMI: lunch break ends</t>
        </is>
      </c>
      <c r="B48" s="22" t="n">
        <v>0.5833333333333334</v>
      </c>
      <c r="C48" s="5" t="inlineStr">
        <is>
          <t>time</t>
        </is>
      </c>
      <c r="D48" s="4" t="inlineStr">
        <is>
          <t>Measured</t>
        </is>
      </c>
      <c r="E48" s="14" t="inlineStr">
        <is>
          <t>Department timetable</t>
        </is>
      </c>
      <c r="F48" s="5" t="inlineStr">
        <is>
          <t>Oct 2026</t>
        </is>
      </c>
      <c r="G48" s="14" t="inlineStr">
        <is>
          <t>Arrival Curve, simulator</t>
        </is>
      </c>
    </row>
    <row r="49">
      <c r="A49" s="5" t="inlineStr">
        <is>
          <t>DOC/MICFE: students (rough)</t>
        </is>
      </c>
      <c r="B49" s="21" t="n">
        <v>550</v>
      </c>
      <c r="C49" s="5" t="inlineStr">
        <is>
          <t>students</t>
        </is>
      </c>
      <c r="D49" s="5" t="inlineStr">
        <is>
          <t>Group estimate</t>
        </is>
      </c>
      <c r="E49" s="14" t="inlineStr">
        <is>
          <t>Group: ~550 (rough)</t>
        </is>
      </c>
      <c r="F49" s="5" t="inlineStr">
        <is>
          <t>Oct 2026</t>
        </is>
      </c>
      <c r="G49" s="14" t="inlineStr">
        <is>
          <t>Arrival Curve, simulator</t>
        </is>
      </c>
    </row>
    <row r="50">
      <c r="A50" s="5" t="inlineStr">
        <is>
          <t>DOC/MICFE: lunch break starts</t>
        </is>
      </c>
      <c r="B50" s="22" t="n">
        <v>0.5208333333333334</v>
      </c>
      <c r="C50" s="5" t="inlineStr">
        <is>
          <t>time</t>
        </is>
      </c>
      <c r="D50" s="4" t="inlineStr">
        <is>
          <t>Measured</t>
        </is>
      </c>
      <c r="E50" s="14" t="inlineStr">
        <is>
          <t>Department timetable</t>
        </is>
      </c>
      <c r="F50" s="5" t="inlineStr">
        <is>
          <t>Oct 2026</t>
        </is>
      </c>
      <c r="G50" s="14" t="inlineStr">
        <is>
          <t>Arrival Curve, simulator</t>
        </is>
      </c>
    </row>
    <row r="51">
      <c r="A51" s="5" t="inlineStr">
        <is>
          <t>DOC/MICFE: lunch break ends</t>
        </is>
      </c>
      <c r="B51" s="22" t="n">
        <v>0.5625</v>
      </c>
      <c r="C51" s="5" t="inlineStr">
        <is>
          <t>time</t>
        </is>
      </c>
      <c r="D51" s="4" t="inlineStr">
        <is>
          <t>Measured</t>
        </is>
      </c>
      <c r="E51" s="14" t="inlineStr">
        <is>
          <t>Department timetable</t>
        </is>
      </c>
      <c r="F51" s="5" t="inlineStr">
        <is>
          <t>Oct 2026</t>
        </is>
      </c>
      <c r="G51" s="14" t="inlineStr">
        <is>
          <t>Arrival Curve, simulator</t>
        </is>
      </c>
    </row>
    <row r="52">
      <c r="A52" s="5" t="inlineStr">
        <is>
          <t>SMI: students (rough)</t>
        </is>
      </c>
      <c r="B52" s="21" t="n">
        <v>450</v>
      </c>
      <c r="C52" s="5" t="inlineStr">
        <is>
          <t>students</t>
        </is>
      </c>
      <c r="D52" s="5" t="inlineStr">
        <is>
          <t>Group estimate</t>
        </is>
      </c>
      <c r="E52" s="14" t="inlineStr">
        <is>
          <t>Group: ~450 (rough)</t>
        </is>
      </c>
      <c r="F52" s="5" t="inlineStr">
        <is>
          <t>Oct 2026</t>
        </is>
      </c>
      <c r="G52" s="14" t="inlineStr">
        <is>
          <t>Arrival Curve, simulator</t>
        </is>
      </c>
    </row>
    <row r="53">
      <c r="A53" s="5" t="inlineStr">
        <is>
          <t>SMI: lunch break starts</t>
        </is>
      </c>
      <c r="B53" s="22" t="n">
        <v>0.5</v>
      </c>
      <c r="C53" s="5" t="inlineStr">
        <is>
          <t>time</t>
        </is>
      </c>
      <c r="D53" s="4" t="inlineStr">
        <is>
          <t>Measured</t>
        </is>
      </c>
      <c r="E53" s="14" t="inlineStr">
        <is>
          <t>Department timetable</t>
        </is>
      </c>
      <c r="F53" s="5" t="inlineStr">
        <is>
          <t>Oct 2026</t>
        </is>
      </c>
      <c r="G53" s="14" t="inlineStr">
        <is>
          <t>Arrival Curve, simulator</t>
        </is>
      </c>
    </row>
    <row r="54">
      <c r="A54" s="5" t="inlineStr">
        <is>
          <t>SMI: lunch break ends</t>
        </is>
      </c>
      <c r="B54" s="22" t="n">
        <v>0.5416666666666666</v>
      </c>
      <c r="C54" s="5" t="inlineStr">
        <is>
          <t>time</t>
        </is>
      </c>
      <c r="D54" s="4" t="inlineStr">
        <is>
          <t>Measured</t>
        </is>
      </c>
      <c r="E54" s="14" t="inlineStr">
        <is>
          <t>Department timetable</t>
        </is>
      </c>
      <c r="F54" s="5" t="inlineStr">
        <is>
          <t>Oct 2026</t>
        </is>
      </c>
      <c r="G54" s="14" t="inlineStr">
        <is>
          <t>Arrival Curve, simulator</t>
        </is>
      </c>
    </row>
    <row r="55">
      <c r="A55" s="5" t="inlineStr">
        <is>
          <t>DLHS/MILHS: students (rough)</t>
        </is>
      </c>
      <c r="B55" s="21" t="n">
        <v>100</v>
      </c>
      <c r="C55" s="5" t="inlineStr">
        <is>
          <t>students</t>
        </is>
      </c>
      <c r="D55" s="5" t="inlineStr">
        <is>
          <t>Assumed</t>
        </is>
      </c>
      <c r="E55" s="14" t="inlineStr">
        <is>
          <t>Size not known yet: taken as similar to MLS + MIRM</t>
        </is>
      </c>
      <c r="F55" s="5" t="inlineStr">
        <is>
          <t>Oct 2026</t>
        </is>
      </c>
      <c r="G55" s="14" t="inlineStr">
        <is>
          <t>Arrival Curve, simulator</t>
        </is>
      </c>
    </row>
    <row r="56">
      <c r="A56" s="5" t="inlineStr">
        <is>
          <t>DLHS/MILHS: lunch break starts</t>
        </is>
      </c>
      <c r="B56" s="22" t="n">
        <v>0.5277777777777778</v>
      </c>
      <c r="C56" s="5" t="inlineStr">
        <is>
          <t>time</t>
        </is>
      </c>
      <c r="D56" s="4" t="inlineStr">
        <is>
          <t>Measured</t>
        </is>
      </c>
      <c r="E56" s="14" t="inlineStr">
        <is>
          <t>Department timetable</t>
        </is>
      </c>
      <c r="F56" s="5" t="inlineStr">
        <is>
          <t>Oct 2026</t>
        </is>
      </c>
      <c r="G56" s="14" t="inlineStr">
        <is>
          <t>Arrival Curve, simulator</t>
        </is>
      </c>
    </row>
    <row r="57">
      <c r="A57" s="5" t="inlineStr">
        <is>
          <t>DLHS/MILHS: lunch break ends</t>
        </is>
      </c>
      <c r="B57" s="22" t="n">
        <v>0.5694444444444444</v>
      </c>
      <c r="C57" s="5" t="inlineStr">
        <is>
          <t>time</t>
        </is>
      </c>
      <c r="D57" s="4" t="inlineStr">
        <is>
          <t>Measured</t>
        </is>
      </c>
      <c r="E57" s="14" t="inlineStr">
        <is>
          <t>Department timetable</t>
        </is>
      </c>
      <c r="F57" s="5" t="inlineStr">
        <is>
          <t>Oct 2026</t>
        </is>
      </c>
      <c r="G57" s="14" t="inlineStr">
        <is>
          <t>Arrival Curve, simulator</t>
        </is>
      </c>
    </row>
    <row r="58">
      <c r="A58" s="5" t="inlineStr">
        <is>
          <t>MLS: students (rough)</t>
        </is>
      </c>
      <c r="B58" s="21" t="n">
        <v>50</v>
      </c>
      <c r="C58" s="5" t="inlineStr">
        <is>
          <t>students</t>
        </is>
      </c>
      <c r="D58" s="5" t="inlineStr">
        <is>
          <t>Assumed</t>
        </is>
      </c>
      <c r="E58" s="14" t="inlineStr">
        <is>
          <t>Group: MLS + MIRM ~100 together; half each assumed</t>
        </is>
      </c>
      <c r="F58" s="5" t="inlineStr">
        <is>
          <t>Oct 2026</t>
        </is>
      </c>
      <c r="G58" s="14" t="inlineStr">
        <is>
          <t>Arrival Curve, simulator</t>
        </is>
      </c>
    </row>
    <row r="59">
      <c r="A59" s="5" t="inlineStr">
        <is>
          <t>MLS: lunch break starts</t>
        </is>
      </c>
      <c r="B59" s="22" t="n">
        <v>0.5347222222222222</v>
      </c>
      <c r="C59" s="5" t="inlineStr">
        <is>
          <t>time</t>
        </is>
      </c>
      <c r="D59" s="4" t="inlineStr">
        <is>
          <t>Measured</t>
        </is>
      </c>
      <c r="E59" s="14" t="inlineStr">
        <is>
          <t>Department timetable</t>
        </is>
      </c>
      <c r="F59" s="5" t="inlineStr">
        <is>
          <t>Oct 2026</t>
        </is>
      </c>
      <c r="G59" s="14" t="inlineStr">
        <is>
          <t>Arrival Curve, simulator</t>
        </is>
      </c>
    </row>
    <row r="60">
      <c r="A60" s="5" t="inlineStr">
        <is>
          <t>MLS: lunch break ends</t>
        </is>
      </c>
      <c r="B60" s="22" t="n">
        <v>0.5763888888888888</v>
      </c>
      <c r="C60" s="5" t="inlineStr">
        <is>
          <t>time</t>
        </is>
      </c>
      <c r="D60" s="4" t="inlineStr">
        <is>
          <t>Measured</t>
        </is>
      </c>
      <c r="E60" s="14" t="inlineStr">
        <is>
          <t>Department timetable</t>
        </is>
      </c>
      <c r="F60" s="5" t="inlineStr">
        <is>
          <t>Oct 2026</t>
        </is>
      </c>
      <c r="G60" s="14" t="inlineStr">
        <is>
          <t>Arrival Curve, simulator</t>
        </is>
      </c>
    </row>
    <row r="61">
      <c r="A61" s="5" t="inlineStr">
        <is>
          <t>MIRM: students (rough)</t>
        </is>
      </c>
      <c r="B61" s="21" t="n">
        <v>50</v>
      </c>
      <c r="C61" s="5" t="inlineStr">
        <is>
          <t>students</t>
        </is>
      </c>
      <c r="D61" s="5" t="inlineStr">
        <is>
          <t>Assumed</t>
        </is>
      </c>
      <c r="E61" s="14" t="inlineStr">
        <is>
          <t>As MLS</t>
        </is>
      </c>
      <c r="F61" s="5" t="inlineStr">
        <is>
          <t>Oct 2026</t>
        </is>
      </c>
      <c r="G61" s="14" t="inlineStr">
        <is>
          <t>Arrival Curve, simulator</t>
        </is>
      </c>
    </row>
    <row r="62">
      <c r="A62" s="5" t="inlineStr">
        <is>
          <t>MIRM: lunch break starts</t>
        </is>
      </c>
      <c r="B62" s="23" t="n">
        <v>0.5208333333333334</v>
      </c>
      <c r="C62" s="5" t="inlineStr">
        <is>
          <t>time</t>
        </is>
      </c>
      <c r="D62" s="5" t="inlineStr">
        <is>
          <t>Assumed</t>
        </is>
      </c>
      <c r="E62" s="14" t="inlineStr">
        <is>
          <t>Timing not known: placed in the middle of the other breaks</t>
        </is>
      </c>
      <c r="F62" s="5" t="inlineStr">
        <is>
          <t>Oct 2026</t>
        </is>
      </c>
      <c r="G62" s="14" t="inlineStr">
        <is>
          <t>Arrival Curve, simulator</t>
        </is>
      </c>
    </row>
    <row r="63">
      <c r="A63" s="5" t="inlineStr">
        <is>
          <t>MIRM: lunch break ends</t>
        </is>
      </c>
      <c r="B63" s="23" t="n">
        <v>0.5625</v>
      </c>
      <c r="C63" s="5" t="inlineStr">
        <is>
          <t>time</t>
        </is>
      </c>
      <c r="D63" s="5" t="inlineStr">
        <is>
          <t>Assumed</t>
        </is>
      </c>
      <c r="E63" s="14" t="inlineStr">
        <is>
          <t>Timing not known: placed in the middle of the other breaks</t>
        </is>
      </c>
      <c r="F63" s="5" t="inlineStr">
        <is>
          <t>Oct 2026</t>
        </is>
      </c>
      <c r="G63" s="14" t="inlineStr">
        <is>
          <t>Arrival Curve, simulator</t>
        </is>
      </c>
    </row>
    <row r="64">
      <c r="A64" s="12" t="inlineStr">
        <is>
          <t>FOOD</t>
        </is>
      </c>
    </row>
    <row r="65">
      <c r="A65" s="5" t="inlineStr">
        <is>
          <t>Chance the next batch is already made when the mess calls</t>
        </is>
      </c>
      <c r="B65" s="20" t="n">
        <v>0.7</v>
      </c>
      <c r="C65" s="5" t="inlineStr">
        <is>
          <t>share</t>
        </is>
      </c>
      <c r="D65" s="5" t="inlineStr">
        <is>
          <t>Group estimate</t>
        </is>
      </c>
      <c r="E65" s="14" t="inlineStr">
        <is>
          <t>Group: about 70% of the time</t>
        </is>
      </c>
      <c r="F65" s="5" t="inlineStr">
        <is>
          <t>Oct 2026</t>
        </is>
      </c>
      <c r="G65" s="14" t="inlineStr">
        <is>
          <t>Decision Rule, simulator</t>
        </is>
      </c>
    </row>
    <row r="66">
      <c r="A66" s="5" t="inlineStr">
        <is>
          <t>Food left when the manager taps 'running low' (= calls the kitchen)</t>
        </is>
      </c>
      <c r="B66" s="17" t="n">
        <v>20</v>
      </c>
      <c r="C66" s="5" t="inlineStr">
        <is>
          <t>minutes</t>
        </is>
      </c>
      <c r="D66" s="5" t="inlineStr">
        <is>
          <t>Assumed</t>
        </is>
      </c>
      <c r="E66" s="14" t="inlineStr">
        <is>
          <t>Protocol for the manager. Record tap times and run-out times to check it</t>
        </is>
      </c>
      <c r="F66" s="5" t="inlineStr">
        <is>
          <t>—</t>
        </is>
      </c>
      <c r="G66" s="14" t="inlineStr">
        <is>
          <t>Decision Rule, simulator</t>
        </is>
      </c>
    </row>
    <row r="67">
      <c r="A67" s="5" t="inlineStr">
        <is>
          <t>Star-dish servings per student</t>
        </is>
      </c>
      <c r="B67" s="18" t="n">
        <v>1</v>
      </c>
      <c r="C67" s="5" t="inlineStr">
        <is>
          <t>servings</t>
        </is>
      </c>
      <c r="D67" s="5" t="inlineStr">
        <is>
          <t>Assumed</t>
        </is>
      </c>
      <c r="E67" s="14" t="inlineStr">
        <is>
          <t>Star dish is refillable: measure portions issued ÷ plates</t>
        </is>
      </c>
      <c r="F67" s="5" t="inlineStr">
        <is>
          <t>—</t>
        </is>
      </c>
      <c r="G67" s="14" t="inlineStr">
        <is>
          <t>LP Food Allocation</t>
        </is>
      </c>
    </row>
    <row r="68">
      <c r="A68" s="5" t="inlineStr">
        <is>
          <t>Star-dish portions Munch can serve this lunch (plan)</t>
        </is>
      </c>
      <c r="B68" s="21" t="n">
        <v>1000</v>
      </c>
      <c r="C68" s="5" t="inlineStr">
        <is>
          <t>portions</t>
        </is>
      </c>
      <c r="D68" s="5" t="inlineStr">
        <is>
          <t>Assumed</t>
        </is>
      </c>
      <c r="E68" s="14" t="inlineStr">
        <is>
          <t>Ask CT: batches planned for Munch</t>
        </is>
      </c>
      <c r="F68" s="5" t="inlineStr">
        <is>
          <t>—</t>
        </is>
      </c>
      <c r="G68" s="14" t="inlineStr">
        <is>
          <t>LP Student Flow (food constraint)</t>
        </is>
      </c>
    </row>
    <row r="69">
      <c r="A69" s="5" t="inlineStr">
        <is>
          <t>Star-dish portions the kitchen can have ready before the peak</t>
        </is>
      </c>
      <c r="B69" s="21" t="n">
        <v>2400</v>
      </c>
      <c r="C69" s="5" t="inlineStr">
        <is>
          <t>portions</t>
        </is>
      </c>
      <c r="D69" s="5" t="inlineStr">
        <is>
          <t>Assumed</t>
        </is>
      </c>
      <c r="E69" s="14" t="inlineStr">
        <is>
          <t>Ask CT</t>
        </is>
      </c>
      <c r="F69" s="5" t="inlineStr">
        <is>
          <t>—</t>
        </is>
      </c>
      <c r="G69" s="14" t="inlineStr">
        <is>
          <t>LP Food Allocation</t>
        </is>
      </c>
    </row>
    <row r="70">
      <c r="A70" s="12" t="inlineStr">
        <is>
          <t>KINDS OF DAY (for the payoff matrix; from the biometric logs once available)</t>
        </is>
      </c>
    </row>
    <row r="71">
      <c r="A71" s="5" t="inlineStr">
        <is>
          <t>Share of lunches that are normal (−20% students)</t>
        </is>
      </c>
      <c r="B71" s="20" t="n">
        <v>0.3</v>
      </c>
      <c r="C71" s="5" t="inlineStr">
        <is>
          <t>share</t>
        </is>
      </c>
      <c r="D71" s="5" t="inlineStr">
        <is>
          <t>Assumed</t>
        </is>
      </c>
      <c r="E71" s="14" t="inlineStr">
        <is>
          <t>Count days by arrivals in the logs</t>
        </is>
      </c>
      <c r="F71" s="5" t="inlineStr">
        <is>
          <t>—</t>
        </is>
      </c>
      <c r="G71" s="14" t="inlineStr">
        <is>
          <t>S7 Payoff Matrix</t>
        </is>
      </c>
    </row>
    <row r="72">
      <c r="A72" s="5" t="inlineStr">
        <is>
          <t>Share of lunches that are busy (~2,960 students)</t>
        </is>
      </c>
      <c r="B72" s="20" t="n">
        <v>0.5</v>
      </c>
      <c r="C72" s="5" t="inlineStr">
        <is>
          <t>share</t>
        </is>
      </c>
      <c r="D72" s="5" t="inlineStr">
        <is>
          <t>Assumed</t>
        </is>
      </c>
      <c r="E72" s="14" t="inlineStr">
        <is>
          <t>As above</t>
        </is>
      </c>
      <c r="F72" s="5" t="inlineStr">
        <is>
          <t>—</t>
        </is>
      </c>
      <c r="G72" s="14" t="inlineStr">
        <is>
          <t>S7 Payoff Matrix</t>
        </is>
      </c>
    </row>
    <row r="73">
      <c r="A73" s="5" t="inlineStr">
        <is>
          <t>Share of lunches with a surge and late refills</t>
        </is>
      </c>
      <c r="B73" s="20" t="n">
        <v>0.2</v>
      </c>
      <c r="C73" s="5" t="inlineStr">
        <is>
          <t>share</t>
        </is>
      </c>
      <c r="D73" s="5" t="inlineStr">
        <is>
          <t>Assumed</t>
        </is>
      </c>
      <c r="E73" s="14" t="inlineStr">
        <is>
          <t>As above</t>
        </is>
      </c>
      <c r="F73" s="5" t="inlineStr">
        <is>
          <t>—</t>
        </is>
      </c>
      <c r="G73" s="14" t="inlineStr">
        <is>
          <t>S7 Payoff Matrix</t>
        </is>
      </c>
    </row>
    <row r="74">
      <c r="A74" s="12" t="inlineStr">
        <is>
          <t>POLICY SETTINGS (our choice)</t>
        </is>
      </c>
    </row>
    <row r="75">
      <c r="A75" s="5" t="inlineStr">
        <is>
          <t>Target maximum utilisation per station</t>
        </is>
      </c>
      <c r="B75" s="24" t="n">
        <v>0.85</v>
      </c>
      <c r="C75" s="5" t="inlineStr">
        <is>
          <t>share</t>
        </is>
      </c>
      <c r="D75" s="5" t="inlineStr">
        <is>
          <t>Policy</t>
        </is>
      </c>
      <c r="E75" s="14" t="inlineStr">
        <is>
          <t>Above ~85% waits rise steeply (S15)</t>
        </is>
      </c>
      <c r="F75" s="5" t="inlineStr">
        <is>
          <t>—</t>
        </is>
      </c>
      <c r="G75" s="14" t="inlineStr">
        <is>
          <t>S15</t>
        </is>
      </c>
    </row>
    <row r="76">
      <c r="A76" s="5" t="inlineStr">
        <is>
          <t>Minimum saving before a screen suggests switching</t>
        </is>
      </c>
      <c r="B76" s="25" t="n">
        <v>2</v>
      </c>
      <c r="C76" s="5" t="inlineStr">
        <is>
          <t>minutes</t>
        </is>
      </c>
      <c r="D76" s="5" t="inlineStr">
        <is>
          <t>Policy</t>
        </is>
      </c>
      <c r="E76" s="14" t="inlineStr">
        <is>
          <t>Prototype setting (config: layout.min_saving_min)</t>
        </is>
      </c>
      <c r="F76" s="5" t="inlineStr">
        <is>
          <t>—</t>
        </is>
      </c>
      <c r="G76" s="14" t="inlineStr">
        <is>
          <t>Decision Rule, S18, simulator</t>
        </is>
      </c>
    </row>
    <row r="77">
      <c r="A77" s="5" t="inlineStr">
        <is>
          <t>Extra margin for estimate uncertainty</t>
        </is>
      </c>
      <c r="B77" s="25" t="n">
        <v>0.5</v>
      </c>
      <c r="C77" s="5" t="inlineStr">
        <is>
          <t>minutes</t>
        </is>
      </c>
      <c r="D77" s="5" t="inlineStr">
        <is>
          <t>Policy</t>
        </is>
      </c>
      <c r="E77" s="14" t="inlineStr">
        <is>
          <t>Added to the minimum saving in the decision rule</t>
        </is>
      </c>
      <c r="F77" s="5" t="inlineStr">
        <is>
          <t>—</t>
        </is>
      </c>
      <c r="G77" s="14" t="inlineStr">
        <is>
          <t>Decision Rule</t>
        </is>
      </c>
    </row>
    <row r="78">
      <c r="A78" s="5" t="inlineStr">
        <is>
          <t>No advice if a scanner has sent nothing for</t>
        </is>
      </c>
      <c r="B78" s="16" t="n">
        <v>3</v>
      </c>
      <c r="C78" s="5" t="inlineStr">
        <is>
          <t>minutes</t>
        </is>
      </c>
      <c r="D78" s="5" t="inlineStr">
        <is>
          <t>Policy</t>
        </is>
      </c>
      <c r="E78" s="14" t="inlineStr">
        <is>
          <t>Data check: a silent scanner means the estimate is stale</t>
        </is>
      </c>
      <c r="F78" s="5" t="inlineStr">
        <is>
          <t>—</t>
        </is>
      </c>
      <c r="G78" s="14" t="inlineStr">
        <is>
          <t>Decision Rule</t>
        </is>
      </c>
    </row>
    <row r="79"/>
    <row r="80">
      <c r="A80" s="12" t="inlineStr">
        <is>
          <t>DERIVED (formulas: do not type here)</t>
        </is>
      </c>
    </row>
    <row r="81">
      <c r="A81" s="5" t="inlineStr">
        <is>
          <t>Serving capacity: Central CT (stations × service rate)</t>
        </is>
      </c>
      <c r="B81" s="26">
        <f>'Inputs'!$B$11*'Inputs'!$B$26</f>
        <v/>
      </c>
      <c r="C81" s="5" t="inlineStr">
        <is>
          <t>students/min</t>
        </is>
      </c>
      <c r="D81" s="5" t="inlineStr">
        <is>
          <t>Derived</t>
        </is>
      </c>
    </row>
    <row r="82">
      <c r="A82" s="5" t="inlineStr">
        <is>
          <t>Serving capacity: Munch Mess</t>
        </is>
      </c>
      <c r="B82" s="26">
        <f>'Inputs'!$B$12*'Inputs'!$B$26</f>
        <v/>
      </c>
      <c r="C82" s="5" t="inlineStr">
        <is>
          <t>students/min</t>
        </is>
      </c>
      <c r="D82" s="5" t="inlineStr">
        <is>
          <t>Derived</t>
        </is>
      </c>
    </row>
    <row r="83">
      <c r="A83" s="5" t="inlineStr">
        <is>
          <t>Scanner capacity: Central (scanners × 60 ÷ seconds per scan)</t>
        </is>
      </c>
      <c r="B83" s="26">
        <f>'Inputs'!$B$13*60/'Inputs'!$B$23</f>
        <v/>
      </c>
      <c r="C83" s="5" t="inlineStr">
        <is>
          <t>students/min</t>
        </is>
      </c>
      <c r="D83" s="5" t="inlineStr">
        <is>
          <t>Derived</t>
        </is>
      </c>
    </row>
    <row r="84">
      <c r="A84" s="5" t="inlineStr">
        <is>
          <t>Scanner capacity: Munch</t>
        </is>
      </c>
      <c r="B84" s="26">
        <f>'Inputs'!$B$14*60/'Inputs'!$B$23</f>
        <v/>
      </c>
      <c r="C84" s="5" t="inlineStr">
        <is>
          <t>students/min</t>
        </is>
      </c>
      <c r="D84" s="5" t="inlineStr">
        <is>
          <t>Derived</t>
        </is>
      </c>
    </row>
    <row r="85">
      <c r="A85" s="5" t="inlineStr">
        <is>
          <t>Stage 1 time with no queue: scan + collect a plate</t>
        </is>
      </c>
      <c r="B85" s="27">
        <f>('Inputs'!$B$23+('Inputs'!$B$24+'Inputs'!$B$25)/2)/60</f>
        <v/>
      </c>
      <c r="C85" s="5" t="inlineStr">
        <is>
          <t>minutes</t>
        </is>
      </c>
      <c r="D85" s="5" t="inlineStr">
        <is>
          <t>Derived</t>
        </is>
      </c>
    </row>
    <row r="86">
      <c r="A86" s="5" t="inlineStr">
        <is>
          <t>Stage 2 time after the station: walk the food line</t>
        </is>
      </c>
      <c r="B86" s="27">
        <f>('Inputs'!$B$27+'Inputs'!$B$28)/2/60</f>
        <v/>
      </c>
      <c r="C86" s="5" t="inlineStr">
        <is>
          <t>minutes</t>
        </is>
      </c>
      <c r="D86" s="5" t="inlineStr">
        <is>
          <t>Derived</t>
        </is>
      </c>
    </row>
    <row r="87">
      <c r="A87" s="5" t="inlineStr">
        <is>
          <t>Stage 3 mean eating time (a seat is held while eating)</t>
        </is>
      </c>
      <c r="B87" s="27">
        <f>('Inputs'!$B$29+'Inputs'!$B$30)/2</f>
        <v/>
      </c>
      <c r="C87" s="5" t="inlineStr">
        <is>
          <t>minutes</t>
        </is>
      </c>
      <c r="D87" s="5" t="inlineStr">
        <is>
          <t>Derived</t>
        </is>
      </c>
    </row>
    <row r="88">
      <c r="A88" s="5" t="inlineStr">
        <is>
          <t>Stage 4 mean disposal time</t>
        </is>
      </c>
      <c r="B88" s="27">
        <f>('Inputs'!$B$31+'Inputs'!$B$32)/2</f>
        <v/>
      </c>
      <c r="C88" s="5" t="inlineStr">
        <is>
          <t>minutes</t>
        </is>
      </c>
      <c r="D88" s="5" t="inlineStr">
        <is>
          <t>Derived</t>
        </is>
      </c>
    </row>
    <row r="89">
      <c r="A89" s="5" t="inlineStr">
        <is>
          <t>Throughput with no queues: stage 1 + serving + food line + eating + disposal</t>
        </is>
      </c>
      <c r="B89" s="26">
        <f>'Inputs'!$B$85+1/'Inputs'!$B$26+'Inputs'!$B$86+'Inputs'!$B$87+'Inputs'!$B$88</f>
        <v/>
      </c>
      <c r="C89" s="5" t="inlineStr">
        <is>
          <t>minutes</t>
        </is>
      </c>
      <c r="D89" s="5" t="inlineStr">
        <is>
          <t>Derived</t>
        </is>
      </c>
    </row>
    <row r="90">
      <c r="A90" s="5" t="inlineStr">
        <is>
          <t>Expected refill time from the call: ready × (10–14 mean) + not ready × 30</t>
        </is>
      </c>
      <c r="B90" s="26">
        <f>'Inputs'!$B$65*('Inputs'!$B$19+'Inputs'!$B$20)/2+(1-'Inputs'!$B$65)*'Inputs'!$B$18</f>
        <v/>
      </c>
      <c r="C90" s="5" t="inlineStr">
        <is>
          <t>minutes</t>
        </is>
      </c>
      <c r="D90" s="5" t="inlineStr">
        <is>
          <t>Derived</t>
        </is>
      </c>
    </row>
    <row r="91">
      <c r="A91" s="5" t="inlineStr">
        <is>
          <t>Arrivals the seats can absorb: Central (Little's Law: seats ÷ eating time)</t>
        </is>
      </c>
      <c r="B91" s="26">
        <f>'Inputs'!$B$9/'Inputs'!$B$87</f>
        <v/>
      </c>
      <c r="C91" s="5" t="inlineStr">
        <is>
          <t>students/min</t>
        </is>
      </c>
      <c r="D91" s="5" t="inlineStr">
        <is>
          <t>Derived</t>
        </is>
      </c>
    </row>
    <row r="92">
      <c r="A92" s="5" t="inlineStr">
        <is>
          <t>Arrivals the seats can absorb: Munch</t>
        </is>
      </c>
      <c r="B92" s="26">
        <f>'Inputs'!$B$10/'Inputs'!$B$87</f>
        <v/>
      </c>
      <c r="C92" s="5" t="inlineStr">
        <is>
          <t>students/min</t>
        </is>
      </c>
      <c r="D92" s="5" t="inlineStr">
        <is>
          <t>Derived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39"/>
  <sheetViews>
    <sheetView showGridLines="0" workbookViewId="0">
      <selection activeCell="A1" sqref="A1"/>
    </sheetView>
  </sheetViews>
  <sheetFormatPr baseColWidth="8" defaultRowHeight="15"/>
  <cols>
    <col width="30" customWidth="1" min="1" max="1"/>
    <col width="36" customWidth="1" min="2" max="2"/>
    <col width="36" customWidth="1" min="3" max="3"/>
    <col width="34" customWidth="1" min="4" max="4"/>
    <col width="34" customWidth="1" min="5" max="5"/>
  </cols>
  <sheetData>
    <row r="1">
      <c r="A1" s="1" t="inlineStr">
        <is>
          <t>Problem definition, decision context and root causes</t>
        </is>
      </c>
      <c r="B1" s="2" t="n"/>
      <c r="C1" s="2" t="n"/>
      <c r="D1" s="2" t="n"/>
      <c r="E1" s="2" t="n"/>
    </row>
    <row r="2">
      <c r="A2" s="11" t="inlineStr">
        <is>
          <t>Sessions 2–3: Nature of business decisions · Problem identification, structuring, root cause analysis</t>
        </is>
      </c>
    </row>
    <row r="3"/>
    <row r="4">
      <c r="A4" s="4" t="inlineStr">
        <is>
          <t>Problem statement (Phase 2: Beyond the Bottleneck)</t>
        </is>
      </c>
    </row>
    <row r="5" ht="46" customHeight="1">
      <c r="A5" s="14" t="inlineStr">
        <is>
          <t>During the 11:30–14:30 lunch window, Chefs Touch serves about 2,960 students at Central CT and Munch Mess, which serve the same menu 30 seconds apart. Total serving capacity is enough on average but is used unevenly: one mess saturates while the other has spare capacity, so students wait (~15 min observed), and star-dish run-outs at the busy mess make it worse.</t>
        </is>
      </c>
    </row>
    <row r="6" ht="46" customHeight="1">
      <c r="A6" s="14" t="inlineStr">
        <is>
          <t>Primary decision (LP Student Flow): how many students should be directed to each mess in each 10-minute slot, so that waiting falls without adding staff or space? Constraints: serving capacity, food availability, walking time, compliance, demand uncertainty. Secondary decision (LP Food Allocation): how should the star dish be allocated and replenished to support that flow?</t>
        </is>
      </c>
    </row>
    <row r="7"/>
    <row r="8">
      <c r="A8" s="4" t="inlineStr">
        <is>
          <t>Session 2: nature of the decision</t>
        </is>
      </c>
    </row>
    <row r="9">
      <c r="A9" s="7" t="inlineStr">
        <is>
          <t>Dimension</t>
        </is>
      </c>
      <c r="B9" s="7" t="inlineStr">
        <is>
          <t>Classification</t>
        </is>
      </c>
      <c r="C9" s="7" t="inlineStr">
        <is>
          <t>Why</t>
        </is>
      </c>
    </row>
    <row r="10">
      <c r="A10" s="8" t="inlineStr">
        <is>
          <t>Level</t>
        </is>
      </c>
      <c r="B10" s="9" t="inlineStr">
        <is>
          <t>Operational</t>
        </is>
      </c>
      <c r="C10" s="9" t="inlineStr">
        <is>
          <t>Made every lunch, minute by minute, at the mess door and in the kitchen</t>
        </is>
      </c>
    </row>
    <row r="11">
      <c r="A11" s="8" t="inlineStr">
        <is>
          <t>Structure</t>
        </is>
      </c>
      <c r="B11" s="9" t="inlineStr">
        <is>
          <t>Structured / programmable</t>
        </is>
      </c>
      <c r="C11" s="9" t="inlineStr">
        <is>
          <t>The same choice repeats daily; inputs can be measured (scans, stock, stations)</t>
        </is>
      </c>
    </row>
    <row r="12">
      <c r="A12" s="8" t="inlineStr">
        <is>
          <t>Certainty</t>
        </is>
      </c>
      <c r="B12" s="9" t="inlineStr">
        <is>
          <t>Under risk / uncertainty</t>
        </is>
      </c>
      <c r="C12" s="9" t="inlineStr">
        <is>
          <t>Daily demand varies; probabilities come from the biometric logs</t>
        </is>
      </c>
    </row>
    <row r="13">
      <c r="A13" s="8" t="inlineStr">
        <is>
          <t>Frequency</t>
        </is>
      </c>
      <c r="B13" s="9" t="inlineStr">
        <is>
          <t>Recurring (daily)</t>
        </is>
      </c>
      <c r="C13" s="9" t="inlineStr">
        <is>
          <t>Justifies a model and a decision rule instead of ad-hoc judgement</t>
        </is>
      </c>
    </row>
    <row r="14">
      <c r="A14" s="8" t="inlineStr">
        <is>
          <t>Decision makers</t>
        </is>
      </c>
      <c r="B14" s="9" t="inlineStr">
        <is>
          <t>Mess manager (food status), students (which mess)</t>
        </is>
      </c>
      <c r="C14" s="9" t="inlineStr">
        <is>
          <t>Students' choice of mess is itself a decision we can inform</t>
        </is>
      </c>
    </row>
    <row r="15"/>
    <row r="16">
      <c r="A16" s="4" t="inlineStr">
        <is>
          <t>Session 3: 5 Whys, backtracked. Phase 1 stopped at a symptom; Phase 2 follows the chain to the root cause</t>
        </is>
      </c>
    </row>
    <row r="17">
      <c r="A17" s="7" t="inlineStr">
        <is>
          <t>Why?</t>
        </is>
      </c>
      <c r="B17" s="7" t="inlineStr">
        <is>
          <t>Phase 1 answer (symptom)</t>
        </is>
      </c>
      <c r="C17" s="7" t="inlineStr">
        <is>
          <t>Phase 2 answer (after backtracking)</t>
        </is>
      </c>
      <c r="D17" s="7" t="inlineStr">
        <is>
          <t>Evidence</t>
        </is>
      </c>
      <c r="E17" s="7" t="inlineStr">
        <is>
          <t>Status</t>
        </is>
      </c>
    </row>
    <row r="18" ht="30" customHeight="1">
      <c r="A18" s="9" t="inlineStr">
        <is>
          <t>1. Why do students wait ~15 min?</t>
        </is>
      </c>
      <c r="B18" s="9" t="inlineStr">
        <is>
          <t>Food runs out at peak</t>
        </is>
      </c>
      <c r="C18" s="9" t="inlineStr">
        <is>
          <t>Central's serving stations are overloaded at peak</t>
        </is>
      </c>
      <c r="D18" s="9" t="inlineStr">
        <is>
          <t>Line was at the stations; trays and seats free (field visit)</t>
        </is>
      </c>
      <c r="E18" s="8" t="inlineStr">
        <is>
          <t>Observed</t>
        </is>
      </c>
    </row>
    <row r="19" ht="30" customHeight="1">
      <c r="A19" s="9" t="inlineStr">
        <is>
          <t>2. Why are they overloaded?</t>
        </is>
      </c>
      <c r="B19" s="9" t="inlineStr">
        <is>
          <t>—</t>
        </is>
      </c>
      <c r="C19" s="9" t="inlineStr">
        <is>
          <t>~30 arrive/min against 20/min capacity at the 13:10 overlap, while Munch gets ~8</t>
        </is>
      </c>
      <c r="D19" s="9" t="inlineStr">
        <is>
          <t>S15 Queuing, Scenarios (simulated)</t>
        </is>
      </c>
      <c r="E19" s="8" t="inlineStr">
        <is>
          <t>Simulated; logs will confirm</t>
        </is>
      </c>
    </row>
    <row r="20" ht="30" customHeight="1">
      <c r="A20" s="9" t="inlineStr">
        <is>
          <t>3. Why so uneven?</t>
        </is>
      </c>
      <c r="B20" s="9" t="inlineStr">
        <is>
          <t>—</t>
        </is>
      </c>
      <c r="C20" s="9" t="inlineStr">
        <is>
          <t>About 80% go to Central by habit (~2,360 of ~2,960)</t>
        </is>
      </c>
      <c r="D20" s="9" t="inlineStr">
        <is>
          <t>Inputs: habit share</t>
        </is>
      </c>
      <c r="E20" s="8" t="inlineStr">
        <is>
          <t>Measured (group)</t>
        </is>
      </c>
    </row>
    <row r="21" ht="30" customHeight="1">
      <c r="A21" s="9" t="inlineStr">
        <is>
          <t>4. Why habit?</t>
        </is>
      </c>
      <c r="B21" s="9" t="inlineStr">
        <is>
          <t>—</t>
        </is>
      </c>
      <c r="C21" s="9" t="inlineStr">
        <is>
          <t>At the moment of choosing, nobody can see how busy either mess is</t>
        </is>
      </c>
      <c r="D21" s="9" t="inlineStr">
        <is>
          <t>S4 Biases</t>
        </is>
      </c>
      <c r="E21" s="8" t="inlineStr">
        <is>
          <t>Hypothesis (survey)</t>
        </is>
      </c>
    </row>
    <row r="22" ht="30" customHeight="1">
      <c r="A22" s="9" t="inlineStr">
        <is>
          <t>5. Why not?</t>
        </is>
      </c>
      <c r="B22" s="9" t="inlineStr">
        <is>
          <t>—</t>
        </is>
      </c>
      <c r="C22" s="9" t="inlineStr">
        <is>
          <t>Every entry is already scanned, but the data is never used live</t>
        </is>
      </c>
      <c r="D22" s="9" t="inlineStr">
        <is>
          <t>Biometric system exists (COSEC)</t>
        </is>
      </c>
      <c r="E22" s="8" t="inlineStr">
        <is>
          <t>Observed</t>
        </is>
      </c>
    </row>
    <row r="23"/>
    <row r="24" ht="30" customHeight="1">
      <c r="A24" s="14" t="inlineStr">
        <is>
          <t>Food chain: star dishes run out mid-peak → refills start only at a 'running low' call → 30 min if not already made → no forecast from live arrivals. Both chains end at the same gap: live demand data exists but nobody acts on it.</t>
        </is>
      </c>
    </row>
    <row r="25"/>
    <row r="26">
      <c r="A26" s="4" t="inlineStr">
        <is>
          <t>Session 3: fishbone (cause-and-effect) for 'long wait at lunch'</t>
        </is>
      </c>
    </row>
    <row r="27">
      <c r="A27" s="7" t="inlineStr">
        <is>
          <t>People</t>
        </is>
      </c>
      <c r="B27" s="7" t="inlineStr">
        <is>
          <t>Process</t>
        </is>
      </c>
      <c r="C27" s="7" t="inlineStr">
        <is>
          <t>Policy</t>
        </is>
      </c>
      <c r="D27" s="7" t="inlineStr">
        <is>
          <t>Information</t>
        </is>
      </c>
      <c r="E27" s="7" t="inlineStr">
        <is>
          <t>Logistics / place</t>
        </is>
      </c>
    </row>
    <row r="28" ht="30" customHeight="1">
      <c r="A28" s="9" t="inlineStr">
        <is>
          <t>Students arrive together at peak</t>
        </is>
      </c>
      <c r="B28" s="9" t="inlineStr">
        <is>
          <t>2 serving stations and 1 face scanner per mess</t>
        </is>
      </c>
      <c r="C28" s="9" t="inlineStr">
        <is>
          <t>Replenishment is reactive</t>
        </is>
      </c>
      <c r="D28" s="9" t="inlineStr">
        <is>
          <t>No live view of demand</t>
        </is>
      </c>
      <c r="E28" s="9" t="inlineStr">
        <is>
          <t>Delivery shares the student walkway</t>
        </is>
      </c>
    </row>
    <row r="29" ht="30" customHeight="1">
      <c r="A29" s="9" t="inlineStr">
        <is>
          <t>Habit: same mess every day</t>
        </is>
      </c>
      <c r="B29" s="9" t="inlineStr">
        <is>
          <t>Refilling at the counter stops the line</t>
        </is>
      </c>
      <c r="C29" s="9" t="inlineStr">
        <is>
          <t>Base foods under-buffered</t>
        </is>
      </c>
      <c r="D29" s="9" t="inlineStr">
        <is>
          <t>Published menu ≠ served menu</t>
        </is>
      </c>
      <c r="E29" s="9" t="inlineStr">
        <is>
          <t>Return station not measured</t>
        </is>
      </c>
    </row>
    <row r="30" ht="30" customHeight="1">
      <c r="A30" s="9" t="inlineStr">
        <is>
          <t>Herding: a long line looks better</t>
        </is>
      </c>
      <c r="B30" s="9" t="inlineStr">
        <is>
          <t>Serving rate not measured</t>
        </is>
      </c>
      <c r="C30" s="9" t="inlineStr">
        <is>
          <t>No reorder point</t>
        </is>
      </c>
      <c r="D30" s="9" t="inlineStr">
        <is>
          <t>No per-mess forecast</t>
        </is>
      </c>
      <c r="E30" s="9" t="inlineStr">
        <is>
          <t>One kitchen supplies five centres</t>
        </is>
      </c>
    </row>
    <row r="31"/>
    <row r="32">
      <c r="A32" s="4" t="inlineStr">
        <is>
          <t>Issue tree (problem structuring)</t>
        </is>
      </c>
    </row>
    <row r="33">
      <c r="A33" s="7" t="inlineStr">
        <is>
          <t>Branch</t>
        </is>
      </c>
      <c r="B33" s="7" t="inlineStr">
        <is>
          <t>Sub-question</t>
        </is>
      </c>
      <c r="C33" s="7" t="inlineStr">
        <is>
          <t>Tool in this workbook</t>
        </is>
      </c>
    </row>
    <row r="34">
      <c r="A34" s="8" t="inlineStr">
        <is>
          <t>Demand</t>
        </is>
      </c>
      <c r="B34" s="9" t="inlineStr">
        <is>
          <t>When and where do students arrive? Is Central really busier?</t>
        </is>
      </c>
      <c r="C34" s="9" t="inlineStr">
        <is>
          <t>Data Collection, S15 Queuing</t>
        </is>
      </c>
    </row>
    <row r="35">
      <c r="A35" s="8" t="inlineStr">
        <is>
          <t>Capacity</t>
        </is>
      </c>
      <c r="B35" s="9" t="inlineStr">
        <is>
          <t>How many stations, how fast, how much spare at Munch?</t>
        </is>
      </c>
      <c r="C35" s="9" t="inlineStr">
        <is>
          <t>S15 Queuing, Scenarios (stress tests)</t>
        </is>
      </c>
    </row>
    <row r="36">
      <c r="A36" s="8" t="inlineStr">
        <is>
          <t>Allocation of students</t>
        </is>
      </c>
      <c r="B36" s="9" t="inlineStr">
        <is>
          <t>How many to send to each mess, when?</t>
        </is>
      </c>
      <c r="C36" s="9" t="inlineStr">
        <is>
          <t>LP Student Flow (primary model), Decision Rule</t>
        </is>
      </c>
    </row>
    <row r="37">
      <c r="A37" s="8" t="inlineStr">
        <is>
          <t>Allocation of food</t>
        </is>
      </c>
      <c r="B37" s="9" t="inlineStr">
        <is>
          <t>How much of the star dish to each mess, and when to refill?</t>
        </is>
      </c>
      <c r="C37" s="9" t="inlineStr">
        <is>
          <t>LP Food Allocation, Decision Rule (refill clock), S18</t>
        </is>
      </c>
    </row>
    <row r="38">
      <c r="A38" s="8" t="inlineStr">
        <is>
          <t>Choice of intervention</t>
        </is>
      </c>
      <c r="B38" s="9" t="inlineStr">
        <is>
          <t>Which option is best on normal, busy and surge days?</t>
        </is>
      </c>
      <c r="C38" s="9" t="inlineStr">
        <is>
          <t>S7 Payoff Matrix, Scenarios</t>
        </is>
      </c>
    </row>
    <row r="39">
      <c r="A39" s="8" t="inlineStr">
        <is>
          <t>Model trust</t>
        </is>
      </c>
      <c r="B39" s="9" t="inlineStr">
        <is>
          <t>Do the spreadsheet and the simulator agree?</t>
        </is>
      </c>
      <c r="C39" s="9" t="inlineStr">
        <is>
          <t>Reconciliation, Simulation Method, Checks</t>
        </is>
      </c>
    </row>
  </sheetData>
  <mergeCells count="3">
    <mergeCell ref="A6:E6"/>
    <mergeCell ref="A5:E5"/>
    <mergeCell ref="A24:E24"/>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9"/>
  <sheetViews>
    <sheetView showGridLines="0" workbookViewId="0">
      <selection activeCell="A1" sqref="A1"/>
    </sheetView>
  </sheetViews>
  <sheetFormatPr baseColWidth="8" defaultRowHeight="15"/>
  <cols>
    <col width="26" customWidth="1" min="1" max="1"/>
    <col width="48" customWidth="1" min="2" max="2"/>
    <col width="52" customWidth="1" min="3" max="3"/>
    <col width="22" customWidth="1" min="4" max="4"/>
  </cols>
  <sheetData>
    <row r="1">
      <c r="A1" s="1" t="inlineStr">
        <is>
          <t>Decision biases and ethical decision making</t>
        </is>
      </c>
      <c r="B1" s="2" t="n"/>
      <c r="C1" s="2" t="n"/>
      <c r="D1" s="2" t="n"/>
    </row>
    <row r="2">
      <c r="A2" s="11" t="inlineStr">
        <is>
          <t>Session 4: Decision-making frameworks, decision biases, ethical decision making</t>
        </is>
      </c>
    </row>
    <row r="3"/>
    <row r="4">
      <c r="A4" s="7" t="inlineStr">
        <is>
          <t>Bias</t>
        </is>
      </c>
      <c r="B4" s="7" t="inlineStr">
        <is>
          <t>Where it shows up in the mess problem</t>
        </is>
      </c>
      <c r="C4" s="7" t="inlineStr">
        <is>
          <t>How the project counters it</t>
        </is>
      </c>
      <c r="D4" s="7" t="inlineStr">
        <is>
          <t>Status</t>
        </is>
      </c>
    </row>
    <row r="5" ht="30" customHeight="1">
      <c r="A5" s="8" t="inlineStr">
        <is>
          <t>Status quo / habit</t>
        </is>
      </c>
      <c r="B5" s="9" t="inlineStr">
        <is>
          <t>Students go to the same mess daily even when the other is faster</t>
        </is>
      </c>
      <c r="C5" s="9" t="inlineStr">
        <is>
          <t>Door screens show the faster option at the moment of choice</t>
        </is>
      </c>
      <c r="D5" s="9" t="inlineStr">
        <is>
          <t>Hypothesis: survey + logs</t>
        </is>
      </c>
    </row>
    <row r="6" ht="30" customHeight="1">
      <c r="A6" s="8" t="inlineStr">
        <is>
          <t>Herding</t>
        </is>
      </c>
      <c r="B6" s="9" t="inlineStr">
        <is>
          <t>A long line reads as a sign the food is better; if everyone follows one signal, the 'empty' mess becomes the busy one</t>
        </is>
      </c>
      <c r="C6" s="9" t="inlineStr">
        <is>
          <t>Equal-wait split + 2-minute minimum saving (Decision Rule)</t>
        </is>
      </c>
      <c r="D6" s="9" t="inlineStr">
        <is>
          <t>Shown in simulation (Scenarios: naive vs proposal)</t>
        </is>
      </c>
    </row>
    <row r="7" ht="30" customHeight="1">
      <c r="A7" s="8" t="inlineStr">
        <is>
          <t>Loss aversion</t>
        </is>
      </c>
      <c r="B7" s="9" t="inlineStr">
        <is>
          <t>The 30-second walk feels like a cost; minutes in line don't</t>
        </is>
      </c>
      <c r="C7" s="9" t="inlineStr">
        <is>
          <t>Show the saving in minutes ('save ~8 min')</t>
        </is>
      </c>
      <c r="D7" s="9" t="inlineStr">
        <is>
          <t>Hypothesis: survey</t>
        </is>
      </c>
    </row>
    <row r="8" ht="30" customHeight="1">
      <c r="A8" s="8" t="inlineStr">
        <is>
          <t>No information (bounded rationality)</t>
        </is>
      </c>
      <c r="B8" s="9" t="inlineStr">
        <is>
          <t>From the door you can't see the other mess's queue</t>
        </is>
      </c>
      <c r="C8" s="9" t="inlineStr">
        <is>
          <t>Live estimates on screens and phones</t>
        </is>
      </c>
      <c r="D8" s="9" t="inlineStr">
        <is>
          <t>Observed</t>
        </is>
      </c>
    </row>
    <row r="9" ht="30" customHeight="1">
      <c r="A9" s="8" t="inlineStr">
        <is>
          <t>Anchoring (planning)</t>
        </is>
      </c>
      <c r="B9" s="9" t="inlineStr">
        <is>
          <t>Kitchen plans from the published menu; the served menu differed</t>
        </is>
      </c>
      <c r="C9" s="9" t="inlineStr">
        <is>
          <t>Record the actual menu; forecast from observed arrivals</t>
        </is>
      </c>
      <c r="D9" s="9" t="inlineStr">
        <is>
          <t>Observed (field visit)</t>
        </is>
      </c>
    </row>
    <row r="10" ht="30" customHeight="1">
      <c r="A10" s="8" t="inlineStr">
        <is>
          <t>Confirmation (our team)</t>
        </is>
      </c>
      <c r="B10" s="9" t="inlineStr">
        <is>
          <t>We want the screens to look good</t>
        </is>
      </c>
      <c r="C10" s="9" t="inlineStr">
        <is>
          <t>Report observed / assumed / simulated separately; if the logs show Munch is not underused, revise the diagnosis</t>
        </is>
      </c>
      <c r="D10" s="9" t="inlineStr">
        <is>
          <t>Built into this workbook</t>
        </is>
      </c>
    </row>
    <row r="11"/>
    <row r="12">
      <c r="A12" s="4" t="inlineStr">
        <is>
          <t>Ethics checklist</t>
        </is>
      </c>
    </row>
    <row r="13">
      <c r="A13" s="7" t="inlineStr">
        <is>
          <t>Principle</t>
        </is>
      </c>
      <c r="B13" s="7" t="inlineStr">
        <is>
          <t>What we do</t>
        </is>
      </c>
      <c r="C13" s="7" t="inlineStr">
        <is>
          <t>Status</t>
        </is>
      </c>
    </row>
    <row r="14">
      <c r="A14" s="8" t="inlineStr">
        <is>
          <t>Data minimisation (DPDP Act 2023)</t>
        </is>
      </c>
      <c r="B14" s="9" t="inlineStr">
        <is>
          <t>Request only scan time + mess + pseudonymous ID; no face data or templates</t>
        </is>
      </c>
      <c r="C14" s="28" t="inlineStr">
        <is>
          <t>Built into data request</t>
        </is>
      </c>
    </row>
    <row r="15">
      <c r="A15" s="8" t="inlineStr">
        <is>
          <t>Pseudonymisation</t>
        </is>
      </c>
      <c r="B15" s="9" t="inlineStr">
        <is>
          <t>IDs hashed on reading; names hidden by default</t>
        </is>
      </c>
      <c r="C15" s="28" t="inlineStr">
        <is>
          <t>Built into prototype</t>
        </is>
      </c>
    </row>
    <row r="16">
      <c r="A16" s="8" t="inlineStr">
        <is>
          <t>Purpose limitation &amp; retention</t>
        </is>
      </c>
      <c r="B16" s="9" t="inlineStr">
        <is>
          <t>Use for this project only; delete at semester end</t>
        </is>
      </c>
      <c r="C16" s="28" t="inlineStr">
        <is>
          <t>Committed in email</t>
        </is>
      </c>
    </row>
    <row r="17">
      <c r="A17" s="8" t="inlineStr">
        <is>
          <t>Honesty to students</t>
        </is>
      </c>
      <c r="B17" s="9" t="inlineStr">
        <is>
          <t>Suggest switching only if it saves ≥ 2 min; no advice when data is stale</t>
        </is>
      </c>
      <c r="C17" s="28" t="inlineStr">
        <is>
          <t>Built into prototype</t>
        </is>
      </c>
    </row>
    <row r="18">
      <c r="A18" s="8" t="inlineStr">
        <is>
          <t>Consent / approval</t>
        </is>
      </c>
      <c r="B18" s="9" t="inlineStr">
        <is>
          <t>Written approval from college and vendor before any live connection</t>
        </is>
      </c>
      <c r="C18" s="28" t="inlineStr">
        <is>
          <t>Pending</t>
        </is>
      </c>
    </row>
    <row r="19">
      <c r="A19" s="8" t="inlineStr">
        <is>
          <t>Fairness</t>
        </is>
      </c>
      <c r="B19" s="9" t="inlineStr">
        <is>
          <t>Advice is the same for everyone; no priority for any group</t>
        </is>
      </c>
      <c r="C19" s="28" t="inlineStr">
        <is>
          <t>Built into prototype</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36"/>
  <sheetViews>
    <sheetView showGridLines="0" workbookViewId="0">
      <selection activeCell="A1" sqref="A1"/>
    </sheetView>
  </sheetViews>
  <sheetFormatPr baseColWidth="8" defaultRowHeight="15"/>
  <cols>
    <col width="32" customWidth="1" min="1" max="1"/>
    <col width="18" customWidth="1" min="2" max="2"/>
    <col width="14" customWidth="1" min="3" max="3"/>
    <col width="12" customWidth="1" min="4" max="4"/>
    <col width="34" customWidth="1" min="5" max="5"/>
    <col width="40" customWidth="1" min="6" max="6"/>
  </cols>
  <sheetData>
    <row r="1">
      <c r="A1" s="1" t="inlineStr">
        <is>
          <t>Decision dilemma and priority matrices</t>
        </is>
      </c>
      <c r="B1" s="2" t="n"/>
      <c r="C1" s="2" t="n"/>
      <c r="D1" s="2" t="n"/>
      <c r="E1" s="2" t="n"/>
      <c r="F1" s="2" t="n"/>
    </row>
    <row r="2">
      <c r="A2" s="11" t="inlineStr">
        <is>
          <t>Sessions 5–6: Decision dilemma and project priority matrix</t>
        </is>
      </c>
    </row>
    <row r="3"/>
    <row r="4">
      <c r="A4" s="4" t="inlineStr">
        <is>
          <t>1. Menu criticality × predictability (ABC/XYZ), MDS_dataset.xlsx 'Priority Matrix', menu week 31 Aug–6 Sep</t>
        </is>
      </c>
    </row>
    <row r="5">
      <c r="A5" s="7" t="inlineStr">
        <is>
          <t>Policy</t>
        </is>
      </c>
      <c r="B5" s="7" t="inlineStr">
        <is>
          <t>Class</t>
        </is>
      </c>
      <c r="C5" s="7" t="inlineStr">
        <is>
          <t>Menu entries</t>
        </is>
      </c>
      <c r="D5" s="7" t="inlineStr">
        <is>
          <t>Share</t>
        </is>
      </c>
      <c r="E5" s="7" t="inlineStr">
        <is>
          <t>What to do</t>
        </is>
      </c>
    </row>
    <row r="6" ht="30" customHeight="1">
      <c r="A6" s="8" t="inlineStr">
        <is>
          <t>Tight Control</t>
        </is>
      </c>
      <c r="B6" s="8" t="inlineStr">
        <is>
          <t>AZ</t>
        </is>
      </c>
      <c r="C6" s="16" t="n">
        <v>28</v>
      </c>
      <c r="D6" s="29">
        <f>C6/$C$10</f>
        <v/>
      </c>
      <c r="E6" s="9" t="inlineStr">
        <is>
          <t>Measure and model: star dishes, chapattis, curd/raitha</t>
        </is>
      </c>
      <c r="F6" s="3" t="inlineStr">
        <is>
          <t>The dataset's field notes label curd AX while its menu ratings give AZ; we follow the ratings.</t>
        </is>
      </c>
    </row>
    <row r="7">
      <c r="A7" s="8" t="inlineStr">
        <is>
          <t>Calculated Issue</t>
        </is>
      </c>
      <c r="B7" s="8" t="inlineStr">
        <is>
          <t>AX</t>
        </is>
      </c>
      <c r="C7" s="16" t="n">
        <v>9</v>
      </c>
      <c r="D7" s="29">
        <f>C7/$C$10</f>
        <v/>
      </c>
      <c r="E7" s="9" t="inlineStr">
        <is>
          <t>Derive from plate count: one-per-plate sweets</t>
        </is>
      </c>
    </row>
    <row r="8">
      <c r="A8" s="8" t="inlineStr">
        <is>
          <t>Buffered Issue</t>
        </is>
      </c>
      <c r="B8" s="8" t="inlineStr">
        <is>
          <t>CZ</t>
        </is>
      </c>
      <c r="C8" s="16" t="n">
        <v>40</v>
      </c>
      <c r="D8" s="29">
        <f>C8/$C$10</f>
        <v/>
      </c>
      <c r="E8" s="9" t="inlineStr">
        <is>
          <t>Issue with a safety margin: rice, dal, sambar, rasam, dry veg</t>
        </is>
      </c>
    </row>
    <row r="9">
      <c r="A9" s="8" t="inlineStr">
        <is>
          <t>Free Issue</t>
        </is>
      </c>
      <c r="B9" s="8" t="inlineStr">
        <is>
          <t>CX</t>
        </is>
      </c>
      <c r="C9" s="16" t="n">
        <v>26</v>
      </c>
      <c r="D9" s="29">
        <f>C9/$C$10</f>
        <v/>
      </c>
      <c r="E9" s="9" t="inlineStr">
        <is>
          <t>Issue without control: pickle, salt, sugar, fryums</t>
        </is>
      </c>
    </row>
    <row r="10">
      <c r="A10" s="8" t="inlineStr">
        <is>
          <t>Total</t>
        </is>
      </c>
      <c r="B10" s="8" t="inlineStr"/>
      <c r="C10" s="30">
        <f>SUM(C6:C9)</f>
        <v/>
      </c>
      <c r="D10" s="29">
        <f>SUM(D6:D9)</f>
        <v/>
      </c>
      <c r="E10" s="9" t="inlineStr"/>
    </row>
    <row r="11"/>
    <row r="12">
      <c r="A12" s="4" t="inlineStr">
        <is>
          <t>2. Tray weights used by the live system (config/default.toml [[tray]]): how much a tray running low or out changes the advice</t>
        </is>
      </c>
    </row>
    <row r="13">
      <c r="A13" s="7" t="inlineStr">
        <is>
          <t>Tray</t>
        </is>
      </c>
      <c r="B13" s="7" t="inlineStr">
        <is>
          <t>Item type (matrix)</t>
        </is>
      </c>
      <c r="C13" s="7" t="inlineStr">
        <is>
          <t>Class</t>
        </is>
      </c>
      <c r="D13" s="7" t="inlineStr">
        <is>
          <t>Weight</t>
        </is>
      </c>
      <c r="E13" s="7" t="inlineStr">
        <is>
          <t>When OUT</t>
        </is>
      </c>
      <c r="F13" s="7" t="inlineStr">
        <is>
          <t>Why this weight</t>
        </is>
      </c>
    </row>
    <row r="14">
      <c r="A14" s="9" t="inlineStr">
        <is>
          <t>Gravy sabji, Special rice</t>
        </is>
      </c>
      <c r="B14" s="8" t="inlineStr">
        <is>
          <t>Star dish</t>
        </is>
      </c>
      <c r="C14" s="8" t="inlineStr">
        <is>
          <t>AZ</t>
        </is>
      </c>
      <c r="D14" s="8" t="inlineStr">
        <is>
          <t>★ 1.0</t>
        </is>
      </c>
      <c r="E14" s="9" t="inlineStr">
        <is>
          <t>Outage: that mess serves nobody until the refill</t>
        </is>
      </c>
      <c r="F14" s="9" t="inlineStr">
        <is>
          <t>'The one item everyone notices when it is gone'</t>
        </is>
      </c>
    </row>
    <row r="15">
      <c r="A15" s="9" t="inlineStr">
        <is>
          <t>Roti</t>
        </is>
      </c>
      <c r="B15" s="8" t="inlineStr">
        <is>
          <t>Made fresh in batches</t>
        </is>
      </c>
      <c r="C15" s="8" t="inlineStr">
        <is>
          <t>AZ</t>
        </is>
      </c>
      <c r="D15" s="8" t="n">
        <v>0.5</v>
      </c>
      <c r="E15" s="9" t="inlineStr">
        <is>
          <t>Adds 0.5 × expected refill time</t>
        </is>
      </c>
      <c r="F15" s="9" t="inlineStr">
        <is>
          <t>Running out is a speed problem; another tawa fixes it</t>
        </is>
      </c>
    </row>
    <row r="16">
      <c r="A16" s="9" t="inlineStr">
        <is>
          <t>Dessert</t>
        </is>
      </c>
      <c r="B16" s="8" t="inlineStr">
        <is>
          <t>One per plate</t>
        </is>
      </c>
      <c r="C16" s="8" t="inlineStr">
        <is>
          <t>AX</t>
        </is>
      </c>
      <c r="D16" s="8" t="n">
        <v>0.3</v>
      </c>
      <c r="E16" s="9" t="inlineStr">
        <is>
          <t>Adds 0.3 × expected refill time</t>
        </is>
      </c>
      <c r="F16" s="9" t="inlineStr">
        <is>
          <t>Demand = plate count; errors are headcount errors</t>
        </is>
      </c>
    </row>
    <row r="17">
      <c r="A17" s="9" t="inlineStr">
        <is>
          <t>Curd / raita</t>
        </is>
      </c>
      <c r="B17" s="8" t="inlineStr">
        <is>
          <t>Fresh side</t>
        </is>
      </c>
      <c r="C17" s="8" t="inlineStr">
        <is>
          <t>AZ</t>
        </is>
      </c>
      <c r="D17" s="8" t="n">
        <v>0.3</v>
      </c>
      <c r="E17" s="9" t="inlineStr">
        <is>
          <t>Adds 0.3 × expected refill time</t>
        </is>
      </c>
      <c r="F17" s="9" t="inlineStr">
        <is>
          <t>Risk is surplus more than shortage</t>
        </is>
      </c>
    </row>
    <row r="18">
      <c r="A18" s="9" t="inlineStr">
        <is>
          <t>Dry sabji, Dal, Rice, Sambar / rasam</t>
        </is>
      </c>
      <c r="B18" s="8" t="inlineStr">
        <is>
          <t>Base food</t>
        </is>
      </c>
      <c r="C18" s="8" t="inlineStr">
        <is>
          <t>CZ</t>
        </is>
      </c>
      <c r="D18" s="8" t="n">
        <v>0.1</v>
      </c>
      <c r="E18" s="9" t="inlineStr">
        <is>
          <t>Adds 0.1 × expected refill time</t>
        </is>
      </c>
      <c r="F18" s="9" t="inlineStr">
        <is>
          <t>Interchangeable: 'quietly absorbed by another'</t>
        </is>
      </c>
    </row>
    <row r="19">
      <c r="A19" s="9" t="inlineStr">
        <is>
          <t>Salt, pickle, fryums</t>
        </is>
      </c>
      <c r="B19" s="8" t="inlineStr">
        <is>
          <t>Table item</t>
        </is>
      </c>
      <c r="C19" s="8" t="inlineStr">
        <is>
          <t>CX</t>
        </is>
      </c>
      <c r="D19" s="8" t="n">
        <v>0</v>
      </c>
      <c r="E19" s="9" t="inlineStr">
        <is>
          <t>Not tracked</t>
        </is>
      </c>
      <c r="F19" s="9" t="inlineStr">
        <is>
          <t>Free issue</t>
        </is>
      </c>
    </row>
    <row r="20" ht="30" customHeight="1">
      <c r="A20" s="3" t="inlineStr">
        <is>
          <t>Running low: a tray costs a student time only if they reach the counter after it empties and before its refill (Decision Rule). Weights are the group's reading of the matrix; confirm them with the CT manager.</t>
        </is>
      </c>
    </row>
    <row r="21"/>
    <row r="22">
      <c r="A22" s="4" t="inlineStr">
        <is>
          <t>3. Intervention priority matrix (impact vs effort). Impact from the Scenarios tab; effort scores are the group's judgement.</t>
        </is>
      </c>
    </row>
    <row r="23">
      <c r="A23" s="5" t="inlineStr">
        <is>
          <t>Quadrant threshold (score above this = high)</t>
        </is>
      </c>
      <c r="C23" s="28" t="n">
        <v>3</v>
      </c>
    </row>
    <row r="24"/>
    <row r="25">
      <c r="A25" s="7" t="inlineStr">
        <is>
          <t>Intervention</t>
        </is>
      </c>
      <c r="B25" s="7" t="inlineStr">
        <is>
          <t>Impact (1–5)</t>
        </is>
      </c>
      <c r="C25" s="7" t="inlineStr">
        <is>
          <t>Effort (1–5)</t>
        </is>
      </c>
      <c r="D25" s="7" t="inlineStr">
        <is>
          <t>Quadrant</t>
        </is>
      </c>
      <c r="E25" s="7" t="inlineStr">
        <is>
          <t>Reason (impact)</t>
        </is>
      </c>
      <c r="F25" s="7" t="inlineStr">
        <is>
          <t>Reason (effort)</t>
        </is>
      </c>
    </row>
    <row r="26">
      <c r="A26" s="8" t="inlineStr">
        <is>
          <t>A2 Door screens, queue information only</t>
        </is>
      </c>
      <c r="B26" s="28" t="n">
        <v>4</v>
      </c>
      <c r="C26" s="28" t="n">
        <v>3</v>
      </c>
      <c r="D26" s="8">
        <f>IF(B26&gt;$C$23,IF(C26&gt;$C$23,"Major project","Quick win"),IF(C26&gt;$C$23,"Thankless task","Fill-in"))</f>
        <v/>
      </c>
      <c r="E26" s="9" t="inlineStr">
        <is>
          <t>Busy day: wait 4.3 → 1.2 min (simulated)</t>
        </is>
      </c>
      <c r="F26" s="9" t="inlineStr">
        <is>
          <t>Two screens + a laptop; needs data access</t>
        </is>
      </c>
    </row>
    <row r="27">
      <c r="A27" s="8" t="inlineStr">
        <is>
          <t>A3 Screens + food status (proposal)</t>
        </is>
      </c>
      <c r="B27" s="28" t="n">
        <v>5</v>
      </c>
      <c r="C27" s="28" t="n">
        <v>3</v>
      </c>
      <c r="D27" s="8">
        <f>IF(B27&gt;$C$23,IF(C27&gt;$C$23,"Major project","Quick win"),IF(C27&gt;$C$23,"Thankless task","Fill-in"))</f>
        <v/>
      </c>
      <c r="E27" s="9" t="inlineStr">
        <is>
          <t>Busy day: wait 4.3 → 0.8 min (simulated)</t>
        </is>
      </c>
      <c r="F27" s="9" t="inlineStr">
        <is>
          <t>Same as A2 + manager taps food status</t>
        </is>
      </c>
    </row>
    <row r="28">
      <c r="A28" s="8" t="inlineStr">
        <is>
          <t>A4 3rd serving station at Central</t>
        </is>
      </c>
      <c r="B28" s="28" t="n">
        <v>4</v>
      </c>
      <c r="C28" s="28" t="n">
        <v>4</v>
      </c>
      <c r="D28" s="8">
        <f>IF(B28&gt;$C$23,IF(C28&gt;$C$23,"Major project","Quick win"),IF(C28&gt;$C$23,"Thankless task","Fill-in"))</f>
        <v/>
      </c>
      <c r="E28" s="9" t="inlineStr">
        <is>
          <t>Busy day: 4.3 → 0.6 min; best on normal days</t>
        </is>
      </c>
      <c r="F28" s="9" t="inlineStr">
        <is>
          <t>Staff cost every day; space at counter</t>
        </is>
      </c>
    </row>
    <row r="29">
      <c r="A29" s="8" t="inlineStr">
        <is>
          <t>A6 Larger buffers for base foods (CZ)</t>
        </is>
      </c>
      <c r="B29" s="28" t="n">
        <v>2</v>
      </c>
      <c r="C29" s="28" t="n">
        <v>1</v>
      </c>
      <c r="D29" s="8">
        <f>IF(B29&gt;$C$23,IF(C29&gt;$C$23,"Major project","Quick win"),IF(C29&gt;$C$23,"Thankless task","Fill-in"))</f>
        <v/>
      </c>
      <c r="E29" s="9" t="inlineStr">
        <is>
          <t>Base foods ran dry in the field visit</t>
        </is>
      </c>
      <c r="F29" s="9" t="inlineStr">
        <is>
          <t>Just send more rice/dal/sambar</t>
        </is>
      </c>
    </row>
    <row r="30">
      <c r="A30" s="8" t="inlineStr">
        <is>
          <t>A7 Stagger class end times</t>
        </is>
      </c>
      <c r="B30" s="28" t="n">
        <v>4</v>
      </c>
      <c r="C30" s="28" t="n">
        <v>5</v>
      </c>
      <c r="D30" s="8">
        <f>IF(B30&gt;$C$23,IF(C30&gt;$C$23,"Major project","Quick win"),IF(C30&gt;$C$23,"Thankless task","Fill-in"))</f>
        <v/>
      </c>
      <c r="E30" s="9" t="inlineStr">
        <is>
          <t>SMI 15 min earlier: today's wait 4.3 → 3.3 min; TAPMI 15 min later: → 1.7 (simulated)</t>
        </is>
      </c>
      <c r="F30" s="9" t="inlineStr">
        <is>
          <t>Needs academic administration</t>
        </is>
      </c>
    </row>
    <row r="31"/>
    <row r="32">
      <c r="A32" s="4" t="inlineStr">
        <is>
          <t>4. Decision dilemmas</t>
        </is>
      </c>
    </row>
    <row r="33">
      <c r="A33" s="7" t="inlineStr">
        <is>
          <t>Dilemma</t>
        </is>
      </c>
      <c r="B33" s="7" t="inlineStr">
        <is>
          <t>Option 1</t>
        </is>
      </c>
      <c r="C33" s="7" t="inlineStr">
        <is>
          <t>Option 2</t>
        </is>
      </c>
      <c r="D33" s="7" t="inlineStr"/>
      <c r="E33" s="7" t="inlineStr">
        <is>
          <t>Trade-off</t>
        </is>
      </c>
      <c r="F33" s="7" t="inlineStr">
        <is>
          <t>How we resolve it</t>
        </is>
      </c>
    </row>
    <row r="34">
      <c r="A34" s="9" t="inlineStr">
        <is>
          <t>Send students to the other mess?</t>
        </is>
      </c>
      <c r="B34" s="9" t="inlineStr">
        <is>
          <t>Strong advice (risk herding)</t>
        </is>
      </c>
      <c r="C34" s="9" t="inlineStr">
        <is>
          <t>No advice (uneven load)</t>
        </is>
      </c>
      <c r="D34" s="8" t="inlineStr"/>
      <c r="E34" s="9" t="inlineStr">
        <is>
          <t>Balance vs trust</t>
        </is>
      </c>
      <c r="F34" s="9" t="inlineStr">
        <is>
          <t>Equal-wait split + 2-min threshold (Decision Rule, S18)</t>
        </is>
      </c>
    </row>
    <row r="35">
      <c r="A35" s="9" t="inlineStr">
        <is>
          <t>React to 'running low'?</t>
        </is>
      </c>
      <c r="B35" s="9" t="inlineStr">
        <is>
          <t>Redirect early (needless walks)</t>
        </is>
      </c>
      <c r="C35" s="9" t="inlineStr">
        <is>
          <t>Wait for 'out' (late)</t>
        </is>
      </c>
      <c r="D35" s="8" t="inlineStr"/>
      <c r="E35" s="9" t="inlineStr">
        <is>
          <t>Walks vs waits</t>
        </is>
      </c>
      <c r="F35" s="9" t="inlineStr">
        <is>
          <t>Delay only for students who would reach an empty tray (Decision Rule)</t>
        </is>
      </c>
    </row>
    <row r="36">
      <c r="A36" s="9" t="inlineStr">
        <is>
          <t>Add a serving station?</t>
        </is>
      </c>
      <c r="B36" s="9" t="inlineStr">
        <is>
          <t>Yes (staff every day)</t>
        </is>
      </c>
      <c r="C36" s="9" t="inlineStr">
        <is>
          <t>No (long peak waits)</t>
        </is>
      </c>
      <c r="D36" s="8" t="inlineStr"/>
      <c r="E36" s="9" t="inlineStr">
        <is>
          <t>Staff cost vs waiting</t>
        </is>
      </c>
      <c r="F36" s="9" t="inlineStr">
        <is>
          <t>S7 Payoff Matrix (A4, A5) and Scenarios</t>
        </is>
      </c>
    </row>
  </sheetData>
  <mergeCells count="2">
    <mergeCell ref="A20:F20"/>
    <mergeCell ref="F6:F8"/>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41"/>
  <sheetViews>
    <sheetView showGridLines="0" workbookViewId="0">
      <selection activeCell="A1" sqref="A1"/>
    </sheetView>
  </sheetViews>
  <sheetFormatPr baseColWidth="8" defaultRowHeight="15"/>
  <cols>
    <col width="26"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c r="A1" s="1" t="inlineStr">
        <is>
          <t>When students arrive: department lunch breaks added up</t>
        </is>
      </c>
      <c r="B1" s="2" t="n"/>
      <c r="C1" s="2" t="n"/>
      <c r="D1" s="2" t="n"/>
      <c r="E1" s="2" t="n"/>
      <c r="F1" s="2" t="n"/>
      <c r="G1" s="2" t="n"/>
      <c r="H1" s="2" t="n"/>
      <c r="I1" s="2" t="n"/>
      <c r="J1" s="2" t="n"/>
      <c r="K1" s="2" t="n"/>
      <c r="L1" s="2" t="n"/>
    </row>
    <row r="2">
      <c r="A2" s="11" t="inlineStr">
        <is>
          <t>Feeds S15 Queuing and the LP. The simulator uses the same curve (config/default.toml)</t>
        </is>
      </c>
    </row>
    <row r="3">
      <c r="A3" s="5" t="inlineStr">
        <is>
          <t>Scale: plates served ÷ sum of the rough department sizes</t>
        </is>
      </c>
      <c r="E3" s="31">
        <f>'Inputs'!$B$6/('Inputs'!$B$40+'Inputs'!$B$46+'Inputs'!$B$49+'Inputs'!$B$52+'Inputs'!$B$55+'Inputs'!$B$58+'Inputs'!$B$61)</f>
        <v/>
      </c>
    </row>
    <row r="4"/>
    <row r="5" ht="30" customHeight="1">
      <c r="A5" s="7" t="inlineStr">
        <is>
          <t>Cohort</t>
        </is>
      </c>
      <c r="B5" s="7" t="inlineStr">
        <is>
          <t>Students (scaled)</t>
        </is>
      </c>
      <c r="C5" s="7" t="inlineStr">
        <is>
          <t>Break starts (min after opening)</t>
        </is>
      </c>
      <c r="D5" s="7" t="inlineStr">
        <is>
          <t>Break ends (min)</t>
        </is>
      </c>
      <c r="E5" s="7" t="inlineStr">
        <is>
          <t>Mean arrival (min)</t>
        </is>
      </c>
      <c r="F5" s="7" t="inlineStr">
        <is>
          <t>Share of the curve inside the break</t>
        </is>
      </c>
    </row>
    <row r="6">
      <c r="A6" s="8" t="inlineStr">
        <is>
          <t>MIT</t>
        </is>
      </c>
      <c r="B6" s="32">
        <f>'Inputs'!$B$40*(1-'Inputs'!$B$43)*$E$3</f>
        <v/>
      </c>
      <c r="C6" s="32">
        <f>ROUND(('Inputs'!$B$41-TIMEVALUE('Inputs'!$B$7))*1440,0)</f>
        <v/>
      </c>
      <c r="D6" s="32">
        <f>ROUND(('Inputs'!$B$42-TIMEVALUE('Inputs'!$B$7))*1440,0)</f>
        <v/>
      </c>
      <c r="E6" s="32">
        <f>C6+'Inputs'!$B$37</f>
        <v/>
      </c>
      <c r="F6" s="31">
        <f>NORMDIST(D6,E6,'Inputs'!$B$38,TRUE)-NORMDIST(C6,E6,'Inputs'!$B$38,TRUE)</f>
        <v/>
      </c>
    </row>
    <row r="7">
      <c r="A7" s="8" t="inlineStr">
        <is>
          <t>MIT (lab day)</t>
        </is>
      </c>
      <c r="B7" s="32">
        <f>'Inputs'!$B$40*'Inputs'!$B$43*$E$3</f>
        <v/>
      </c>
      <c r="C7" s="32">
        <f>ROUND(('Inputs'!$B$44-TIMEVALUE('Inputs'!$B$7))*1440,0)</f>
        <v/>
      </c>
      <c r="D7" s="32">
        <f>ROUND(('Inputs'!$B$45-TIMEVALUE('Inputs'!$B$7))*1440,0)</f>
        <v/>
      </c>
      <c r="E7" s="32">
        <f>C7+'Inputs'!$B$37</f>
        <v/>
      </c>
      <c r="F7" s="31">
        <f>NORMDIST(D7,E7,'Inputs'!$B$38,TRUE)-NORMDIST(C7,E7,'Inputs'!$B$38,TRUE)</f>
        <v/>
      </c>
    </row>
    <row r="8">
      <c r="A8" s="8" t="inlineStr">
        <is>
          <t>TAPMI</t>
        </is>
      </c>
      <c r="B8" s="32">
        <f>'Inputs'!$B$46*$E$3</f>
        <v/>
      </c>
      <c r="C8" s="32">
        <f>ROUND(('Inputs'!$B$47-TIMEVALUE('Inputs'!$B$7))*1440,0)</f>
        <v/>
      </c>
      <c r="D8" s="32">
        <f>ROUND(('Inputs'!$B$48-TIMEVALUE('Inputs'!$B$7))*1440,0)</f>
        <v/>
      </c>
      <c r="E8" s="32">
        <f>C8+'Inputs'!$B$37</f>
        <v/>
      </c>
      <c r="F8" s="31">
        <f>NORMDIST(D8,E8,'Inputs'!$B$38,TRUE)-NORMDIST(C8,E8,'Inputs'!$B$38,TRUE)</f>
        <v/>
      </c>
    </row>
    <row r="9">
      <c r="A9" s="8" t="inlineStr">
        <is>
          <t>DOC/MICFE</t>
        </is>
      </c>
      <c r="B9" s="32">
        <f>'Inputs'!$B$49*$E$3</f>
        <v/>
      </c>
      <c r="C9" s="32">
        <f>ROUND(('Inputs'!$B$50-TIMEVALUE('Inputs'!$B$7))*1440,0)</f>
        <v/>
      </c>
      <c r="D9" s="32">
        <f>ROUND(('Inputs'!$B$51-TIMEVALUE('Inputs'!$B$7))*1440,0)</f>
        <v/>
      </c>
      <c r="E9" s="32">
        <f>C9+'Inputs'!$B$37</f>
        <v/>
      </c>
      <c r="F9" s="31">
        <f>NORMDIST(D9,E9,'Inputs'!$B$38,TRUE)-NORMDIST(C9,E9,'Inputs'!$B$38,TRUE)</f>
        <v/>
      </c>
    </row>
    <row r="10">
      <c r="A10" s="8" t="inlineStr">
        <is>
          <t>SMI</t>
        </is>
      </c>
      <c r="B10" s="32">
        <f>'Inputs'!$B$52*$E$3</f>
        <v/>
      </c>
      <c r="C10" s="32">
        <f>ROUND(('Inputs'!$B$53-TIMEVALUE('Inputs'!$B$7))*1440,0)</f>
        <v/>
      </c>
      <c r="D10" s="32">
        <f>ROUND(('Inputs'!$B$54-TIMEVALUE('Inputs'!$B$7))*1440,0)</f>
        <v/>
      </c>
      <c r="E10" s="32">
        <f>C10+'Inputs'!$B$37</f>
        <v/>
      </c>
      <c r="F10" s="31">
        <f>NORMDIST(D10,E10,'Inputs'!$B$38,TRUE)-NORMDIST(C10,E10,'Inputs'!$B$38,TRUE)</f>
        <v/>
      </c>
    </row>
    <row r="11">
      <c r="A11" s="8" t="inlineStr">
        <is>
          <t>DLHS/MILHS</t>
        </is>
      </c>
      <c r="B11" s="32">
        <f>'Inputs'!$B$55*$E$3</f>
        <v/>
      </c>
      <c r="C11" s="32">
        <f>ROUND(('Inputs'!$B$56-TIMEVALUE('Inputs'!$B$7))*1440,0)</f>
        <v/>
      </c>
      <c r="D11" s="32">
        <f>ROUND(('Inputs'!$B$57-TIMEVALUE('Inputs'!$B$7))*1440,0)</f>
        <v/>
      </c>
      <c r="E11" s="32">
        <f>C11+'Inputs'!$B$37</f>
        <v/>
      </c>
      <c r="F11" s="31">
        <f>NORMDIST(D11,E11,'Inputs'!$B$38,TRUE)-NORMDIST(C11,E11,'Inputs'!$B$38,TRUE)</f>
        <v/>
      </c>
    </row>
    <row r="12">
      <c r="A12" s="8" t="inlineStr">
        <is>
          <t>MLS</t>
        </is>
      </c>
      <c r="B12" s="32">
        <f>'Inputs'!$B$58*$E$3</f>
        <v/>
      </c>
      <c r="C12" s="32">
        <f>ROUND(('Inputs'!$B$59-TIMEVALUE('Inputs'!$B$7))*1440,0)</f>
        <v/>
      </c>
      <c r="D12" s="32">
        <f>ROUND(('Inputs'!$B$60-TIMEVALUE('Inputs'!$B$7))*1440,0)</f>
        <v/>
      </c>
      <c r="E12" s="32">
        <f>C12+'Inputs'!$B$37</f>
        <v/>
      </c>
      <c r="F12" s="31">
        <f>NORMDIST(D12,E12,'Inputs'!$B$38,TRUE)-NORMDIST(C12,E12,'Inputs'!$B$38,TRUE)</f>
        <v/>
      </c>
    </row>
    <row r="13">
      <c r="A13" s="8" t="inlineStr">
        <is>
          <t>MIRM</t>
        </is>
      </c>
      <c r="B13" s="32">
        <f>'Inputs'!$B$61*$E$3</f>
        <v/>
      </c>
      <c r="C13" s="32">
        <f>ROUND(('Inputs'!$B$62-TIMEVALUE('Inputs'!$B$7))*1440,0)</f>
        <v/>
      </c>
      <c r="D13" s="32">
        <f>ROUND(('Inputs'!$B$63-TIMEVALUE('Inputs'!$B$7))*1440,0)</f>
        <v/>
      </c>
      <c r="E13" s="32">
        <f>C13+'Inputs'!$B$37</f>
        <v/>
      </c>
      <c r="F13" s="31">
        <f>NORMDIST(D13,E13,'Inputs'!$B$38,TRUE)-NORMDIST(C13,E13,'Inputs'!$B$38,TRUE)</f>
        <v/>
      </c>
    </row>
    <row r="14">
      <c r="A14" s="5" t="inlineStr">
        <is>
          <t>Total</t>
        </is>
      </c>
      <c r="B14" s="33">
        <f>SUM(B6:B13)</f>
        <v/>
      </c>
    </row>
    <row r="15" ht="44" customHeight="1">
      <c r="A15" s="3" t="inlineStr">
        <is>
          <t>Each department starts arriving when its lunch break starts. A student's lag after the break starts is Normal(mean, spread) from the Inputs tab, cut off at the end of the break, so each cohort's arrivals add up to its size. MIT eats 13:00–14:00 on lab days. The sizes are rough and add up to more than the plates served, so they are used as shares. The biometric logs replace this whole tab once available.</t>
        </is>
      </c>
    </row>
    <row r="16"/>
    <row r="17">
      <c r="A17" s="4" t="inlineStr">
        <is>
          <t>Arrivals per 10-minute slot</t>
        </is>
      </c>
    </row>
    <row r="18" ht="30" customHeight="1">
      <c r="A18" s="7" t="inlineStr">
        <is>
          <t>Slot</t>
        </is>
      </c>
      <c r="B18" s="7" t="inlineStr">
        <is>
          <t>Minute</t>
        </is>
      </c>
      <c r="C18" s="7" t="inlineStr">
        <is>
          <t>MIT</t>
        </is>
      </c>
      <c r="D18" s="7" t="inlineStr">
        <is>
          <t>MIT (lab day)</t>
        </is>
      </c>
      <c r="E18" s="7" t="inlineStr">
        <is>
          <t>TAPMI</t>
        </is>
      </c>
      <c r="F18" s="7" t="inlineStr">
        <is>
          <t>DOC/MICFE</t>
        </is>
      </c>
      <c r="G18" s="7" t="inlineStr">
        <is>
          <t>SMI</t>
        </is>
      </c>
      <c r="H18" s="7" t="inlineStr">
        <is>
          <t>DLHS/MILHS</t>
        </is>
      </c>
      <c r="I18" s="7" t="inlineStr">
        <is>
          <t>MLS</t>
        </is>
      </c>
      <c r="J18" s="7" t="inlineStr">
        <is>
          <t>MIRM</t>
        </is>
      </c>
      <c r="K18" s="7" t="inlineStr">
        <is>
          <t>Total</t>
        </is>
      </c>
      <c r="L18" s="7" t="inlineStr">
        <is>
          <t>Share</t>
        </is>
      </c>
    </row>
    <row r="19">
      <c r="A19" s="5" t="inlineStr">
        <is>
          <t>11:30</t>
        </is>
      </c>
      <c r="B19" s="34" t="n">
        <v>0</v>
      </c>
      <c r="C19" s="32">
        <f>$B$6*(NORMDIST(MIN($D$6,MAX($C$6,$B19+10)),$E$6,'Inputs'!$B$38,TRUE)-NORMDIST(MIN($D$6,MAX($C$6,$B19)),$E$6,'Inputs'!$B$38,TRUE))/$F$6</f>
        <v/>
      </c>
      <c r="D19" s="32">
        <f>$B$7*(NORMDIST(MIN($D$7,MAX($C$7,$B19+10)),$E$7,'Inputs'!$B$38,TRUE)-NORMDIST(MIN($D$7,MAX($C$7,$B19)),$E$7,'Inputs'!$B$38,TRUE))/$F$7</f>
        <v/>
      </c>
      <c r="E19" s="32">
        <f>$B$8*(NORMDIST(MIN($D$8,MAX($C$8,$B19+10)),$E$8,'Inputs'!$B$38,TRUE)-NORMDIST(MIN($D$8,MAX($C$8,$B19)),$E$8,'Inputs'!$B$38,TRUE))/$F$8</f>
        <v/>
      </c>
      <c r="F19" s="32">
        <f>$B$9*(NORMDIST(MIN($D$9,MAX($C$9,$B19+10)),$E$9,'Inputs'!$B$38,TRUE)-NORMDIST(MIN($D$9,MAX($C$9,$B19)),$E$9,'Inputs'!$B$38,TRUE))/$F$9</f>
        <v/>
      </c>
      <c r="G19" s="32">
        <f>$B$10*(NORMDIST(MIN($D$10,MAX($C$10,$B19+10)),$E$10,'Inputs'!$B$38,TRUE)-NORMDIST(MIN($D$10,MAX($C$10,$B19)),$E$10,'Inputs'!$B$38,TRUE))/$F$10</f>
        <v/>
      </c>
      <c r="H19" s="32">
        <f>$B$11*(NORMDIST(MIN($D$11,MAX($C$11,$B19+10)),$E$11,'Inputs'!$B$38,TRUE)-NORMDIST(MIN($D$11,MAX($C$11,$B19)),$E$11,'Inputs'!$B$38,TRUE))/$F$11</f>
        <v/>
      </c>
      <c r="I19" s="32">
        <f>$B$12*(NORMDIST(MIN($D$12,MAX($C$12,$B19+10)),$E$12,'Inputs'!$B$38,TRUE)-NORMDIST(MIN($D$12,MAX($C$12,$B19)),$E$12,'Inputs'!$B$38,TRUE))/$F$12</f>
        <v/>
      </c>
      <c r="J19" s="32">
        <f>$B$13*(NORMDIST(MIN($D$13,MAX($C$13,$B19+10)),$E$13,'Inputs'!$B$38,TRUE)-NORMDIST(MIN($D$13,MAX($C$13,$B19)),$E$13,'Inputs'!$B$38,TRUE))/$F$13</f>
        <v/>
      </c>
      <c r="K19" s="35">
        <f>SUM(C19:J19)</f>
        <v/>
      </c>
      <c r="L19" s="36">
        <f>K19/SUM($K$19:$K$36)</f>
        <v/>
      </c>
    </row>
    <row r="20">
      <c r="A20" s="5" t="inlineStr">
        <is>
          <t>11:40</t>
        </is>
      </c>
      <c r="B20" s="34" t="n">
        <v>10</v>
      </c>
      <c r="C20" s="32">
        <f>$B$6*(NORMDIST(MIN($D$6,MAX($C$6,$B20+10)),$E$6,'Inputs'!$B$38,TRUE)-NORMDIST(MIN($D$6,MAX($C$6,$B20)),$E$6,'Inputs'!$B$38,TRUE))/$F$6</f>
        <v/>
      </c>
      <c r="D20" s="32">
        <f>$B$7*(NORMDIST(MIN($D$7,MAX($C$7,$B20+10)),$E$7,'Inputs'!$B$38,TRUE)-NORMDIST(MIN($D$7,MAX($C$7,$B20)),$E$7,'Inputs'!$B$38,TRUE))/$F$7</f>
        <v/>
      </c>
      <c r="E20" s="32">
        <f>$B$8*(NORMDIST(MIN($D$8,MAX($C$8,$B20+10)),$E$8,'Inputs'!$B$38,TRUE)-NORMDIST(MIN($D$8,MAX($C$8,$B20)),$E$8,'Inputs'!$B$38,TRUE))/$F$8</f>
        <v/>
      </c>
      <c r="F20" s="32">
        <f>$B$9*(NORMDIST(MIN($D$9,MAX($C$9,$B20+10)),$E$9,'Inputs'!$B$38,TRUE)-NORMDIST(MIN($D$9,MAX($C$9,$B20)),$E$9,'Inputs'!$B$38,TRUE))/$F$9</f>
        <v/>
      </c>
      <c r="G20" s="32">
        <f>$B$10*(NORMDIST(MIN($D$10,MAX($C$10,$B20+10)),$E$10,'Inputs'!$B$38,TRUE)-NORMDIST(MIN($D$10,MAX($C$10,$B20)),$E$10,'Inputs'!$B$38,TRUE))/$F$10</f>
        <v/>
      </c>
      <c r="H20" s="32">
        <f>$B$11*(NORMDIST(MIN($D$11,MAX($C$11,$B20+10)),$E$11,'Inputs'!$B$38,TRUE)-NORMDIST(MIN($D$11,MAX($C$11,$B20)),$E$11,'Inputs'!$B$38,TRUE))/$F$11</f>
        <v/>
      </c>
      <c r="I20" s="32">
        <f>$B$12*(NORMDIST(MIN($D$12,MAX($C$12,$B20+10)),$E$12,'Inputs'!$B$38,TRUE)-NORMDIST(MIN($D$12,MAX($C$12,$B20)),$E$12,'Inputs'!$B$38,TRUE))/$F$12</f>
        <v/>
      </c>
      <c r="J20" s="32">
        <f>$B$13*(NORMDIST(MIN($D$13,MAX($C$13,$B20+10)),$E$13,'Inputs'!$B$38,TRUE)-NORMDIST(MIN($D$13,MAX($C$13,$B20)),$E$13,'Inputs'!$B$38,TRUE))/$F$13</f>
        <v/>
      </c>
      <c r="K20" s="35">
        <f>SUM(C20:J20)</f>
        <v/>
      </c>
      <c r="L20" s="36">
        <f>K20/SUM($K$19:$K$36)</f>
        <v/>
      </c>
    </row>
    <row r="21">
      <c r="A21" s="5" t="inlineStr">
        <is>
          <t>11:50</t>
        </is>
      </c>
      <c r="B21" s="34" t="n">
        <v>20</v>
      </c>
      <c r="C21" s="32">
        <f>$B$6*(NORMDIST(MIN($D$6,MAX($C$6,$B21+10)),$E$6,'Inputs'!$B$38,TRUE)-NORMDIST(MIN($D$6,MAX($C$6,$B21)),$E$6,'Inputs'!$B$38,TRUE))/$F$6</f>
        <v/>
      </c>
      <c r="D21" s="32">
        <f>$B$7*(NORMDIST(MIN($D$7,MAX($C$7,$B21+10)),$E$7,'Inputs'!$B$38,TRUE)-NORMDIST(MIN($D$7,MAX($C$7,$B21)),$E$7,'Inputs'!$B$38,TRUE))/$F$7</f>
        <v/>
      </c>
      <c r="E21" s="32">
        <f>$B$8*(NORMDIST(MIN($D$8,MAX($C$8,$B21+10)),$E$8,'Inputs'!$B$38,TRUE)-NORMDIST(MIN($D$8,MAX($C$8,$B21)),$E$8,'Inputs'!$B$38,TRUE))/$F$8</f>
        <v/>
      </c>
      <c r="F21" s="32">
        <f>$B$9*(NORMDIST(MIN($D$9,MAX($C$9,$B21+10)),$E$9,'Inputs'!$B$38,TRUE)-NORMDIST(MIN($D$9,MAX($C$9,$B21)),$E$9,'Inputs'!$B$38,TRUE))/$F$9</f>
        <v/>
      </c>
      <c r="G21" s="32">
        <f>$B$10*(NORMDIST(MIN($D$10,MAX($C$10,$B21+10)),$E$10,'Inputs'!$B$38,TRUE)-NORMDIST(MIN($D$10,MAX($C$10,$B21)),$E$10,'Inputs'!$B$38,TRUE))/$F$10</f>
        <v/>
      </c>
      <c r="H21" s="32">
        <f>$B$11*(NORMDIST(MIN($D$11,MAX($C$11,$B21+10)),$E$11,'Inputs'!$B$38,TRUE)-NORMDIST(MIN($D$11,MAX($C$11,$B21)),$E$11,'Inputs'!$B$38,TRUE))/$F$11</f>
        <v/>
      </c>
      <c r="I21" s="32">
        <f>$B$12*(NORMDIST(MIN($D$12,MAX($C$12,$B21+10)),$E$12,'Inputs'!$B$38,TRUE)-NORMDIST(MIN($D$12,MAX($C$12,$B21)),$E$12,'Inputs'!$B$38,TRUE))/$F$12</f>
        <v/>
      </c>
      <c r="J21" s="32">
        <f>$B$13*(NORMDIST(MIN($D$13,MAX($C$13,$B21+10)),$E$13,'Inputs'!$B$38,TRUE)-NORMDIST(MIN($D$13,MAX($C$13,$B21)),$E$13,'Inputs'!$B$38,TRUE))/$F$13</f>
        <v/>
      </c>
      <c r="K21" s="35">
        <f>SUM(C21:J21)</f>
        <v/>
      </c>
      <c r="L21" s="36">
        <f>K21/SUM($K$19:$K$36)</f>
        <v/>
      </c>
    </row>
    <row r="22">
      <c r="A22" s="5" t="inlineStr">
        <is>
          <t>12:00</t>
        </is>
      </c>
      <c r="B22" s="34" t="n">
        <v>30</v>
      </c>
      <c r="C22" s="32">
        <f>$B$6*(NORMDIST(MIN($D$6,MAX($C$6,$B22+10)),$E$6,'Inputs'!$B$38,TRUE)-NORMDIST(MIN($D$6,MAX($C$6,$B22)),$E$6,'Inputs'!$B$38,TRUE))/$F$6</f>
        <v/>
      </c>
      <c r="D22" s="32">
        <f>$B$7*(NORMDIST(MIN($D$7,MAX($C$7,$B22+10)),$E$7,'Inputs'!$B$38,TRUE)-NORMDIST(MIN($D$7,MAX($C$7,$B22)),$E$7,'Inputs'!$B$38,TRUE))/$F$7</f>
        <v/>
      </c>
      <c r="E22" s="32">
        <f>$B$8*(NORMDIST(MIN($D$8,MAX($C$8,$B22+10)),$E$8,'Inputs'!$B$38,TRUE)-NORMDIST(MIN($D$8,MAX($C$8,$B22)),$E$8,'Inputs'!$B$38,TRUE))/$F$8</f>
        <v/>
      </c>
      <c r="F22" s="32">
        <f>$B$9*(NORMDIST(MIN($D$9,MAX($C$9,$B22+10)),$E$9,'Inputs'!$B$38,TRUE)-NORMDIST(MIN($D$9,MAX($C$9,$B22)),$E$9,'Inputs'!$B$38,TRUE))/$F$9</f>
        <v/>
      </c>
      <c r="G22" s="32">
        <f>$B$10*(NORMDIST(MIN($D$10,MAX($C$10,$B22+10)),$E$10,'Inputs'!$B$38,TRUE)-NORMDIST(MIN($D$10,MAX($C$10,$B22)),$E$10,'Inputs'!$B$38,TRUE))/$F$10</f>
        <v/>
      </c>
      <c r="H22" s="32">
        <f>$B$11*(NORMDIST(MIN($D$11,MAX($C$11,$B22+10)),$E$11,'Inputs'!$B$38,TRUE)-NORMDIST(MIN($D$11,MAX($C$11,$B22)),$E$11,'Inputs'!$B$38,TRUE))/$F$11</f>
        <v/>
      </c>
      <c r="I22" s="32">
        <f>$B$12*(NORMDIST(MIN($D$12,MAX($C$12,$B22+10)),$E$12,'Inputs'!$B$38,TRUE)-NORMDIST(MIN($D$12,MAX($C$12,$B22)),$E$12,'Inputs'!$B$38,TRUE))/$F$12</f>
        <v/>
      </c>
      <c r="J22" s="32">
        <f>$B$13*(NORMDIST(MIN($D$13,MAX($C$13,$B22+10)),$E$13,'Inputs'!$B$38,TRUE)-NORMDIST(MIN($D$13,MAX($C$13,$B22)),$E$13,'Inputs'!$B$38,TRUE))/$F$13</f>
        <v/>
      </c>
      <c r="K22" s="35">
        <f>SUM(C22:J22)</f>
        <v/>
      </c>
      <c r="L22" s="36">
        <f>K22/SUM($K$19:$K$36)</f>
        <v/>
      </c>
    </row>
    <row r="23">
      <c r="A23" s="5" t="inlineStr">
        <is>
          <t>12:10</t>
        </is>
      </c>
      <c r="B23" s="34" t="n">
        <v>40</v>
      </c>
      <c r="C23" s="32">
        <f>$B$6*(NORMDIST(MIN($D$6,MAX($C$6,$B23+10)),$E$6,'Inputs'!$B$38,TRUE)-NORMDIST(MIN($D$6,MAX($C$6,$B23)),$E$6,'Inputs'!$B$38,TRUE))/$F$6</f>
        <v/>
      </c>
      <c r="D23" s="32">
        <f>$B$7*(NORMDIST(MIN($D$7,MAX($C$7,$B23+10)),$E$7,'Inputs'!$B$38,TRUE)-NORMDIST(MIN($D$7,MAX($C$7,$B23)),$E$7,'Inputs'!$B$38,TRUE))/$F$7</f>
        <v/>
      </c>
      <c r="E23" s="32">
        <f>$B$8*(NORMDIST(MIN($D$8,MAX($C$8,$B23+10)),$E$8,'Inputs'!$B$38,TRUE)-NORMDIST(MIN($D$8,MAX($C$8,$B23)),$E$8,'Inputs'!$B$38,TRUE))/$F$8</f>
        <v/>
      </c>
      <c r="F23" s="32">
        <f>$B$9*(NORMDIST(MIN($D$9,MAX($C$9,$B23+10)),$E$9,'Inputs'!$B$38,TRUE)-NORMDIST(MIN($D$9,MAX($C$9,$B23)),$E$9,'Inputs'!$B$38,TRUE))/$F$9</f>
        <v/>
      </c>
      <c r="G23" s="32">
        <f>$B$10*(NORMDIST(MIN($D$10,MAX($C$10,$B23+10)),$E$10,'Inputs'!$B$38,TRUE)-NORMDIST(MIN($D$10,MAX($C$10,$B23)),$E$10,'Inputs'!$B$38,TRUE))/$F$10</f>
        <v/>
      </c>
      <c r="H23" s="32">
        <f>$B$11*(NORMDIST(MIN($D$11,MAX($C$11,$B23+10)),$E$11,'Inputs'!$B$38,TRUE)-NORMDIST(MIN($D$11,MAX($C$11,$B23)),$E$11,'Inputs'!$B$38,TRUE))/$F$11</f>
        <v/>
      </c>
      <c r="I23" s="32">
        <f>$B$12*(NORMDIST(MIN($D$12,MAX($C$12,$B23+10)),$E$12,'Inputs'!$B$38,TRUE)-NORMDIST(MIN($D$12,MAX($C$12,$B23)),$E$12,'Inputs'!$B$38,TRUE))/$F$12</f>
        <v/>
      </c>
      <c r="J23" s="32">
        <f>$B$13*(NORMDIST(MIN($D$13,MAX($C$13,$B23+10)),$E$13,'Inputs'!$B$38,TRUE)-NORMDIST(MIN($D$13,MAX($C$13,$B23)),$E$13,'Inputs'!$B$38,TRUE))/$F$13</f>
        <v/>
      </c>
      <c r="K23" s="35">
        <f>SUM(C23:J23)</f>
        <v/>
      </c>
      <c r="L23" s="36">
        <f>K23/SUM($K$19:$K$36)</f>
        <v/>
      </c>
    </row>
    <row r="24">
      <c r="A24" s="5" t="inlineStr">
        <is>
          <t>12:20</t>
        </is>
      </c>
      <c r="B24" s="34" t="n">
        <v>50</v>
      </c>
      <c r="C24" s="32">
        <f>$B$6*(NORMDIST(MIN($D$6,MAX($C$6,$B24+10)),$E$6,'Inputs'!$B$38,TRUE)-NORMDIST(MIN($D$6,MAX($C$6,$B24)),$E$6,'Inputs'!$B$38,TRUE))/$F$6</f>
        <v/>
      </c>
      <c r="D24" s="32">
        <f>$B$7*(NORMDIST(MIN($D$7,MAX($C$7,$B24+10)),$E$7,'Inputs'!$B$38,TRUE)-NORMDIST(MIN($D$7,MAX($C$7,$B24)),$E$7,'Inputs'!$B$38,TRUE))/$F$7</f>
        <v/>
      </c>
      <c r="E24" s="32">
        <f>$B$8*(NORMDIST(MIN($D$8,MAX($C$8,$B24+10)),$E$8,'Inputs'!$B$38,TRUE)-NORMDIST(MIN($D$8,MAX($C$8,$B24)),$E$8,'Inputs'!$B$38,TRUE))/$F$8</f>
        <v/>
      </c>
      <c r="F24" s="32">
        <f>$B$9*(NORMDIST(MIN($D$9,MAX($C$9,$B24+10)),$E$9,'Inputs'!$B$38,TRUE)-NORMDIST(MIN($D$9,MAX($C$9,$B24)),$E$9,'Inputs'!$B$38,TRUE))/$F$9</f>
        <v/>
      </c>
      <c r="G24" s="32">
        <f>$B$10*(NORMDIST(MIN($D$10,MAX($C$10,$B24+10)),$E$10,'Inputs'!$B$38,TRUE)-NORMDIST(MIN($D$10,MAX($C$10,$B24)),$E$10,'Inputs'!$B$38,TRUE))/$F$10</f>
        <v/>
      </c>
      <c r="H24" s="32">
        <f>$B$11*(NORMDIST(MIN($D$11,MAX($C$11,$B24+10)),$E$11,'Inputs'!$B$38,TRUE)-NORMDIST(MIN($D$11,MAX($C$11,$B24)),$E$11,'Inputs'!$B$38,TRUE))/$F$11</f>
        <v/>
      </c>
      <c r="I24" s="32">
        <f>$B$12*(NORMDIST(MIN($D$12,MAX($C$12,$B24+10)),$E$12,'Inputs'!$B$38,TRUE)-NORMDIST(MIN($D$12,MAX($C$12,$B24)),$E$12,'Inputs'!$B$38,TRUE))/$F$12</f>
        <v/>
      </c>
      <c r="J24" s="32">
        <f>$B$13*(NORMDIST(MIN($D$13,MAX($C$13,$B24+10)),$E$13,'Inputs'!$B$38,TRUE)-NORMDIST(MIN($D$13,MAX($C$13,$B24)),$E$13,'Inputs'!$B$38,TRUE))/$F$13</f>
        <v/>
      </c>
      <c r="K24" s="35">
        <f>SUM(C24:J24)</f>
        <v/>
      </c>
      <c r="L24" s="36">
        <f>K24/SUM($K$19:$K$36)</f>
        <v/>
      </c>
    </row>
    <row r="25">
      <c r="A25" s="5" t="inlineStr">
        <is>
          <t>12:30</t>
        </is>
      </c>
      <c r="B25" s="34" t="n">
        <v>60</v>
      </c>
      <c r="C25" s="32">
        <f>$B$6*(NORMDIST(MIN($D$6,MAX($C$6,$B25+10)),$E$6,'Inputs'!$B$38,TRUE)-NORMDIST(MIN($D$6,MAX($C$6,$B25)),$E$6,'Inputs'!$B$38,TRUE))/$F$6</f>
        <v/>
      </c>
      <c r="D25" s="32">
        <f>$B$7*(NORMDIST(MIN($D$7,MAX($C$7,$B25+10)),$E$7,'Inputs'!$B$38,TRUE)-NORMDIST(MIN($D$7,MAX($C$7,$B25)),$E$7,'Inputs'!$B$38,TRUE))/$F$7</f>
        <v/>
      </c>
      <c r="E25" s="32">
        <f>$B$8*(NORMDIST(MIN($D$8,MAX($C$8,$B25+10)),$E$8,'Inputs'!$B$38,TRUE)-NORMDIST(MIN($D$8,MAX($C$8,$B25)),$E$8,'Inputs'!$B$38,TRUE))/$F$8</f>
        <v/>
      </c>
      <c r="F25" s="32">
        <f>$B$9*(NORMDIST(MIN($D$9,MAX($C$9,$B25+10)),$E$9,'Inputs'!$B$38,TRUE)-NORMDIST(MIN($D$9,MAX($C$9,$B25)),$E$9,'Inputs'!$B$38,TRUE))/$F$9</f>
        <v/>
      </c>
      <c r="G25" s="32">
        <f>$B$10*(NORMDIST(MIN($D$10,MAX($C$10,$B25+10)),$E$10,'Inputs'!$B$38,TRUE)-NORMDIST(MIN($D$10,MAX($C$10,$B25)),$E$10,'Inputs'!$B$38,TRUE))/$F$10</f>
        <v/>
      </c>
      <c r="H25" s="32">
        <f>$B$11*(NORMDIST(MIN($D$11,MAX($C$11,$B25+10)),$E$11,'Inputs'!$B$38,TRUE)-NORMDIST(MIN($D$11,MAX($C$11,$B25)),$E$11,'Inputs'!$B$38,TRUE))/$F$11</f>
        <v/>
      </c>
      <c r="I25" s="32">
        <f>$B$12*(NORMDIST(MIN($D$12,MAX($C$12,$B25+10)),$E$12,'Inputs'!$B$38,TRUE)-NORMDIST(MIN($D$12,MAX($C$12,$B25)),$E$12,'Inputs'!$B$38,TRUE))/$F$12</f>
        <v/>
      </c>
      <c r="J25" s="32">
        <f>$B$13*(NORMDIST(MIN($D$13,MAX($C$13,$B25+10)),$E$13,'Inputs'!$B$38,TRUE)-NORMDIST(MIN($D$13,MAX($C$13,$B25)),$E$13,'Inputs'!$B$38,TRUE))/$F$13</f>
        <v/>
      </c>
      <c r="K25" s="35">
        <f>SUM(C25:J25)</f>
        <v/>
      </c>
      <c r="L25" s="36">
        <f>K25/SUM($K$19:$K$36)</f>
        <v/>
      </c>
    </row>
    <row r="26">
      <c r="A26" s="5" t="inlineStr">
        <is>
          <t>12:40</t>
        </is>
      </c>
      <c r="B26" s="34" t="n">
        <v>70</v>
      </c>
      <c r="C26" s="32">
        <f>$B$6*(NORMDIST(MIN($D$6,MAX($C$6,$B26+10)),$E$6,'Inputs'!$B$38,TRUE)-NORMDIST(MIN($D$6,MAX($C$6,$B26)),$E$6,'Inputs'!$B$38,TRUE))/$F$6</f>
        <v/>
      </c>
      <c r="D26" s="32">
        <f>$B$7*(NORMDIST(MIN($D$7,MAX($C$7,$B26+10)),$E$7,'Inputs'!$B$38,TRUE)-NORMDIST(MIN($D$7,MAX($C$7,$B26)),$E$7,'Inputs'!$B$38,TRUE))/$F$7</f>
        <v/>
      </c>
      <c r="E26" s="32">
        <f>$B$8*(NORMDIST(MIN($D$8,MAX($C$8,$B26+10)),$E$8,'Inputs'!$B$38,TRUE)-NORMDIST(MIN($D$8,MAX($C$8,$B26)),$E$8,'Inputs'!$B$38,TRUE))/$F$8</f>
        <v/>
      </c>
      <c r="F26" s="32">
        <f>$B$9*(NORMDIST(MIN($D$9,MAX($C$9,$B26+10)),$E$9,'Inputs'!$B$38,TRUE)-NORMDIST(MIN($D$9,MAX($C$9,$B26)),$E$9,'Inputs'!$B$38,TRUE))/$F$9</f>
        <v/>
      </c>
      <c r="G26" s="32">
        <f>$B$10*(NORMDIST(MIN($D$10,MAX($C$10,$B26+10)),$E$10,'Inputs'!$B$38,TRUE)-NORMDIST(MIN($D$10,MAX($C$10,$B26)),$E$10,'Inputs'!$B$38,TRUE))/$F$10</f>
        <v/>
      </c>
      <c r="H26" s="32">
        <f>$B$11*(NORMDIST(MIN($D$11,MAX($C$11,$B26+10)),$E$11,'Inputs'!$B$38,TRUE)-NORMDIST(MIN($D$11,MAX($C$11,$B26)),$E$11,'Inputs'!$B$38,TRUE))/$F$11</f>
        <v/>
      </c>
      <c r="I26" s="32">
        <f>$B$12*(NORMDIST(MIN($D$12,MAX($C$12,$B26+10)),$E$12,'Inputs'!$B$38,TRUE)-NORMDIST(MIN($D$12,MAX($C$12,$B26)),$E$12,'Inputs'!$B$38,TRUE))/$F$12</f>
        <v/>
      </c>
      <c r="J26" s="32">
        <f>$B$13*(NORMDIST(MIN($D$13,MAX($C$13,$B26+10)),$E$13,'Inputs'!$B$38,TRUE)-NORMDIST(MIN($D$13,MAX($C$13,$B26)),$E$13,'Inputs'!$B$38,TRUE))/$F$13</f>
        <v/>
      </c>
      <c r="K26" s="35">
        <f>SUM(C26:J26)</f>
        <v/>
      </c>
      <c r="L26" s="36">
        <f>K26/SUM($K$19:$K$36)</f>
        <v/>
      </c>
    </row>
    <row r="27">
      <c r="A27" s="5" t="inlineStr">
        <is>
          <t>12:50</t>
        </is>
      </c>
      <c r="B27" s="34" t="n">
        <v>80</v>
      </c>
      <c r="C27" s="32">
        <f>$B$6*(NORMDIST(MIN($D$6,MAX($C$6,$B27+10)),$E$6,'Inputs'!$B$38,TRUE)-NORMDIST(MIN($D$6,MAX($C$6,$B27)),$E$6,'Inputs'!$B$38,TRUE))/$F$6</f>
        <v/>
      </c>
      <c r="D27" s="32">
        <f>$B$7*(NORMDIST(MIN($D$7,MAX($C$7,$B27+10)),$E$7,'Inputs'!$B$38,TRUE)-NORMDIST(MIN($D$7,MAX($C$7,$B27)),$E$7,'Inputs'!$B$38,TRUE))/$F$7</f>
        <v/>
      </c>
      <c r="E27" s="32">
        <f>$B$8*(NORMDIST(MIN($D$8,MAX($C$8,$B27+10)),$E$8,'Inputs'!$B$38,TRUE)-NORMDIST(MIN($D$8,MAX($C$8,$B27)),$E$8,'Inputs'!$B$38,TRUE))/$F$8</f>
        <v/>
      </c>
      <c r="F27" s="32">
        <f>$B$9*(NORMDIST(MIN($D$9,MAX($C$9,$B27+10)),$E$9,'Inputs'!$B$38,TRUE)-NORMDIST(MIN($D$9,MAX($C$9,$B27)),$E$9,'Inputs'!$B$38,TRUE))/$F$9</f>
        <v/>
      </c>
      <c r="G27" s="32">
        <f>$B$10*(NORMDIST(MIN($D$10,MAX($C$10,$B27+10)),$E$10,'Inputs'!$B$38,TRUE)-NORMDIST(MIN($D$10,MAX($C$10,$B27)),$E$10,'Inputs'!$B$38,TRUE))/$F$10</f>
        <v/>
      </c>
      <c r="H27" s="32">
        <f>$B$11*(NORMDIST(MIN($D$11,MAX($C$11,$B27+10)),$E$11,'Inputs'!$B$38,TRUE)-NORMDIST(MIN($D$11,MAX($C$11,$B27)),$E$11,'Inputs'!$B$38,TRUE))/$F$11</f>
        <v/>
      </c>
      <c r="I27" s="32">
        <f>$B$12*(NORMDIST(MIN($D$12,MAX($C$12,$B27+10)),$E$12,'Inputs'!$B$38,TRUE)-NORMDIST(MIN($D$12,MAX($C$12,$B27)),$E$12,'Inputs'!$B$38,TRUE))/$F$12</f>
        <v/>
      </c>
      <c r="J27" s="32">
        <f>$B$13*(NORMDIST(MIN($D$13,MAX($C$13,$B27+10)),$E$13,'Inputs'!$B$38,TRUE)-NORMDIST(MIN($D$13,MAX($C$13,$B27)),$E$13,'Inputs'!$B$38,TRUE))/$F$13</f>
        <v/>
      </c>
      <c r="K27" s="35">
        <f>SUM(C27:J27)</f>
        <v/>
      </c>
      <c r="L27" s="36">
        <f>K27/SUM($K$19:$K$36)</f>
        <v/>
      </c>
    </row>
    <row r="28">
      <c r="A28" s="5" t="inlineStr">
        <is>
          <t>13:00</t>
        </is>
      </c>
      <c r="B28" s="34" t="n">
        <v>90</v>
      </c>
      <c r="C28" s="32">
        <f>$B$6*(NORMDIST(MIN($D$6,MAX($C$6,$B28+10)),$E$6,'Inputs'!$B$38,TRUE)-NORMDIST(MIN($D$6,MAX($C$6,$B28)),$E$6,'Inputs'!$B$38,TRUE))/$F$6</f>
        <v/>
      </c>
      <c r="D28" s="32">
        <f>$B$7*(NORMDIST(MIN($D$7,MAX($C$7,$B28+10)),$E$7,'Inputs'!$B$38,TRUE)-NORMDIST(MIN($D$7,MAX($C$7,$B28)),$E$7,'Inputs'!$B$38,TRUE))/$F$7</f>
        <v/>
      </c>
      <c r="E28" s="32">
        <f>$B$8*(NORMDIST(MIN($D$8,MAX($C$8,$B28+10)),$E$8,'Inputs'!$B$38,TRUE)-NORMDIST(MIN($D$8,MAX($C$8,$B28)),$E$8,'Inputs'!$B$38,TRUE))/$F$8</f>
        <v/>
      </c>
      <c r="F28" s="32">
        <f>$B$9*(NORMDIST(MIN($D$9,MAX($C$9,$B28+10)),$E$9,'Inputs'!$B$38,TRUE)-NORMDIST(MIN($D$9,MAX($C$9,$B28)),$E$9,'Inputs'!$B$38,TRUE))/$F$9</f>
        <v/>
      </c>
      <c r="G28" s="32">
        <f>$B$10*(NORMDIST(MIN($D$10,MAX($C$10,$B28+10)),$E$10,'Inputs'!$B$38,TRUE)-NORMDIST(MIN($D$10,MAX($C$10,$B28)),$E$10,'Inputs'!$B$38,TRUE))/$F$10</f>
        <v/>
      </c>
      <c r="H28" s="32">
        <f>$B$11*(NORMDIST(MIN($D$11,MAX($C$11,$B28+10)),$E$11,'Inputs'!$B$38,TRUE)-NORMDIST(MIN($D$11,MAX($C$11,$B28)),$E$11,'Inputs'!$B$38,TRUE))/$F$11</f>
        <v/>
      </c>
      <c r="I28" s="32">
        <f>$B$12*(NORMDIST(MIN($D$12,MAX($C$12,$B28+10)),$E$12,'Inputs'!$B$38,TRUE)-NORMDIST(MIN($D$12,MAX($C$12,$B28)),$E$12,'Inputs'!$B$38,TRUE))/$F$12</f>
        <v/>
      </c>
      <c r="J28" s="32">
        <f>$B$13*(NORMDIST(MIN($D$13,MAX($C$13,$B28+10)),$E$13,'Inputs'!$B$38,TRUE)-NORMDIST(MIN($D$13,MAX($C$13,$B28)),$E$13,'Inputs'!$B$38,TRUE))/$F$13</f>
        <v/>
      </c>
      <c r="K28" s="35">
        <f>SUM(C28:J28)</f>
        <v/>
      </c>
      <c r="L28" s="36">
        <f>K28/SUM($K$19:$K$36)</f>
        <v/>
      </c>
    </row>
    <row r="29">
      <c r="A29" s="5" t="inlineStr">
        <is>
          <t>13:10</t>
        </is>
      </c>
      <c r="B29" s="34" t="n">
        <v>100</v>
      </c>
      <c r="C29" s="32">
        <f>$B$6*(NORMDIST(MIN($D$6,MAX($C$6,$B29+10)),$E$6,'Inputs'!$B$38,TRUE)-NORMDIST(MIN($D$6,MAX($C$6,$B29)),$E$6,'Inputs'!$B$38,TRUE))/$F$6</f>
        <v/>
      </c>
      <c r="D29" s="32">
        <f>$B$7*(NORMDIST(MIN($D$7,MAX($C$7,$B29+10)),$E$7,'Inputs'!$B$38,TRUE)-NORMDIST(MIN($D$7,MAX($C$7,$B29)),$E$7,'Inputs'!$B$38,TRUE))/$F$7</f>
        <v/>
      </c>
      <c r="E29" s="32">
        <f>$B$8*(NORMDIST(MIN($D$8,MAX($C$8,$B29+10)),$E$8,'Inputs'!$B$38,TRUE)-NORMDIST(MIN($D$8,MAX($C$8,$B29)),$E$8,'Inputs'!$B$38,TRUE))/$F$8</f>
        <v/>
      </c>
      <c r="F29" s="32">
        <f>$B$9*(NORMDIST(MIN($D$9,MAX($C$9,$B29+10)),$E$9,'Inputs'!$B$38,TRUE)-NORMDIST(MIN($D$9,MAX($C$9,$B29)),$E$9,'Inputs'!$B$38,TRUE))/$F$9</f>
        <v/>
      </c>
      <c r="G29" s="32">
        <f>$B$10*(NORMDIST(MIN($D$10,MAX($C$10,$B29+10)),$E$10,'Inputs'!$B$38,TRUE)-NORMDIST(MIN($D$10,MAX($C$10,$B29)),$E$10,'Inputs'!$B$38,TRUE))/$F$10</f>
        <v/>
      </c>
      <c r="H29" s="32">
        <f>$B$11*(NORMDIST(MIN($D$11,MAX($C$11,$B29+10)),$E$11,'Inputs'!$B$38,TRUE)-NORMDIST(MIN($D$11,MAX($C$11,$B29)),$E$11,'Inputs'!$B$38,TRUE))/$F$11</f>
        <v/>
      </c>
      <c r="I29" s="32">
        <f>$B$12*(NORMDIST(MIN($D$12,MAX($C$12,$B29+10)),$E$12,'Inputs'!$B$38,TRUE)-NORMDIST(MIN($D$12,MAX($C$12,$B29)),$E$12,'Inputs'!$B$38,TRUE))/$F$12</f>
        <v/>
      </c>
      <c r="J29" s="32">
        <f>$B$13*(NORMDIST(MIN($D$13,MAX($C$13,$B29+10)),$E$13,'Inputs'!$B$38,TRUE)-NORMDIST(MIN($D$13,MAX($C$13,$B29)),$E$13,'Inputs'!$B$38,TRUE))/$F$13</f>
        <v/>
      </c>
      <c r="K29" s="35">
        <f>SUM(C29:J29)</f>
        <v/>
      </c>
      <c r="L29" s="36">
        <f>K29/SUM($K$19:$K$36)</f>
        <v/>
      </c>
    </row>
    <row r="30">
      <c r="A30" s="5" t="inlineStr">
        <is>
          <t>13:20</t>
        </is>
      </c>
      <c r="B30" s="34" t="n">
        <v>110</v>
      </c>
      <c r="C30" s="32">
        <f>$B$6*(NORMDIST(MIN($D$6,MAX($C$6,$B30+10)),$E$6,'Inputs'!$B$38,TRUE)-NORMDIST(MIN($D$6,MAX($C$6,$B30)),$E$6,'Inputs'!$B$38,TRUE))/$F$6</f>
        <v/>
      </c>
      <c r="D30" s="32">
        <f>$B$7*(NORMDIST(MIN($D$7,MAX($C$7,$B30+10)),$E$7,'Inputs'!$B$38,TRUE)-NORMDIST(MIN($D$7,MAX($C$7,$B30)),$E$7,'Inputs'!$B$38,TRUE))/$F$7</f>
        <v/>
      </c>
      <c r="E30" s="32">
        <f>$B$8*(NORMDIST(MIN($D$8,MAX($C$8,$B30+10)),$E$8,'Inputs'!$B$38,TRUE)-NORMDIST(MIN($D$8,MAX($C$8,$B30)),$E$8,'Inputs'!$B$38,TRUE))/$F$8</f>
        <v/>
      </c>
      <c r="F30" s="32">
        <f>$B$9*(NORMDIST(MIN($D$9,MAX($C$9,$B30+10)),$E$9,'Inputs'!$B$38,TRUE)-NORMDIST(MIN($D$9,MAX($C$9,$B30)),$E$9,'Inputs'!$B$38,TRUE))/$F$9</f>
        <v/>
      </c>
      <c r="G30" s="32">
        <f>$B$10*(NORMDIST(MIN($D$10,MAX($C$10,$B30+10)),$E$10,'Inputs'!$B$38,TRUE)-NORMDIST(MIN($D$10,MAX($C$10,$B30)),$E$10,'Inputs'!$B$38,TRUE))/$F$10</f>
        <v/>
      </c>
      <c r="H30" s="32">
        <f>$B$11*(NORMDIST(MIN($D$11,MAX($C$11,$B30+10)),$E$11,'Inputs'!$B$38,TRUE)-NORMDIST(MIN($D$11,MAX($C$11,$B30)),$E$11,'Inputs'!$B$38,TRUE))/$F$11</f>
        <v/>
      </c>
      <c r="I30" s="32">
        <f>$B$12*(NORMDIST(MIN($D$12,MAX($C$12,$B30+10)),$E$12,'Inputs'!$B$38,TRUE)-NORMDIST(MIN($D$12,MAX($C$12,$B30)),$E$12,'Inputs'!$B$38,TRUE))/$F$12</f>
        <v/>
      </c>
      <c r="J30" s="32">
        <f>$B$13*(NORMDIST(MIN($D$13,MAX($C$13,$B30+10)),$E$13,'Inputs'!$B$38,TRUE)-NORMDIST(MIN($D$13,MAX($C$13,$B30)),$E$13,'Inputs'!$B$38,TRUE))/$F$13</f>
        <v/>
      </c>
      <c r="K30" s="35">
        <f>SUM(C30:J30)</f>
        <v/>
      </c>
      <c r="L30" s="36">
        <f>K30/SUM($K$19:$K$36)</f>
        <v/>
      </c>
    </row>
    <row r="31">
      <c r="A31" s="5" t="inlineStr">
        <is>
          <t>13:30</t>
        </is>
      </c>
      <c r="B31" s="34" t="n">
        <v>120</v>
      </c>
      <c r="C31" s="32">
        <f>$B$6*(NORMDIST(MIN($D$6,MAX($C$6,$B31+10)),$E$6,'Inputs'!$B$38,TRUE)-NORMDIST(MIN($D$6,MAX($C$6,$B31)),$E$6,'Inputs'!$B$38,TRUE))/$F$6</f>
        <v/>
      </c>
      <c r="D31" s="32">
        <f>$B$7*(NORMDIST(MIN($D$7,MAX($C$7,$B31+10)),$E$7,'Inputs'!$B$38,TRUE)-NORMDIST(MIN($D$7,MAX($C$7,$B31)),$E$7,'Inputs'!$B$38,TRUE))/$F$7</f>
        <v/>
      </c>
      <c r="E31" s="32">
        <f>$B$8*(NORMDIST(MIN($D$8,MAX($C$8,$B31+10)),$E$8,'Inputs'!$B$38,TRUE)-NORMDIST(MIN($D$8,MAX($C$8,$B31)),$E$8,'Inputs'!$B$38,TRUE))/$F$8</f>
        <v/>
      </c>
      <c r="F31" s="32">
        <f>$B$9*(NORMDIST(MIN($D$9,MAX($C$9,$B31+10)),$E$9,'Inputs'!$B$38,TRUE)-NORMDIST(MIN($D$9,MAX($C$9,$B31)),$E$9,'Inputs'!$B$38,TRUE))/$F$9</f>
        <v/>
      </c>
      <c r="G31" s="32">
        <f>$B$10*(NORMDIST(MIN($D$10,MAX($C$10,$B31+10)),$E$10,'Inputs'!$B$38,TRUE)-NORMDIST(MIN($D$10,MAX($C$10,$B31)),$E$10,'Inputs'!$B$38,TRUE))/$F$10</f>
        <v/>
      </c>
      <c r="H31" s="32">
        <f>$B$11*(NORMDIST(MIN($D$11,MAX($C$11,$B31+10)),$E$11,'Inputs'!$B$38,TRUE)-NORMDIST(MIN($D$11,MAX($C$11,$B31)),$E$11,'Inputs'!$B$38,TRUE))/$F$11</f>
        <v/>
      </c>
      <c r="I31" s="32">
        <f>$B$12*(NORMDIST(MIN($D$12,MAX($C$12,$B31+10)),$E$12,'Inputs'!$B$38,TRUE)-NORMDIST(MIN($D$12,MAX($C$12,$B31)),$E$12,'Inputs'!$B$38,TRUE))/$F$12</f>
        <v/>
      </c>
      <c r="J31" s="32">
        <f>$B$13*(NORMDIST(MIN($D$13,MAX($C$13,$B31+10)),$E$13,'Inputs'!$B$38,TRUE)-NORMDIST(MIN($D$13,MAX($C$13,$B31)),$E$13,'Inputs'!$B$38,TRUE))/$F$13</f>
        <v/>
      </c>
      <c r="K31" s="35">
        <f>SUM(C31:J31)</f>
        <v/>
      </c>
      <c r="L31" s="36">
        <f>K31/SUM($K$19:$K$36)</f>
        <v/>
      </c>
    </row>
    <row r="32">
      <c r="A32" s="5" t="inlineStr">
        <is>
          <t>13:40</t>
        </is>
      </c>
      <c r="B32" s="34" t="n">
        <v>130</v>
      </c>
      <c r="C32" s="32">
        <f>$B$6*(NORMDIST(MIN($D$6,MAX($C$6,$B32+10)),$E$6,'Inputs'!$B$38,TRUE)-NORMDIST(MIN($D$6,MAX($C$6,$B32)),$E$6,'Inputs'!$B$38,TRUE))/$F$6</f>
        <v/>
      </c>
      <c r="D32" s="32">
        <f>$B$7*(NORMDIST(MIN($D$7,MAX($C$7,$B32+10)),$E$7,'Inputs'!$B$38,TRUE)-NORMDIST(MIN($D$7,MAX($C$7,$B32)),$E$7,'Inputs'!$B$38,TRUE))/$F$7</f>
        <v/>
      </c>
      <c r="E32" s="32">
        <f>$B$8*(NORMDIST(MIN($D$8,MAX($C$8,$B32+10)),$E$8,'Inputs'!$B$38,TRUE)-NORMDIST(MIN($D$8,MAX($C$8,$B32)),$E$8,'Inputs'!$B$38,TRUE))/$F$8</f>
        <v/>
      </c>
      <c r="F32" s="32">
        <f>$B$9*(NORMDIST(MIN($D$9,MAX($C$9,$B32+10)),$E$9,'Inputs'!$B$38,TRUE)-NORMDIST(MIN($D$9,MAX($C$9,$B32)),$E$9,'Inputs'!$B$38,TRUE))/$F$9</f>
        <v/>
      </c>
      <c r="G32" s="32">
        <f>$B$10*(NORMDIST(MIN($D$10,MAX($C$10,$B32+10)),$E$10,'Inputs'!$B$38,TRUE)-NORMDIST(MIN($D$10,MAX($C$10,$B32)),$E$10,'Inputs'!$B$38,TRUE))/$F$10</f>
        <v/>
      </c>
      <c r="H32" s="32">
        <f>$B$11*(NORMDIST(MIN($D$11,MAX($C$11,$B32+10)),$E$11,'Inputs'!$B$38,TRUE)-NORMDIST(MIN($D$11,MAX($C$11,$B32)),$E$11,'Inputs'!$B$38,TRUE))/$F$11</f>
        <v/>
      </c>
      <c r="I32" s="32">
        <f>$B$12*(NORMDIST(MIN($D$12,MAX($C$12,$B32+10)),$E$12,'Inputs'!$B$38,TRUE)-NORMDIST(MIN($D$12,MAX($C$12,$B32)),$E$12,'Inputs'!$B$38,TRUE))/$F$12</f>
        <v/>
      </c>
      <c r="J32" s="32">
        <f>$B$13*(NORMDIST(MIN($D$13,MAX($C$13,$B32+10)),$E$13,'Inputs'!$B$38,TRUE)-NORMDIST(MIN($D$13,MAX($C$13,$B32)),$E$13,'Inputs'!$B$38,TRUE))/$F$13</f>
        <v/>
      </c>
      <c r="K32" s="35">
        <f>SUM(C32:J32)</f>
        <v/>
      </c>
      <c r="L32" s="36">
        <f>K32/SUM($K$19:$K$36)</f>
        <v/>
      </c>
    </row>
    <row r="33">
      <c r="A33" s="5" t="inlineStr">
        <is>
          <t>13:50</t>
        </is>
      </c>
      <c r="B33" s="34" t="n">
        <v>140</v>
      </c>
      <c r="C33" s="32">
        <f>$B$6*(NORMDIST(MIN($D$6,MAX($C$6,$B33+10)),$E$6,'Inputs'!$B$38,TRUE)-NORMDIST(MIN($D$6,MAX($C$6,$B33)),$E$6,'Inputs'!$B$38,TRUE))/$F$6</f>
        <v/>
      </c>
      <c r="D33" s="32">
        <f>$B$7*(NORMDIST(MIN($D$7,MAX($C$7,$B33+10)),$E$7,'Inputs'!$B$38,TRUE)-NORMDIST(MIN($D$7,MAX($C$7,$B33)),$E$7,'Inputs'!$B$38,TRUE))/$F$7</f>
        <v/>
      </c>
      <c r="E33" s="32">
        <f>$B$8*(NORMDIST(MIN($D$8,MAX($C$8,$B33+10)),$E$8,'Inputs'!$B$38,TRUE)-NORMDIST(MIN($D$8,MAX($C$8,$B33)),$E$8,'Inputs'!$B$38,TRUE))/$F$8</f>
        <v/>
      </c>
      <c r="F33" s="32">
        <f>$B$9*(NORMDIST(MIN($D$9,MAX($C$9,$B33+10)),$E$9,'Inputs'!$B$38,TRUE)-NORMDIST(MIN($D$9,MAX($C$9,$B33)),$E$9,'Inputs'!$B$38,TRUE))/$F$9</f>
        <v/>
      </c>
      <c r="G33" s="32">
        <f>$B$10*(NORMDIST(MIN($D$10,MAX($C$10,$B33+10)),$E$10,'Inputs'!$B$38,TRUE)-NORMDIST(MIN($D$10,MAX($C$10,$B33)),$E$10,'Inputs'!$B$38,TRUE))/$F$10</f>
        <v/>
      </c>
      <c r="H33" s="32">
        <f>$B$11*(NORMDIST(MIN($D$11,MAX($C$11,$B33+10)),$E$11,'Inputs'!$B$38,TRUE)-NORMDIST(MIN($D$11,MAX($C$11,$B33)),$E$11,'Inputs'!$B$38,TRUE))/$F$11</f>
        <v/>
      </c>
      <c r="I33" s="32">
        <f>$B$12*(NORMDIST(MIN($D$12,MAX($C$12,$B33+10)),$E$12,'Inputs'!$B$38,TRUE)-NORMDIST(MIN($D$12,MAX($C$12,$B33)),$E$12,'Inputs'!$B$38,TRUE))/$F$12</f>
        <v/>
      </c>
      <c r="J33" s="32">
        <f>$B$13*(NORMDIST(MIN($D$13,MAX($C$13,$B33+10)),$E$13,'Inputs'!$B$38,TRUE)-NORMDIST(MIN($D$13,MAX($C$13,$B33)),$E$13,'Inputs'!$B$38,TRUE))/$F$13</f>
        <v/>
      </c>
      <c r="K33" s="35">
        <f>SUM(C33:J33)</f>
        <v/>
      </c>
      <c r="L33" s="36">
        <f>K33/SUM($K$19:$K$36)</f>
        <v/>
      </c>
    </row>
    <row r="34">
      <c r="A34" s="5" t="inlineStr">
        <is>
          <t>14:00</t>
        </is>
      </c>
      <c r="B34" s="34" t="n">
        <v>150</v>
      </c>
      <c r="C34" s="32">
        <f>$B$6*(NORMDIST(MIN($D$6,MAX($C$6,$B34+10)),$E$6,'Inputs'!$B$38,TRUE)-NORMDIST(MIN($D$6,MAX($C$6,$B34)),$E$6,'Inputs'!$B$38,TRUE))/$F$6</f>
        <v/>
      </c>
      <c r="D34" s="32">
        <f>$B$7*(NORMDIST(MIN($D$7,MAX($C$7,$B34+10)),$E$7,'Inputs'!$B$38,TRUE)-NORMDIST(MIN($D$7,MAX($C$7,$B34)),$E$7,'Inputs'!$B$38,TRUE))/$F$7</f>
        <v/>
      </c>
      <c r="E34" s="32">
        <f>$B$8*(NORMDIST(MIN($D$8,MAX($C$8,$B34+10)),$E$8,'Inputs'!$B$38,TRUE)-NORMDIST(MIN($D$8,MAX($C$8,$B34)),$E$8,'Inputs'!$B$38,TRUE))/$F$8</f>
        <v/>
      </c>
      <c r="F34" s="32">
        <f>$B$9*(NORMDIST(MIN($D$9,MAX($C$9,$B34+10)),$E$9,'Inputs'!$B$38,TRUE)-NORMDIST(MIN($D$9,MAX($C$9,$B34)),$E$9,'Inputs'!$B$38,TRUE))/$F$9</f>
        <v/>
      </c>
      <c r="G34" s="32">
        <f>$B$10*(NORMDIST(MIN($D$10,MAX($C$10,$B34+10)),$E$10,'Inputs'!$B$38,TRUE)-NORMDIST(MIN($D$10,MAX($C$10,$B34)),$E$10,'Inputs'!$B$38,TRUE))/$F$10</f>
        <v/>
      </c>
      <c r="H34" s="32">
        <f>$B$11*(NORMDIST(MIN($D$11,MAX($C$11,$B34+10)),$E$11,'Inputs'!$B$38,TRUE)-NORMDIST(MIN($D$11,MAX($C$11,$B34)),$E$11,'Inputs'!$B$38,TRUE))/$F$11</f>
        <v/>
      </c>
      <c r="I34" s="32">
        <f>$B$12*(NORMDIST(MIN($D$12,MAX($C$12,$B34+10)),$E$12,'Inputs'!$B$38,TRUE)-NORMDIST(MIN($D$12,MAX($C$12,$B34)),$E$12,'Inputs'!$B$38,TRUE))/$F$12</f>
        <v/>
      </c>
      <c r="J34" s="32">
        <f>$B$13*(NORMDIST(MIN($D$13,MAX($C$13,$B34+10)),$E$13,'Inputs'!$B$38,TRUE)-NORMDIST(MIN($D$13,MAX($C$13,$B34)),$E$13,'Inputs'!$B$38,TRUE))/$F$13</f>
        <v/>
      </c>
      <c r="K34" s="35">
        <f>SUM(C34:J34)</f>
        <v/>
      </c>
      <c r="L34" s="36">
        <f>K34/SUM($K$19:$K$36)</f>
        <v/>
      </c>
    </row>
    <row r="35">
      <c r="A35" s="5" t="inlineStr">
        <is>
          <t>14:10</t>
        </is>
      </c>
      <c r="B35" s="34" t="n">
        <v>160</v>
      </c>
      <c r="C35" s="32">
        <f>$B$6*(NORMDIST(MIN($D$6,MAX($C$6,$B35+10)),$E$6,'Inputs'!$B$38,TRUE)-NORMDIST(MIN($D$6,MAX($C$6,$B35)),$E$6,'Inputs'!$B$38,TRUE))/$F$6</f>
        <v/>
      </c>
      <c r="D35" s="32">
        <f>$B$7*(NORMDIST(MIN($D$7,MAX($C$7,$B35+10)),$E$7,'Inputs'!$B$38,TRUE)-NORMDIST(MIN($D$7,MAX($C$7,$B35)),$E$7,'Inputs'!$B$38,TRUE))/$F$7</f>
        <v/>
      </c>
      <c r="E35" s="32">
        <f>$B$8*(NORMDIST(MIN($D$8,MAX($C$8,$B35+10)),$E$8,'Inputs'!$B$38,TRUE)-NORMDIST(MIN($D$8,MAX($C$8,$B35)),$E$8,'Inputs'!$B$38,TRUE))/$F$8</f>
        <v/>
      </c>
      <c r="F35" s="32">
        <f>$B$9*(NORMDIST(MIN($D$9,MAX($C$9,$B35+10)),$E$9,'Inputs'!$B$38,TRUE)-NORMDIST(MIN($D$9,MAX($C$9,$B35)),$E$9,'Inputs'!$B$38,TRUE))/$F$9</f>
        <v/>
      </c>
      <c r="G35" s="32">
        <f>$B$10*(NORMDIST(MIN($D$10,MAX($C$10,$B35+10)),$E$10,'Inputs'!$B$38,TRUE)-NORMDIST(MIN($D$10,MAX($C$10,$B35)),$E$10,'Inputs'!$B$38,TRUE))/$F$10</f>
        <v/>
      </c>
      <c r="H35" s="32">
        <f>$B$11*(NORMDIST(MIN($D$11,MAX($C$11,$B35+10)),$E$11,'Inputs'!$B$38,TRUE)-NORMDIST(MIN($D$11,MAX($C$11,$B35)),$E$11,'Inputs'!$B$38,TRUE))/$F$11</f>
        <v/>
      </c>
      <c r="I35" s="32">
        <f>$B$12*(NORMDIST(MIN($D$12,MAX($C$12,$B35+10)),$E$12,'Inputs'!$B$38,TRUE)-NORMDIST(MIN($D$12,MAX($C$12,$B35)),$E$12,'Inputs'!$B$38,TRUE))/$F$12</f>
        <v/>
      </c>
      <c r="J35" s="32">
        <f>$B$13*(NORMDIST(MIN($D$13,MAX($C$13,$B35+10)),$E$13,'Inputs'!$B$38,TRUE)-NORMDIST(MIN($D$13,MAX($C$13,$B35)),$E$13,'Inputs'!$B$38,TRUE))/$F$13</f>
        <v/>
      </c>
      <c r="K35" s="35">
        <f>SUM(C35:J35)</f>
        <v/>
      </c>
      <c r="L35" s="36">
        <f>K35/SUM($K$19:$K$36)</f>
        <v/>
      </c>
    </row>
    <row r="36">
      <c r="A36" s="5" t="inlineStr">
        <is>
          <t>14:20</t>
        </is>
      </c>
      <c r="B36" s="34" t="n">
        <v>170</v>
      </c>
      <c r="C36" s="32">
        <f>$B$6*(NORMDIST(MIN($D$6,MAX($C$6,$B36+10)),$E$6,'Inputs'!$B$38,TRUE)-NORMDIST(MIN($D$6,MAX($C$6,$B36)),$E$6,'Inputs'!$B$38,TRUE))/$F$6</f>
        <v/>
      </c>
      <c r="D36" s="32">
        <f>$B$7*(NORMDIST(MIN($D$7,MAX($C$7,$B36+10)),$E$7,'Inputs'!$B$38,TRUE)-NORMDIST(MIN($D$7,MAX($C$7,$B36)),$E$7,'Inputs'!$B$38,TRUE))/$F$7</f>
        <v/>
      </c>
      <c r="E36" s="32">
        <f>$B$8*(NORMDIST(MIN($D$8,MAX($C$8,$B36+10)),$E$8,'Inputs'!$B$38,TRUE)-NORMDIST(MIN($D$8,MAX($C$8,$B36)),$E$8,'Inputs'!$B$38,TRUE))/$F$8</f>
        <v/>
      </c>
      <c r="F36" s="32">
        <f>$B$9*(NORMDIST(MIN($D$9,MAX($C$9,$B36+10)),$E$9,'Inputs'!$B$38,TRUE)-NORMDIST(MIN($D$9,MAX($C$9,$B36)),$E$9,'Inputs'!$B$38,TRUE))/$F$9</f>
        <v/>
      </c>
      <c r="G36" s="32">
        <f>$B$10*(NORMDIST(MIN($D$10,MAX($C$10,$B36+10)),$E$10,'Inputs'!$B$38,TRUE)-NORMDIST(MIN($D$10,MAX($C$10,$B36)),$E$10,'Inputs'!$B$38,TRUE))/$F$10</f>
        <v/>
      </c>
      <c r="H36" s="32">
        <f>$B$11*(NORMDIST(MIN($D$11,MAX($C$11,$B36+10)),$E$11,'Inputs'!$B$38,TRUE)-NORMDIST(MIN($D$11,MAX($C$11,$B36)),$E$11,'Inputs'!$B$38,TRUE))/$F$11</f>
        <v/>
      </c>
      <c r="I36" s="32">
        <f>$B$12*(NORMDIST(MIN($D$12,MAX($C$12,$B36+10)),$E$12,'Inputs'!$B$38,TRUE)-NORMDIST(MIN($D$12,MAX($C$12,$B36)),$E$12,'Inputs'!$B$38,TRUE))/$F$12</f>
        <v/>
      </c>
      <c r="J36" s="32">
        <f>$B$13*(NORMDIST(MIN($D$13,MAX($C$13,$B36+10)),$E$13,'Inputs'!$B$38,TRUE)-NORMDIST(MIN($D$13,MAX($C$13,$B36)),$E$13,'Inputs'!$B$38,TRUE))/$F$13</f>
        <v/>
      </c>
      <c r="K36" s="35">
        <f>SUM(C36:J36)</f>
        <v/>
      </c>
      <c r="L36" s="36">
        <f>K36/SUM($K$19:$K$36)</f>
        <v/>
      </c>
    </row>
    <row r="37"/>
    <row r="38">
      <c r="A38" s="5" t="inlineStr">
        <is>
          <t>Busiest 10-minute slot</t>
        </is>
      </c>
      <c r="B38" s="37">
        <f>INDEX(A19:A36,MATCH(MAX(K19:K36),K19:K36,0))</f>
        <v/>
      </c>
    </row>
    <row r="39">
      <c r="A39" s="5" t="inlineStr">
        <is>
          <t>Students arriving in it (both messes)</t>
        </is>
      </c>
      <c r="B39" s="35">
        <f>MAX(K19:K36)</f>
        <v/>
      </c>
    </row>
    <row r="40">
      <c r="A40" s="5" t="inlineStr">
        <is>
          <t>Capacity of both messes in 10 min (4 stations)</t>
        </is>
      </c>
      <c r="B40" s="32">
        <f>('Inputs'!$B$81+'Inputs'!$B$82)*10</f>
        <v/>
      </c>
    </row>
    <row r="41" ht="44" customHeight="1">
      <c r="A41" s="3" t="inlineStr">
        <is>
          <t>Two surges: about 12:10 (MIT and SMI) and a larger one about 13:10–13:30, when MIT's lab-day batch, TAPMI, DOC/MICFE, DLHS/MILHS and MLS overlap. In the busiest slot arrivals reach about 94% of what both messes together can serve, and 80% of them head to Central, which alone can serve only 200. Balancing uses Munch's spare capacity; staggering one department's break by 15 minutes is the demand-side fix (Scenarios: stagger tests).</t>
        </is>
      </c>
    </row>
  </sheetData>
  <mergeCells count="2">
    <mergeCell ref="A41:L41"/>
    <mergeCell ref="A15:L15"/>
  </mergeCells>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AQ61"/>
  <sheetViews>
    <sheetView showGridLines="0" workbookViewId="0">
      <pane xSplit="1" ySplit="29" topLeftCell="B30" activePane="bottomRight" state="frozen"/>
      <selection pane="topRight"/>
      <selection pane="bottomLeft"/>
      <selection pane="bottomRight" activeCell="A1" sqref="A1"/>
    </sheetView>
  </sheetViews>
  <sheetFormatPr baseColWidth="8" defaultRowHeight="15"/>
  <cols>
    <col width="12" customWidth="1" min="1" max="1"/>
    <col width="11" customWidth="1" min="2" max="2"/>
    <col width="11"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 width="10" customWidth="1" min="17" max="17"/>
    <col width="10" customWidth="1" min="18" max="18"/>
    <col width="10" customWidth="1" min="19" max="19"/>
    <col width="10" customWidth="1" min="20" max="20"/>
    <col width="10" customWidth="1" min="21" max="21"/>
    <col width="10" customWidth="1" min="22" max="22"/>
    <col width="10" customWidth="1" min="23" max="23"/>
    <col width="10" customWidth="1" min="24" max="24"/>
    <col width="10" customWidth="1" min="25" max="25"/>
    <col width="10" customWidth="1" min="26" max="26"/>
    <col width="10" customWidth="1" min="27" max="27"/>
    <col width="10" customWidth="1" min="28" max="28"/>
    <col width="10" customWidth="1" min="29" max="29"/>
    <col width="10" customWidth="1" min="30" max="30"/>
    <col width="10" customWidth="1" min="31" max="31"/>
    <col width="10" customWidth="1" min="32" max="32"/>
    <col width="10" customWidth="1" min="33" max="33"/>
    <col width="10" customWidth="1" min="34" max="34"/>
    <col width="10" customWidth="1" min="35" max="35"/>
    <col width="10" customWidth="1" min="36" max="36"/>
    <col width="10" customWidth="1" min="37" max="37"/>
    <col width="10" customWidth="1" min="38" max="38"/>
    <col width="10" customWidth="1" min="39" max="39"/>
    <col width="10" customWidth="1" min="40" max="40"/>
    <col width="10" customWidth="1" min="41" max="41"/>
    <col width="10" customWidth="1" min="42" max="42"/>
    <col width="10" customWidth="1" min="43" max="43"/>
  </cols>
  <sheetData>
    <row r="1">
      <c r="A1" s="1" t="inlineStr">
        <is>
          <t>Queuing analysis: M/M/1, M/M/c and lunch-peak overload, without vs with the screens</t>
        </is>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c r="AB1" s="2" t="n"/>
      <c r="AC1" s="2" t="n"/>
      <c r="AD1" s="2" t="n"/>
      <c r="AE1" s="2" t="n"/>
      <c r="AF1" s="2" t="n"/>
      <c r="AG1" s="2" t="n"/>
      <c r="AH1" s="2" t="n"/>
      <c r="AI1" s="2" t="n"/>
      <c r="AJ1" s="2" t="n"/>
      <c r="AK1" s="2" t="n"/>
      <c r="AL1" s="2" t="n"/>
      <c r="AM1" s="2" t="n"/>
      <c r="AN1" s="2" t="n"/>
      <c r="AO1" s="2" t="n"/>
      <c r="AP1" s="2" t="n"/>
      <c r="AQ1" s="2" t="n"/>
    </row>
    <row r="2">
      <c r="A2" s="11" t="inlineStr">
        <is>
          <t>Session 15: Introduction to queuing theory and waiting-line models</t>
        </is>
      </c>
    </row>
    <row r="3"/>
    <row r="4">
      <c r="A4" s="4" t="inlineStr">
        <is>
          <t>1. Check against the lecture example (Hatti Kaapi, M/M/1)</t>
        </is>
      </c>
      <c r="J4" s="4" t="inlineStr">
        <is>
          <t>2. Why waits explode near 100% busy (M/M/1, one serving station)</t>
        </is>
      </c>
    </row>
    <row r="5">
      <c r="A5" s="7" t="inlineStr">
        <is>
          <t>λ /hour</t>
        </is>
      </c>
      <c r="B5" s="7" t="inlineStr">
        <is>
          <t>μ /hour</t>
        </is>
      </c>
      <c r="C5" s="7" t="inlineStr">
        <is>
          <t>ρ</t>
        </is>
      </c>
      <c r="D5" s="7" t="inlineStr">
        <is>
          <t>Wq (hours)</t>
        </is>
      </c>
      <c r="E5" s="7" t="inlineStr">
        <is>
          <t>Wq (min)</t>
        </is>
      </c>
      <c r="F5" s="7" t="inlineStr">
        <is>
          <t>W (min)</t>
        </is>
      </c>
      <c r="G5" s="7" t="inlineStr">
        <is>
          <t>Lq</t>
        </is>
      </c>
      <c r="H5" s="7" t="inlineStr">
        <is>
          <t>L</t>
        </is>
      </c>
      <c r="J5" s="7" t="inlineStr">
        <is>
          <t>μ per hour</t>
        </is>
      </c>
      <c r="K5" s="32">
        <f>'Inputs'!$B$26*60</f>
        <v/>
      </c>
    </row>
    <row r="6">
      <c r="A6" s="16" t="n">
        <v>18</v>
      </c>
      <c r="B6" s="16" t="n">
        <v>24</v>
      </c>
      <c r="C6" s="29">
        <f>A6/B6</f>
        <v/>
      </c>
      <c r="D6" s="38">
        <f>A6/(B6*(B6-A6))</f>
        <v/>
      </c>
      <c r="E6" s="26">
        <f>D6*60</f>
        <v/>
      </c>
      <c r="F6" s="26">
        <f>60/(B6-A6)</f>
        <v/>
      </c>
      <c r="G6" s="27">
        <f>A6*D6</f>
        <v/>
      </c>
      <c r="H6" s="27">
        <f>A6*F6/60</f>
        <v/>
      </c>
      <c r="J6" s="7" t="inlineStr">
        <is>
          <t>ρ</t>
        </is>
      </c>
      <c r="K6" s="7" t="inlineStr">
        <is>
          <t>λ /hour</t>
        </is>
      </c>
      <c r="L6" s="7" t="inlineStr">
        <is>
          <t>Wq (min)</t>
        </is>
      </c>
      <c r="M6" s="7" t="inlineStr">
        <is>
          <t>Lq</t>
        </is>
      </c>
    </row>
    <row r="7">
      <c r="A7" s="3" t="inlineStr">
        <is>
          <t>Lecture answers: ρ = 75%, Wq = 7.5 min, W = 10 min, Lq = 2.25. If these match, the formulas below are right.</t>
        </is>
      </c>
      <c r="J7" s="24" t="n">
        <v>0.5</v>
      </c>
      <c r="K7" s="30">
        <f>J7*$K$5</f>
        <v/>
      </c>
      <c r="L7" s="27">
        <f>K7/($K$5*($K$5-K7))*60</f>
        <v/>
      </c>
      <c r="M7" s="26">
        <f>K7*L7/60</f>
        <v/>
      </c>
    </row>
    <row r="8">
      <c r="J8" s="24" t="n">
        <v>0.6</v>
      </c>
      <c r="K8" s="30">
        <f>J8*$K$5</f>
        <v/>
      </c>
      <c r="L8" s="27">
        <f>K8/($K$5*($K$5-K8))*60</f>
        <v/>
      </c>
      <c r="M8" s="26">
        <f>K8*L8/60</f>
        <v/>
      </c>
    </row>
    <row r="9">
      <c r="J9" s="24" t="n">
        <v>0.7</v>
      </c>
      <c r="K9" s="30">
        <f>J9*$K$5</f>
        <v/>
      </c>
      <c r="L9" s="27">
        <f>K9/($K$5*($K$5-K9))*60</f>
        <v/>
      </c>
      <c r="M9" s="26">
        <f>K9*L9/60</f>
        <v/>
      </c>
    </row>
    <row r="10">
      <c r="J10" s="24" t="n">
        <v>0.75</v>
      </c>
      <c r="K10" s="30">
        <f>J10*$K$5</f>
        <v/>
      </c>
      <c r="L10" s="27">
        <f>K10/($K$5*($K$5-K10))*60</f>
        <v/>
      </c>
      <c r="M10" s="26">
        <f>K10*L10/60</f>
        <v/>
      </c>
    </row>
    <row r="11">
      <c r="J11" s="24" t="n">
        <v>0.8</v>
      </c>
      <c r="K11" s="30">
        <f>J11*$K$5</f>
        <v/>
      </c>
      <c r="L11" s="27">
        <f>K11/($K$5*($K$5-K11))*60</f>
        <v/>
      </c>
      <c r="M11" s="26">
        <f>K11*L11/60</f>
        <v/>
      </c>
    </row>
    <row r="12">
      <c r="J12" s="24" t="n">
        <v>0.85</v>
      </c>
      <c r="K12" s="30">
        <f>J12*$K$5</f>
        <v/>
      </c>
      <c r="L12" s="27">
        <f>K12/($K$5*($K$5-K12))*60</f>
        <v/>
      </c>
      <c r="M12" s="26">
        <f>K12*L12/60</f>
        <v/>
      </c>
    </row>
    <row r="13">
      <c r="J13" s="24" t="n">
        <v>0.9</v>
      </c>
      <c r="K13" s="30">
        <f>J13*$K$5</f>
        <v/>
      </c>
      <c r="L13" s="27">
        <f>K13/($K$5*($K$5-K13))*60</f>
        <v/>
      </c>
      <c r="M13" s="26">
        <f>K13*L13/60</f>
        <v/>
      </c>
    </row>
    <row r="14">
      <c r="J14" s="24" t="n">
        <v>0.93</v>
      </c>
      <c r="K14" s="30">
        <f>J14*$K$5</f>
        <v/>
      </c>
      <c r="L14" s="27">
        <f>K14/($K$5*($K$5-K14))*60</f>
        <v/>
      </c>
      <c r="M14" s="26">
        <f>K14*L14/60</f>
        <v/>
      </c>
    </row>
    <row r="15">
      <c r="J15" s="24" t="n">
        <v>0.95</v>
      </c>
      <c r="K15" s="30">
        <f>J15*$K$5</f>
        <v/>
      </c>
      <c r="L15" s="27">
        <f>K15/($K$5*($K$5-K15))*60</f>
        <v/>
      </c>
      <c r="M15" s="26">
        <f>K15*L15/60</f>
        <v/>
      </c>
    </row>
    <row r="16">
      <c r="J16" s="24" t="n">
        <v>0.96</v>
      </c>
      <c r="K16" s="30">
        <f>J16*$K$5</f>
        <v/>
      </c>
      <c r="L16" s="27">
        <f>K16/($K$5*($K$5-K16))*60</f>
        <v/>
      </c>
      <c r="M16" s="26">
        <f>K16*L16/60</f>
        <v/>
      </c>
    </row>
    <row r="17">
      <c r="J17" s="24" t="n">
        <v>0.97</v>
      </c>
      <c r="K17" s="30">
        <f>J17*$K$5</f>
        <v/>
      </c>
      <c r="L17" s="27">
        <f>K17/($K$5*($K$5-K17))*60</f>
        <v/>
      </c>
      <c r="M17" s="26">
        <f>K17*L17/60</f>
        <v/>
      </c>
    </row>
    <row r="18">
      <c r="J18" s="24" t="n">
        <v>0.98</v>
      </c>
      <c r="K18" s="30">
        <f>J18*$K$5</f>
        <v/>
      </c>
      <c r="L18" s="27">
        <f>K18/($K$5*($K$5-K18))*60</f>
        <v/>
      </c>
      <c r="M18" s="26">
        <f>K18*L18/60</f>
        <v/>
      </c>
    </row>
    <row r="19"/>
    <row r="20"/>
    <row r="21"/>
    <row r="22">
      <c r="A22" s="4" t="inlineStr">
        <is>
          <t>3. Lunch by 10-minute slot: without vs with the door screens (M/M/c, plus a fluid queue for overload)</t>
        </is>
      </c>
    </row>
    <row r="23" ht="58" customHeight="1">
      <c r="A23" s="3" t="inlineStr">
        <is>
          <t>Arrivals = the department lunch breaks added up (Arrival Curve tab; shape ASSUMED until the biometric logs replace column C). Backlog (end of slot) = max(0, backlog at the start + arrivals − capacity × 10): the line carried from slot to slot. Queue wait = (backlog at the start + backlog at the end) ÷ 2 ÷ capacity (the line a student meets half-way through the slot) + the M/M/c wait with ρ capped at 95% for the randomness a smooth average misses (P(wait) and Wq random use the capped rate; the live engine uses the same rule). Throughput = stage 1 + queue wait + serving + food line + eating + disposal. 'With screens' moves the share who comply toward equal utilisation in every slot, with perfect knowledge (see Reconciliation).</t>
        </is>
      </c>
    </row>
    <row r="24"/>
    <row r="25">
      <c r="A25" s="5" t="inlineStr">
        <is>
          <t>Equal-utilisation share for Central</t>
        </is>
      </c>
      <c r="E25" s="39">
        <f>'Inputs'!$B$81/('Inputs'!$B$81+'Inputs'!$B$82)</f>
        <v/>
      </c>
      <c r="F25" s="3" t="inlineStr">
        <is>
          <t>Formula: capacity of Central ÷ (capacity of Central + capacity of Munch)</t>
        </is>
      </c>
    </row>
    <row r="26">
      <c r="A26" s="5" t="inlineStr">
        <is>
          <t>Realised share for Central with screens</t>
        </is>
      </c>
      <c r="E26" s="39">
        <f>'Inputs'!$B$34+'Inputs'!$B$35*(E25-'Inputs'!$B$34)</f>
        <v/>
      </c>
      <c r="F26" s="3" t="inlineStr">
        <is>
          <t>Formula: habit + compliance × (target − habit). Only students who follow the screen move</t>
        </is>
      </c>
    </row>
    <row r="27"/>
    <row r="28">
      <c r="E28" s="7" t="inlineStr">
        <is>
          <t>Without screens — Central CT</t>
        </is>
      </c>
      <c r="N28" s="7" t="inlineStr">
        <is>
          <t>Without screens — Munch</t>
        </is>
      </c>
      <c r="W28" s="7" t="inlineStr">
        <is>
          <t>With screens — Central CT</t>
        </is>
      </c>
      <c r="AF28" s="7" t="inlineStr">
        <is>
          <t>With screens — Munch</t>
        </is>
      </c>
    </row>
    <row r="29" ht="30" customHeight="1">
      <c r="A29" s="7" t="inlineStr">
        <is>
          <t>Slot start</t>
        </is>
      </c>
      <c r="B29" s="7" t="inlineStr">
        <is>
          <t>Curve share</t>
        </is>
      </c>
      <c r="C29" s="7" t="inlineStr">
        <is>
          <t>Arrivals (both messes)</t>
        </is>
      </c>
      <c r="D29" s="7" t="inlineStr">
        <is>
          <t>λ total /min</t>
        </is>
      </c>
      <c r="E29" s="7" t="inlineStr">
        <is>
          <t>λ /min</t>
        </is>
      </c>
      <c r="F29" s="7" t="inlineStr">
        <is>
          <t>Scanner ρ</t>
        </is>
      </c>
      <c r="G29" s="7" t="inlineStr">
        <is>
          <t>ρ</t>
        </is>
      </c>
      <c r="H29" s="7" t="inlineStr">
        <is>
          <t>P(wait)</t>
        </is>
      </c>
      <c r="I29" s="7" t="inlineStr">
        <is>
          <t>Wq random (min)</t>
        </is>
      </c>
      <c r="J29" s="7" t="inlineStr">
        <is>
          <t>Backlog end</t>
        </is>
      </c>
      <c r="K29" s="7" t="inlineStr">
        <is>
          <t>Queue wait (min)</t>
        </is>
      </c>
      <c r="L29" s="7" t="inlineStr">
        <is>
          <t>Throughput (min)</t>
        </is>
      </c>
      <c r="M29" s="7" t="inlineStr">
        <is>
          <t>People inside</t>
        </is>
      </c>
      <c r="N29" s="7" t="inlineStr">
        <is>
          <t>λ /min</t>
        </is>
      </c>
      <c r="O29" s="7" t="inlineStr">
        <is>
          <t>Scanner ρ</t>
        </is>
      </c>
      <c r="P29" s="7" t="inlineStr">
        <is>
          <t>ρ</t>
        </is>
      </c>
      <c r="Q29" s="7" t="inlineStr">
        <is>
          <t>P(wait)</t>
        </is>
      </c>
      <c r="R29" s="7" t="inlineStr">
        <is>
          <t>Wq random (min)</t>
        </is>
      </c>
      <c r="S29" s="7" t="inlineStr">
        <is>
          <t>Backlog end</t>
        </is>
      </c>
      <c r="T29" s="7" t="inlineStr">
        <is>
          <t>Queue wait (min)</t>
        </is>
      </c>
      <c r="U29" s="7" t="inlineStr">
        <is>
          <t>Throughput (min)</t>
        </is>
      </c>
      <c r="V29" s="7" t="inlineStr">
        <is>
          <t>People inside</t>
        </is>
      </c>
      <c r="W29" s="7" t="inlineStr">
        <is>
          <t>λ /min</t>
        </is>
      </c>
      <c r="X29" s="7" t="inlineStr">
        <is>
          <t>Scanner ρ</t>
        </is>
      </c>
      <c r="Y29" s="7" t="inlineStr">
        <is>
          <t>ρ</t>
        </is>
      </c>
      <c r="Z29" s="7" t="inlineStr">
        <is>
          <t>P(wait)</t>
        </is>
      </c>
      <c r="AA29" s="7" t="inlineStr">
        <is>
          <t>Wq random (min)</t>
        </is>
      </c>
      <c r="AB29" s="7" t="inlineStr">
        <is>
          <t>Backlog end</t>
        </is>
      </c>
      <c r="AC29" s="7" t="inlineStr">
        <is>
          <t>Queue wait (min)</t>
        </is>
      </c>
      <c r="AD29" s="7" t="inlineStr">
        <is>
          <t>Throughput (min)</t>
        </is>
      </c>
      <c r="AE29" s="7" t="inlineStr">
        <is>
          <t>People inside</t>
        </is>
      </c>
      <c r="AF29" s="7" t="inlineStr">
        <is>
          <t>λ /min</t>
        </is>
      </c>
      <c r="AG29" s="7" t="inlineStr">
        <is>
          <t>Scanner ρ</t>
        </is>
      </c>
      <c r="AH29" s="7" t="inlineStr">
        <is>
          <t>ρ</t>
        </is>
      </c>
      <c r="AI29" s="7" t="inlineStr">
        <is>
          <t>P(wait)</t>
        </is>
      </c>
      <c r="AJ29" s="7" t="inlineStr">
        <is>
          <t>Wq random (min)</t>
        </is>
      </c>
      <c r="AK29" s="7" t="inlineStr">
        <is>
          <t>Backlog end</t>
        </is>
      </c>
      <c r="AL29" s="7" t="inlineStr">
        <is>
          <t>Queue wait (min)</t>
        </is>
      </c>
      <c r="AM29" s="7" t="inlineStr">
        <is>
          <t>Throughput (min)</t>
        </is>
      </c>
      <c r="AN29" s="7" t="inlineStr">
        <is>
          <t>People inside</t>
        </is>
      </c>
    </row>
    <row r="30">
      <c r="A30" s="5" t="inlineStr">
        <is>
          <t>11:30</t>
        </is>
      </c>
      <c r="B30" s="39">
        <f>'Arrival Curve'!$L$19</f>
        <v/>
      </c>
      <c r="C30" s="32">
        <f>'Arrival Curve'!$K$19</f>
        <v/>
      </c>
      <c r="D30" s="26">
        <f>C30/10</f>
        <v/>
      </c>
      <c r="E30" s="40">
        <f>$D30*'Inputs'!$B$34</f>
        <v/>
      </c>
      <c r="F30" s="41">
        <f>E30/'Inputs'!$B$83</f>
        <v/>
      </c>
      <c r="G30" s="41">
        <f>E30/('Inputs'!$B$11*'Inputs'!$B$26)</f>
        <v/>
      </c>
      <c r="H30" s="42">
        <f>IF(E30&gt;0,((MIN(E30,0.95*'Inputs'!$B$11*'Inputs'!$B$26)/'Inputs'!$B$26)^'Inputs'!$B$11/FACT('Inputs'!$B$11)*'Inputs'!$B$11/('Inputs'!$B$11-(MIN(E30,0.95*'Inputs'!$B$11*'Inputs'!$B$26)/'Inputs'!$B$26)))/(SUMPRODUCT(--({0,1,2,3,4,5,6,7,8,9}&lt;'Inputs'!$B$11),(MIN(E30,0.95*'Inputs'!$B$11*'Inputs'!$B$26)/'Inputs'!$B$26)^{0,1,2,3,4,5,6,7,8,9}/FACT({0,1,2,3,4,5,6,7,8,9}))+((MIN(E30,0.95*'Inputs'!$B$11*'Inputs'!$B$26)/'Inputs'!$B$26)^'Inputs'!$B$11/FACT('Inputs'!$B$11)*'Inputs'!$B$11/('Inputs'!$B$11-(MIN(E30,0.95*'Inputs'!$B$11*'Inputs'!$B$26)/'Inputs'!$B$26)))),0)</f>
        <v/>
      </c>
      <c r="I30" s="42">
        <f>IF(E30&gt;0,H30/('Inputs'!$B$11*'Inputs'!$B$26-MIN(E30,0.95*'Inputs'!$B$11*'Inputs'!$B$26)),0)</f>
        <v/>
      </c>
      <c r="J30" s="32">
        <f>MAX(0,0+(E30-'Inputs'!$B$11*'Inputs'!$B$26)*10)</f>
        <v/>
      </c>
      <c r="K30" s="40">
        <f>(0+J30)/2/('Inputs'!$B$11*'Inputs'!$B$26)+I30</f>
        <v/>
      </c>
      <c r="L30" s="40">
        <f>'Inputs'!$B$85+K30+1/'Inputs'!$B$26+'Inputs'!$B$86+'Inputs'!$B$87+'Inputs'!$B$88</f>
        <v/>
      </c>
      <c r="M30" s="30">
        <f>E30*L30</f>
        <v/>
      </c>
      <c r="N30" s="40">
        <f>$D30*(1-'Inputs'!$B$34)</f>
        <v/>
      </c>
      <c r="O30" s="41">
        <f>N30/'Inputs'!$B$84</f>
        <v/>
      </c>
      <c r="P30" s="41">
        <f>N30/('Inputs'!$B$12*'Inputs'!$B$26)</f>
        <v/>
      </c>
      <c r="Q30" s="42">
        <f>IF(N30&gt;0,((MIN(N30,0.95*'Inputs'!$B$12*'Inputs'!$B$26)/'Inputs'!$B$26)^'Inputs'!$B$12/FACT('Inputs'!$B$12)*'Inputs'!$B$12/('Inputs'!$B$12-(MIN(N30,0.95*'Inputs'!$B$12*'Inputs'!$B$26)/'Inputs'!$B$26)))/(SUMPRODUCT(--({0,1,2,3,4,5,6,7,8,9}&lt;'Inputs'!$B$12),(MIN(N30,0.95*'Inputs'!$B$12*'Inputs'!$B$26)/'Inputs'!$B$26)^{0,1,2,3,4,5,6,7,8,9}/FACT({0,1,2,3,4,5,6,7,8,9}))+((MIN(N30,0.95*'Inputs'!$B$12*'Inputs'!$B$26)/'Inputs'!$B$26)^'Inputs'!$B$12/FACT('Inputs'!$B$12)*'Inputs'!$B$12/('Inputs'!$B$12-(MIN(N30,0.95*'Inputs'!$B$12*'Inputs'!$B$26)/'Inputs'!$B$26)))),0)</f>
        <v/>
      </c>
      <c r="R30" s="42">
        <f>IF(N30&gt;0,Q30/('Inputs'!$B$12*'Inputs'!$B$26-MIN(N30,0.95*'Inputs'!$B$12*'Inputs'!$B$26)),0)</f>
        <v/>
      </c>
      <c r="S30" s="32">
        <f>MAX(0,0+(N30-'Inputs'!$B$12*'Inputs'!$B$26)*10)</f>
        <v/>
      </c>
      <c r="T30" s="40">
        <f>(0+S30)/2/('Inputs'!$B$12*'Inputs'!$B$26)+R30</f>
        <v/>
      </c>
      <c r="U30" s="40">
        <f>'Inputs'!$B$85+T30+1/'Inputs'!$B$26+'Inputs'!$B$86+'Inputs'!$B$87+'Inputs'!$B$88</f>
        <v/>
      </c>
      <c r="V30" s="30">
        <f>N30*U30</f>
        <v/>
      </c>
      <c r="W30" s="40">
        <f>$D30*$E$26</f>
        <v/>
      </c>
      <c r="X30" s="41">
        <f>W30/'Inputs'!$B$83</f>
        <v/>
      </c>
      <c r="Y30" s="41">
        <f>W30/('Inputs'!$B$11*'Inputs'!$B$26)</f>
        <v/>
      </c>
      <c r="Z30" s="42">
        <f>IF(W30&gt;0,((MIN(W30,0.95*'Inputs'!$B$11*'Inputs'!$B$26)/'Inputs'!$B$26)^'Inputs'!$B$11/FACT('Inputs'!$B$11)*'Inputs'!$B$11/('Inputs'!$B$11-(MIN(W30,0.95*'Inputs'!$B$11*'Inputs'!$B$26)/'Inputs'!$B$26)))/(SUMPRODUCT(--({0,1,2,3,4,5,6,7,8,9}&lt;'Inputs'!$B$11),(MIN(W30,0.95*'Inputs'!$B$11*'Inputs'!$B$26)/'Inputs'!$B$26)^{0,1,2,3,4,5,6,7,8,9}/FACT({0,1,2,3,4,5,6,7,8,9}))+((MIN(W30,0.95*'Inputs'!$B$11*'Inputs'!$B$26)/'Inputs'!$B$26)^'Inputs'!$B$11/FACT('Inputs'!$B$11)*'Inputs'!$B$11/('Inputs'!$B$11-(MIN(W30,0.95*'Inputs'!$B$11*'Inputs'!$B$26)/'Inputs'!$B$26)))),0)</f>
        <v/>
      </c>
      <c r="AA30" s="42">
        <f>IF(W30&gt;0,Z30/('Inputs'!$B$11*'Inputs'!$B$26-MIN(W30,0.95*'Inputs'!$B$11*'Inputs'!$B$26)),0)</f>
        <v/>
      </c>
      <c r="AB30" s="32">
        <f>MAX(0,0+(W30-'Inputs'!$B$11*'Inputs'!$B$26)*10)</f>
        <v/>
      </c>
      <c r="AC30" s="40">
        <f>(0+AB30)/2/('Inputs'!$B$11*'Inputs'!$B$26)+AA30</f>
        <v/>
      </c>
      <c r="AD30" s="40">
        <f>'Inputs'!$B$85+AC30+1/'Inputs'!$B$26+'Inputs'!$B$86+'Inputs'!$B$87+'Inputs'!$B$88</f>
        <v/>
      </c>
      <c r="AE30" s="30">
        <f>W30*AD30</f>
        <v/>
      </c>
      <c r="AF30" s="40">
        <f>$D30*(1-$E$26)</f>
        <v/>
      </c>
      <c r="AG30" s="41">
        <f>AF30/'Inputs'!$B$84</f>
        <v/>
      </c>
      <c r="AH30" s="41">
        <f>AF30/('Inputs'!$B$12*'Inputs'!$B$26)</f>
        <v/>
      </c>
      <c r="AI30" s="42">
        <f>IF(AF30&gt;0,((MIN(AF30,0.95*'Inputs'!$B$12*'Inputs'!$B$26)/'Inputs'!$B$26)^'Inputs'!$B$12/FACT('Inputs'!$B$12)*'Inputs'!$B$12/('Inputs'!$B$12-(MIN(AF30,0.95*'Inputs'!$B$12*'Inputs'!$B$26)/'Inputs'!$B$26)))/(SUMPRODUCT(--({0,1,2,3,4,5,6,7,8,9}&lt;'Inputs'!$B$12),(MIN(AF30,0.95*'Inputs'!$B$12*'Inputs'!$B$26)/'Inputs'!$B$26)^{0,1,2,3,4,5,6,7,8,9}/FACT({0,1,2,3,4,5,6,7,8,9}))+((MIN(AF30,0.95*'Inputs'!$B$12*'Inputs'!$B$26)/'Inputs'!$B$26)^'Inputs'!$B$12/FACT('Inputs'!$B$12)*'Inputs'!$B$12/('Inputs'!$B$12-(MIN(AF30,0.95*'Inputs'!$B$12*'Inputs'!$B$26)/'Inputs'!$B$26)))),0)</f>
        <v/>
      </c>
      <c r="AJ30" s="42">
        <f>IF(AF30&gt;0,AI30/('Inputs'!$B$12*'Inputs'!$B$26-MIN(AF30,0.95*'Inputs'!$B$12*'Inputs'!$B$26)),0)</f>
        <v/>
      </c>
      <c r="AK30" s="32">
        <f>MAX(0,0+(AF30-'Inputs'!$B$12*'Inputs'!$B$26)*10)</f>
        <v/>
      </c>
      <c r="AL30" s="40">
        <f>(0+AK30)/2/('Inputs'!$B$12*'Inputs'!$B$26)+AJ30</f>
        <v/>
      </c>
      <c r="AM30" s="40">
        <f>'Inputs'!$B$85+AL30+1/'Inputs'!$B$26+'Inputs'!$B$86+'Inputs'!$B$87+'Inputs'!$B$88</f>
        <v/>
      </c>
      <c r="AN30" s="30">
        <f>AF30*AM30</f>
        <v/>
      </c>
    </row>
    <row r="31">
      <c r="A31" s="5" t="inlineStr">
        <is>
          <t>11:40</t>
        </is>
      </c>
      <c r="B31" s="39">
        <f>'Arrival Curve'!$L$20</f>
        <v/>
      </c>
      <c r="C31" s="32">
        <f>'Arrival Curve'!$K$20</f>
        <v/>
      </c>
      <c r="D31" s="26">
        <f>C31/10</f>
        <v/>
      </c>
      <c r="E31" s="40">
        <f>$D31*'Inputs'!$B$34</f>
        <v/>
      </c>
      <c r="F31" s="41">
        <f>E31/'Inputs'!$B$83</f>
        <v/>
      </c>
      <c r="G31" s="41">
        <f>E31/('Inputs'!$B$11*'Inputs'!$B$26)</f>
        <v/>
      </c>
      <c r="H31" s="42">
        <f>IF(E31&gt;0,((MIN(E31,0.95*'Inputs'!$B$11*'Inputs'!$B$26)/'Inputs'!$B$26)^'Inputs'!$B$11/FACT('Inputs'!$B$11)*'Inputs'!$B$11/('Inputs'!$B$11-(MIN(E31,0.95*'Inputs'!$B$11*'Inputs'!$B$26)/'Inputs'!$B$26)))/(SUMPRODUCT(--({0,1,2,3,4,5,6,7,8,9}&lt;'Inputs'!$B$11),(MIN(E31,0.95*'Inputs'!$B$11*'Inputs'!$B$26)/'Inputs'!$B$26)^{0,1,2,3,4,5,6,7,8,9}/FACT({0,1,2,3,4,5,6,7,8,9}))+((MIN(E31,0.95*'Inputs'!$B$11*'Inputs'!$B$26)/'Inputs'!$B$26)^'Inputs'!$B$11/FACT('Inputs'!$B$11)*'Inputs'!$B$11/('Inputs'!$B$11-(MIN(E31,0.95*'Inputs'!$B$11*'Inputs'!$B$26)/'Inputs'!$B$26)))),0)</f>
        <v/>
      </c>
      <c r="I31" s="42">
        <f>IF(E31&gt;0,H31/('Inputs'!$B$11*'Inputs'!$B$26-MIN(E31,0.95*'Inputs'!$B$11*'Inputs'!$B$26)),0)</f>
        <v/>
      </c>
      <c r="J31" s="32">
        <f>MAX(0,J30+(E31-'Inputs'!$B$11*'Inputs'!$B$26)*10)</f>
        <v/>
      </c>
      <c r="K31" s="40">
        <f>(J30+J31)/2/('Inputs'!$B$11*'Inputs'!$B$26)+I31</f>
        <v/>
      </c>
      <c r="L31" s="40">
        <f>'Inputs'!$B$85+K31+1/'Inputs'!$B$26+'Inputs'!$B$86+'Inputs'!$B$87+'Inputs'!$B$88</f>
        <v/>
      </c>
      <c r="M31" s="30">
        <f>E31*L31</f>
        <v/>
      </c>
      <c r="N31" s="40">
        <f>$D31*(1-'Inputs'!$B$34)</f>
        <v/>
      </c>
      <c r="O31" s="41">
        <f>N31/'Inputs'!$B$84</f>
        <v/>
      </c>
      <c r="P31" s="41">
        <f>N31/('Inputs'!$B$12*'Inputs'!$B$26)</f>
        <v/>
      </c>
      <c r="Q31" s="42">
        <f>IF(N31&gt;0,((MIN(N31,0.95*'Inputs'!$B$12*'Inputs'!$B$26)/'Inputs'!$B$26)^'Inputs'!$B$12/FACT('Inputs'!$B$12)*'Inputs'!$B$12/('Inputs'!$B$12-(MIN(N31,0.95*'Inputs'!$B$12*'Inputs'!$B$26)/'Inputs'!$B$26)))/(SUMPRODUCT(--({0,1,2,3,4,5,6,7,8,9}&lt;'Inputs'!$B$12),(MIN(N31,0.95*'Inputs'!$B$12*'Inputs'!$B$26)/'Inputs'!$B$26)^{0,1,2,3,4,5,6,7,8,9}/FACT({0,1,2,3,4,5,6,7,8,9}))+((MIN(N31,0.95*'Inputs'!$B$12*'Inputs'!$B$26)/'Inputs'!$B$26)^'Inputs'!$B$12/FACT('Inputs'!$B$12)*'Inputs'!$B$12/('Inputs'!$B$12-(MIN(N31,0.95*'Inputs'!$B$12*'Inputs'!$B$26)/'Inputs'!$B$26)))),0)</f>
        <v/>
      </c>
      <c r="R31" s="42">
        <f>IF(N31&gt;0,Q31/('Inputs'!$B$12*'Inputs'!$B$26-MIN(N31,0.95*'Inputs'!$B$12*'Inputs'!$B$26)),0)</f>
        <v/>
      </c>
      <c r="S31" s="32">
        <f>MAX(0,S30+(N31-'Inputs'!$B$12*'Inputs'!$B$26)*10)</f>
        <v/>
      </c>
      <c r="T31" s="40">
        <f>(S30+S31)/2/('Inputs'!$B$12*'Inputs'!$B$26)+R31</f>
        <v/>
      </c>
      <c r="U31" s="40">
        <f>'Inputs'!$B$85+T31+1/'Inputs'!$B$26+'Inputs'!$B$86+'Inputs'!$B$87+'Inputs'!$B$88</f>
        <v/>
      </c>
      <c r="V31" s="30">
        <f>N31*U31</f>
        <v/>
      </c>
      <c r="W31" s="40">
        <f>$D31*$E$26</f>
        <v/>
      </c>
      <c r="X31" s="41">
        <f>W31/'Inputs'!$B$83</f>
        <v/>
      </c>
      <c r="Y31" s="41">
        <f>W31/('Inputs'!$B$11*'Inputs'!$B$26)</f>
        <v/>
      </c>
      <c r="Z31" s="42">
        <f>IF(W31&gt;0,((MIN(W31,0.95*'Inputs'!$B$11*'Inputs'!$B$26)/'Inputs'!$B$26)^'Inputs'!$B$11/FACT('Inputs'!$B$11)*'Inputs'!$B$11/('Inputs'!$B$11-(MIN(W31,0.95*'Inputs'!$B$11*'Inputs'!$B$26)/'Inputs'!$B$26)))/(SUMPRODUCT(--({0,1,2,3,4,5,6,7,8,9}&lt;'Inputs'!$B$11),(MIN(W31,0.95*'Inputs'!$B$11*'Inputs'!$B$26)/'Inputs'!$B$26)^{0,1,2,3,4,5,6,7,8,9}/FACT({0,1,2,3,4,5,6,7,8,9}))+((MIN(W31,0.95*'Inputs'!$B$11*'Inputs'!$B$26)/'Inputs'!$B$26)^'Inputs'!$B$11/FACT('Inputs'!$B$11)*'Inputs'!$B$11/('Inputs'!$B$11-(MIN(W31,0.95*'Inputs'!$B$11*'Inputs'!$B$26)/'Inputs'!$B$26)))),0)</f>
        <v/>
      </c>
      <c r="AA31" s="42">
        <f>IF(W31&gt;0,Z31/('Inputs'!$B$11*'Inputs'!$B$26-MIN(W31,0.95*'Inputs'!$B$11*'Inputs'!$B$26)),0)</f>
        <v/>
      </c>
      <c r="AB31" s="32">
        <f>MAX(0,AB30+(W31-'Inputs'!$B$11*'Inputs'!$B$26)*10)</f>
        <v/>
      </c>
      <c r="AC31" s="40">
        <f>(AB30+AB31)/2/('Inputs'!$B$11*'Inputs'!$B$26)+AA31</f>
        <v/>
      </c>
      <c r="AD31" s="40">
        <f>'Inputs'!$B$85+AC31+1/'Inputs'!$B$26+'Inputs'!$B$86+'Inputs'!$B$87+'Inputs'!$B$88</f>
        <v/>
      </c>
      <c r="AE31" s="30">
        <f>W31*AD31</f>
        <v/>
      </c>
      <c r="AF31" s="40">
        <f>$D31*(1-$E$26)</f>
        <v/>
      </c>
      <c r="AG31" s="41">
        <f>AF31/'Inputs'!$B$84</f>
        <v/>
      </c>
      <c r="AH31" s="41">
        <f>AF31/('Inputs'!$B$12*'Inputs'!$B$26)</f>
        <v/>
      </c>
      <c r="AI31" s="42">
        <f>IF(AF31&gt;0,((MIN(AF31,0.95*'Inputs'!$B$12*'Inputs'!$B$26)/'Inputs'!$B$26)^'Inputs'!$B$12/FACT('Inputs'!$B$12)*'Inputs'!$B$12/('Inputs'!$B$12-(MIN(AF31,0.95*'Inputs'!$B$12*'Inputs'!$B$26)/'Inputs'!$B$26)))/(SUMPRODUCT(--({0,1,2,3,4,5,6,7,8,9}&lt;'Inputs'!$B$12),(MIN(AF31,0.95*'Inputs'!$B$12*'Inputs'!$B$26)/'Inputs'!$B$26)^{0,1,2,3,4,5,6,7,8,9}/FACT({0,1,2,3,4,5,6,7,8,9}))+((MIN(AF31,0.95*'Inputs'!$B$12*'Inputs'!$B$26)/'Inputs'!$B$26)^'Inputs'!$B$12/FACT('Inputs'!$B$12)*'Inputs'!$B$12/('Inputs'!$B$12-(MIN(AF31,0.95*'Inputs'!$B$12*'Inputs'!$B$26)/'Inputs'!$B$26)))),0)</f>
        <v/>
      </c>
      <c r="AJ31" s="42">
        <f>IF(AF31&gt;0,AI31/('Inputs'!$B$12*'Inputs'!$B$26-MIN(AF31,0.95*'Inputs'!$B$12*'Inputs'!$B$26)),0)</f>
        <v/>
      </c>
      <c r="AK31" s="32">
        <f>MAX(0,AK30+(AF31-'Inputs'!$B$12*'Inputs'!$B$26)*10)</f>
        <v/>
      </c>
      <c r="AL31" s="40">
        <f>(AK30+AK31)/2/('Inputs'!$B$12*'Inputs'!$B$26)+AJ31</f>
        <v/>
      </c>
      <c r="AM31" s="40">
        <f>'Inputs'!$B$85+AL31+1/'Inputs'!$B$26+'Inputs'!$B$86+'Inputs'!$B$87+'Inputs'!$B$88</f>
        <v/>
      </c>
      <c r="AN31" s="30">
        <f>AF31*AM31</f>
        <v/>
      </c>
    </row>
    <row r="32">
      <c r="A32" s="5" t="inlineStr">
        <is>
          <t>11:50</t>
        </is>
      </c>
      <c r="B32" s="39">
        <f>'Arrival Curve'!$L$21</f>
        <v/>
      </c>
      <c r="C32" s="32">
        <f>'Arrival Curve'!$K$21</f>
        <v/>
      </c>
      <c r="D32" s="26">
        <f>C32/10</f>
        <v/>
      </c>
      <c r="E32" s="40">
        <f>$D32*'Inputs'!$B$34</f>
        <v/>
      </c>
      <c r="F32" s="41">
        <f>E32/'Inputs'!$B$83</f>
        <v/>
      </c>
      <c r="G32" s="41">
        <f>E32/('Inputs'!$B$11*'Inputs'!$B$26)</f>
        <v/>
      </c>
      <c r="H32" s="42">
        <f>IF(E32&gt;0,((MIN(E32,0.95*'Inputs'!$B$11*'Inputs'!$B$26)/'Inputs'!$B$26)^'Inputs'!$B$11/FACT('Inputs'!$B$11)*'Inputs'!$B$11/('Inputs'!$B$11-(MIN(E32,0.95*'Inputs'!$B$11*'Inputs'!$B$26)/'Inputs'!$B$26)))/(SUMPRODUCT(--({0,1,2,3,4,5,6,7,8,9}&lt;'Inputs'!$B$11),(MIN(E32,0.95*'Inputs'!$B$11*'Inputs'!$B$26)/'Inputs'!$B$26)^{0,1,2,3,4,5,6,7,8,9}/FACT({0,1,2,3,4,5,6,7,8,9}))+((MIN(E32,0.95*'Inputs'!$B$11*'Inputs'!$B$26)/'Inputs'!$B$26)^'Inputs'!$B$11/FACT('Inputs'!$B$11)*'Inputs'!$B$11/('Inputs'!$B$11-(MIN(E32,0.95*'Inputs'!$B$11*'Inputs'!$B$26)/'Inputs'!$B$26)))),0)</f>
        <v/>
      </c>
      <c r="I32" s="42">
        <f>IF(E32&gt;0,H32/('Inputs'!$B$11*'Inputs'!$B$26-MIN(E32,0.95*'Inputs'!$B$11*'Inputs'!$B$26)),0)</f>
        <v/>
      </c>
      <c r="J32" s="32">
        <f>MAX(0,J31+(E32-'Inputs'!$B$11*'Inputs'!$B$26)*10)</f>
        <v/>
      </c>
      <c r="K32" s="40">
        <f>(J31+J32)/2/('Inputs'!$B$11*'Inputs'!$B$26)+I32</f>
        <v/>
      </c>
      <c r="L32" s="40">
        <f>'Inputs'!$B$85+K32+1/'Inputs'!$B$26+'Inputs'!$B$86+'Inputs'!$B$87+'Inputs'!$B$88</f>
        <v/>
      </c>
      <c r="M32" s="30">
        <f>E32*L32</f>
        <v/>
      </c>
      <c r="N32" s="40">
        <f>$D32*(1-'Inputs'!$B$34)</f>
        <v/>
      </c>
      <c r="O32" s="41">
        <f>N32/'Inputs'!$B$84</f>
        <v/>
      </c>
      <c r="P32" s="41">
        <f>N32/('Inputs'!$B$12*'Inputs'!$B$26)</f>
        <v/>
      </c>
      <c r="Q32" s="42">
        <f>IF(N32&gt;0,((MIN(N32,0.95*'Inputs'!$B$12*'Inputs'!$B$26)/'Inputs'!$B$26)^'Inputs'!$B$12/FACT('Inputs'!$B$12)*'Inputs'!$B$12/('Inputs'!$B$12-(MIN(N32,0.95*'Inputs'!$B$12*'Inputs'!$B$26)/'Inputs'!$B$26)))/(SUMPRODUCT(--({0,1,2,3,4,5,6,7,8,9}&lt;'Inputs'!$B$12),(MIN(N32,0.95*'Inputs'!$B$12*'Inputs'!$B$26)/'Inputs'!$B$26)^{0,1,2,3,4,5,6,7,8,9}/FACT({0,1,2,3,4,5,6,7,8,9}))+((MIN(N32,0.95*'Inputs'!$B$12*'Inputs'!$B$26)/'Inputs'!$B$26)^'Inputs'!$B$12/FACT('Inputs'!$B$12)*'Inputs'!$B$12/('Inputs'!$B$12-(MIN(N32,0.95*'Inputs'!$B$12*'Inputs'!$B$26)/'Inputs'!$B$26)))),0)</f>
        <v/>
      </c>
      <c r="R32" s="42">
        <f>IF(N32&gt;0,Q32/('Inputs'!$B$12*'Inputs'!$B$26-MIN(N32,0.95*'Inputs'!$B$12*'Inputs'!$B$26)),0)</f>
        <v/>
      </c>
      <c r="S32" s="32">
        <f>MAX(0,S31+(N32-'Inputs'!$B$12*'Inputs'!$B$26)*10)</f>
        <v/>
      </c>
      <c r="T32" s="40">
        <f>(S31+S32)/2/('Inputs'!$B$12*'Inputs'!$B$26)+R32</f>
        <v/>
      </c>
      <c r="U32" s="40">
        <f>'Inputs'!$B$85+T32+1/'Inputs'!$B$26+'Inputs'!$B$86+'Inputs'!$B$87+'Inputs'!$B$88</f>
        <v/>
      </c>
      <c r="V32" s="30">
        <f>N32*U32</f>
        <v/>
      </c>
      <c r="W32" s="40">
        <f>$D32*$E$26</f>
        <v/>
      </c>
      <c r="X32" s="41">
        <f>W32/'Inputs'!$B$83</f>
        <v/>
      </c>
      <c r="Y32" s="41">
        <f>W32/('Inputs'!$B$11*'Inputs'!$B$26)</f>
        <v/>
      </c>
      <c r="Z32" s="42">
        <f>IF(W32&gt;0,((MIN(W32,0.95*'Inputs'!$B$11*'Inputs'!$B$26)/'Inputs'!$B$26)^'Inputs'!$B$11/FACT('Inputs'!$B$11)*'Inputs'!$B$11/('Inputs'!$B$11-(MIN(W32,0.95*'Inputs'!$B$11*'Inputs'!$B$26)/'Inputs'!$B$26)))/(SUMPRODUCT(--({0,1,2,3,4,5,6,7,8,9}&lt;'Inputs'!$B$11),(MIN(W32,0.95*'Inputs'!$B$11*'Inputs'!$B$26)/'Inputs'!$B$26)^{0,1,2,3,4,5,6,7,8,9}/FACT({0,1,2,3,4,5,6,7,8,9}))+((MIN(W32,0.95*'Inputs'!$B$11*'Inputs'!$B$26)/'Inputs'!$B$26)^'Inputs'!$B$11/FACT('Inputs'!$B$11)*'Inputs'!$B$11/('Inputs'!$B$11-(MIN(W32,0.95*'Inputs'!$B$11*'Inputs'!$B$26)/'Inputs'!$B$26)))),0)</f>
        <v/>
      </c>
      <c r="AA32" s="42">
        <f>IF(W32&gt;0,Z32/('Inputs'!$B$11*'Inputs'!$B$26-MIN(W32,0.95*'Inputs'!$B$11*'Inputs'!$B$26)),0)</f>
        <v/>
      </c>
      <c r="AB32" s="32">
        <f>MAX(0,AB31+(W32-'Inputs'!$B$11*'Inputs'!$B$26)*10)</f>
        <v/>
      </c>
      <c r="AC32" s="40">
        <f>(AB31+AB32)/2/('Inputs'!$B$11*'Inputs'!$B$26)+AA32</f>
        <v/>
      </c>
      <c r="AD32" s="40">
        <f>'Inputs'!$B$85+AC32+1/'Inputs'!$B$26+'Inputs'!$B$86+'Inputs'!$B$87+'Inputs'!$B$88</f>
        <v/>
      </c>
      <c r="AE32" s="30">
        <f>W32*AD32</f>
        <v/>
      </c>
      <c r="AF32" s="40">
        <f>$D32*(1-$E$26)</f>
        <v/>
      </c>
      <c r="AG32" s="41">
        <f>AF32/'Inputs'!$B$84</f>
        <v/>
      </c>
      <c r="AH32" s="41">
        <f>AF32/('Inputs'!$B$12*'Inputs'!$B$26)</f>
        <v/>
      </c>
      <c r="AI32" s="42">
        <f>IF(AF32&gt;0,((MIN(AF32,0.95*'Inputs'!$B$12*'Inputs'!$B$26)/'Inputs'!$B$26)^'Inputs'!$B$12/FACT('Inputs'!$B$12)*'Inputs'!$B$12/('Inputs'!$B$12-(MIN(AF32,0.95*'Inputs'!$B$12*'Inputs'!$B$26)/'Inputs'!$B$26)))/(SUMPRODUCT(--({0,1,2,3,4,5,6,7,8,9}&lt;'Inputs'!$B$12),(MIN(AF32,0.95*'Inputs'!$B$12*'Inputs'!$B$26)/'Inputs'!$B$26)^{0,1,2,3,4,5,6,7,8,9}/FACT({0,1,2,3,4,5,6,7,8,9}))+((MIN(AF32,0.95*'Inputs'!$B$12*'Inputs'!$B$26)/'Inputs'!$B$26)^'Inputs'!$B$12/FACT('Inputs'!$B$12)*'Inputs'!$B$12/('Inputs'!$B$12-(MIN(AF32,0.95*'Inputs'!$B$12*'Inputs'!$B$26)/'Inputs'!$B$26)))),0)</f>
        <v/>
      </c>
      <c r="AJ32" s="42">
        <f>IF(AF32&gt;0,AI32/('Inputs'!$B$12*'Inputs'!$B$26-MIN(AF32,0.95*'Inputs'!$B$12*'Inputs'!$B$26)),0)</f>
        <v/>
      </c>
      <c r="AK32" s="32">
        <f>MAX(0,AK31+(AF32-'Inputs'!$B$12*'Inputs'!$B$26)*10)</f>
        <v/>
      </c>
      <c r="AL32" s="40">
        <f>(AK31+AK32)/2/('Inputs'!$B$12*'Inputs'!$B$26)+AJ32</f>
        <v/>
      </c>
      <c r="AM32" s="40">
        <f>'Inputs'!$B$85+AL32+1/'Inputs'!$B$26+'Inputs'!$B$86+'Inputs'!$B$87+'Inputs'!$B$88</f>
        <v/>
      </c>
      <c r="AN32" s="30">
        <f>AF32*AM32</f>
        <v/>
      </c>
    </row>
    <row r="33">
      <c r="A33" s="5" t="inlineStr">
        <is>
          <t>12:00</t>
        </is>
      </c>
      <c r="B33" s="39">
        <f>'Arrival Curve'!$L$22</f>
        <v/>
      </c>
      <c r="C33" s="32">
        <f>'Arrival Curve'!$K$22</f>
        <v/>
      </c>
      <c r="D33" s="26">
        <f>C33/10</f>
        <v/>
      </c>
      <c r="E33" s="40">
        <f>$D33*'Inputs'!$B$34</f>
        <v/>
      </c>
      <c r="F33" s="41">
        <f>E33/'Inputs'!$B$83</f>
        <v/>
      </c>
      <c r="G33" s="41">
        <f>E33/('Inputs'!$B$11*'Inputs'!$B$26)</f>
        <v/>
      </c>
      <c r="H33" s="42">
        <f>IF(E33&gt;0,((MIN(E33,0.95*'Inputs'!$B$11*'Inputs'!$B$26)/'Inputs'!$B$26)^'Inputs'!$B$11/FACT('Inputs'!$B$11)*'Inputs'!$B$11/('Inputs'!$B$11-(MIN(E33,0.95*'Inputs'!$B$11*'Inputs'!$B$26)/'Inputs'!$B$26)))/(SUMPRODUCT(--({0,1,2,3,4,5,6,7,8,9}&lt;'Inputs'!$B$11),(MIN(E33,0.95*'Inputs'!$B$11*'Inputs'!$B$26)/'Inputs'!$B$26)^{0,1,2,3,4,5,6,7,8,9}/FACT({0,1,2,3,4,5,6,7,8,9}))+((MIN(E33,0.95*'Inputs'!$B$11*'Inputs'!$B$26)/'Inputs'!$B$26)^'Inputs'!$B$11/FACT('Inputs'!$B$11)*'Inputs'!$B$11/('Inputs'!$B$11-(MIN(E33,0.95*'Inputs'!$B$11*'Inputs'!$B$26)/'Inputs'!$B$26)))),0)</f>
        <v/>
      </c>
      <c r="I33" s="42">
        <f>IF(E33&gt;0,H33/('Inputs'!$B$11*'Inputs'!$B$26-MIN(E33,0.95*'Inputs'!$B$11*'Inputs'!$B$26)),0)</f>
        <v/>
      </c>
      <c r="J33" s="32">
        <f>MAX(0,J32+(E33-'Inputs'!$B$11*'Inputs'!$B$26)*10)</f>
        <v/>
      </c>
      <c r="K33" s="40">
        <f>(J32+J33)/2/('Inputs'!$B$11*'Inputs'!$B$26)+I33</f>
        <v/>
      </c>
      <c r="L33" s="40">
        <f>'Inputs'!$B$85+K33+1/'Inputs'!$B$26+'Inputs'!$B$86+'Inputs'!$B$87+'Inputs'!$B$88</f>
        <v/>
      </c>
      <c r="M33" s="30">
        <f>E33*L33</f>
        <v/>
      </c>
      <c r="N33" s="40">
        <f>$D33*(1-'Inputs'!$B$34)</f>
        <v/>
      </c>
      <c r="O33" s="41">
        <f>N33/'Inputs'!$B$84</f>
        <v/>
      </c>
      <c r="P33" s="41">
        <f>N33/('Inputs'!$B$12*'Inputs'!$B$26)</f>
        <v/>
      </c>
      <c r="Q33" s="42">
        <f>IF(N33&gt;0,((MIN(N33,0.95*'Inputs'!$B$12*'Inputs'!$B$26)/'Inputs'!$B$26)^'Inputs'!$B$12/FACT('Inputs'!$B$12)*'Inputs'!$B$12/('Inputs'!$B$12-(MIN(N33,0.95*'Inputs'!$B$12*'Inputs'!$B$26)/'Inputs'!$B$26)))/(SUMPRODUCT(--({0,1,2,3,4,5,6,7,8,9}&lt;'Inputs'!$B$12),(MIN(N33,0.95*'Inputs'!$B$12*'Inputs'!$B$26)/'Inputs'!$B$26)^{0,1,2,3,4,5,6,7,8,9}/FACT({0,1,2,3,4,5,6,7,8,9}))+((MIN(N33,0.95*'Inputs'!$B$12*'Inputs'!$B$26)/'Inputs'!$B$26)^'Inputs'!$B$12/FACT('Inputs'!$B$12)*'Inputs'!$B$12/('Inputs'!$B$12-(MIN(N33,0.95*'Inputs'!$B$12*'Inputs'!$B$26)/'Inputs'!$B$26)))),0)</f>
        <v/>
      </c>
      <c r="R33" s="42">
        <f>IF(N33&gt;0,Q33/('Inputs'!$B$12*'Inputs'!$B$26-MIN(N33,0.95*'Inputs'!$B$12*'Inputs'!$B$26)),0)</f>
        <v/>
      </c>
      <c r="S33" s="32">
        <f>MAX(0,S32+(N33-'Inputs'!$B$12*'Inputs'!$B$26)*10)</f>
        <v/>
      </c>
      <c r="T33" s="40">
        <f>(S32+S33)/2/('Inputs'!$B$12*'Inputs'!$B$26)+R33</f>
        <v/>
      </c>
      <c r="U33" s="40">
        <f>'Inputs'!$B$85+T33+1/'Inputs'!$B$26+'Inputs'!$B$86+'Inputs'!$B$87+'Inputs'!$B$88</f>
        <v/>
      </c>
      <c r="V33" s="30">
        <f>N33*U33</f>
        <v/>
      </c>
      <c r="W33" s="40">
        <f>$D33*$E$26</f>
        <v/>
      </c>
      <c r="X33" s="41">
        <f>W33/'Inputs'!$B$83</f>
        <v/>
      </c>
      <c r="Y33" s="41">
        <f>W33/('Inputs'!$B$11*'Inputs'!$B$26)</f>
        <v/>
      </c>
      <c r="Z33" s="42">
        <f>IF(W33&gt;0,((MIN(W33,0.95*'Inputs'!$B$11*'Inputs'!$B$26)/'Inputs'!$B$26)^'Inputs'!$B$11/FACT('Inputs'!$B$11)*'Inputs'!$B$11/('Inputs'!$B$11-(MIN(W33,0.95*'Inputs'!$B$11*'Inputs'!$B$26)/'Inputs'!$B$26)))/(SUMPRODUCT(--({0,1,2,3,4,5,6,7,8,9}&lt;'Inputs'!$B$11),(MIN(W33,0.95*'Inputs'!$B$11*'Inputs'!$B$26)/'Inputs'!$B$26)^{0,1,2,3,4,5,6,7,8,9}/FACT({0,1,2,3,4,5,6,7,8,9}))+((MIN(W33,0.95*'Inputs'!$B$11*'Inputs'!$B$26)/'Inputs'!$B$26)^'Inputs'!$B$11/FACT('Inputs'!$B$11)*'Inputs'!$B$11/('Inputs'!$B$11-(MIN(W33,0.95*'Inputs'!$B$11*'Inputs'!$B$26)/'Inputs'!$B$26)))),0)</f>
        <v/>
      </c>
      <c r="AA33" s="42">
        <f>IF(W33&gt;0,Z33/('Inputs'!$B$11*'Inputs'!$B$26-MIN(W33,0.95*'Inputs'!$B$11*'Inputs'!$B$26)),0)</f>
        <v/>
      </c>
      <c r="AB33" s="32">
        <f>MAX(0,AB32+(W33-'Inputs'!$B$11*'Inputs'!$B$26)*10)</f>
        <v/>
      </c>
      <c r="AC33" s="40">
        <f>(AB32+AB33)/2/('Inputs'!$B$11*'Inputs'!$B$26)+AA33</f>
        <v/>
      </c>
      <c r="AD33" s="40">
        <f>'Inputs'!$B$85+AC33+1/'Inputs'!$B$26+'Inputs'!$B$86+'Inputs'!$B$87+'Inputs'!$B$88</f>
        <v/>
      </c>
      <c r="AE33" s="30">
        <f>W33*AD33</f>
        <v/>
      </c>
      <c r="AF33" s="40">
        <f>$D33*(1-$E$26)</f>
        <v/>
      </c>
      <c r="AG33" s="41">
        <f>AF33/'Inputs'!$B$84</f>
        <v/>
      </c>
      <c r="AH33" s="41">
        <f>AF33/('Inputs'!$B$12*'Inputs'!$B$26)</f>
        <v/>
      </c>
      <c r="AI33" s="42">
        <f>IF(AF33&gt;0,((MIN(AF33,0.95*'Inputs'!$B$12*'Inputs'!$B$26)/'Inputs'!$B$26)^'Inputs'!$B$12/FACT('Inputs'!$B$12)*'Inputs'!$B$12/('Inputs'!$B$12-(MIN(AF33,0.95*'Inputs'!$B$12*'Inputs'!$B$26)/'Inputs'!$B$26)))/(SUMPRODUCT(--({0,1,2,3,4,5,6,7,8,9}&lt;'Inputs'!$B$12),(MIN(AF33,0.95*'Inputs'!$B$12*'Inputs'!$B$26)/'Inputs'!$B$26)^{0,1,2,3,4,5,6,7,8,9}/FACT({0,1,2,3,4,5,6,7,8,9}))+((MIN(AF33,0.95*'Inputs'!$B$12*'Inputs'!$B$26)/'Inputs'!$B$26)^'Inputs'!$B$12/FACT('Inputs'!$B$12)*'Inputs'!$B$12/('Inputs'!$B$12-(MIN(AF33,0.95*'Inputs'!$B$12*'Inputs'!$B$26)/'Inputs'!$B$26)))),0)</f>
        <v/>
      </c>
      <c r="AJ33" s="42">
        <f>IF(AF33&gt;0,AI33/('Inputs'!$B$12*'Inputs'!$B$26-MIN(AF33,0.95*'Inputs'!$B$12*'Inputs'!$B$26)),0)</f>
        <v/>
      </c>
      <c r="AK33" s="32">
        <f>MAX(0,AK32+(AF33-'Inputs'!$B$12*'Inputs'!$B$26)*10)</f>
        <v/>
      </c>
      <c r="AL33" s="40">
        <f>(AK32+AK33)/2/('Inputs'!$B$12*'Inputs'!$B$26)+AJ33</f>
        <v/>
      </c>
      <c r="AM33" s="40">
        <f>'Inputs'!$B$85+AL33+1/'Inputs'!$B$26+'Inputs'!$B$86+'Inputs'!$B$87+'Inputs'!$B$88</f>
        <v/>
      </c>
      <c r="AN33" s="30">
        <f>AF33*AM33</f>
        <v/>
      </c>
    </row>
    <row r="34">
      <c r="A34" s="5" t="inlineStr">
        <is>
          <t>12:10</t>
        </is>
      </c>
      <c r="B34" s="39">
        <f>'Arrival Curve'!$L$23</f>
        <v/>
      </c>
      <c r="C34" s="32">
        <f>'Arrival Curve'!$K$23</f>
        <v/>
      </c>
      <c r="D34" s="26">
        <f>C34/10</f>
        <v/>
      </c>
      <c r="E34" s="40">
        <f>$D34*'Inputs'!$B$34</f>
        <v/>
      </c>
      <c r="F34" s="41">
        <f>E34/'Inputs'!$B$83</f>
        <v/>
      </c>
      <c r="G34" s="41">
        <f>E34/('Inputs'!$B$11*'Inputs'!$B$26)</f>
        <v/>
      </c>
      <c r="H34" s="42">
        <f>IF(E34&gt;0,((MIN(E34,0.95*'Inputs'!$B$11*'Inputs'!$B$26)/'Inputs'!$B$26)^'Inputs'!$B$11/FACT('Inputs'!$B$11)*'Inputs'!$B$11/('Inputs'!$B$11-(MIN(E34,0.95*'Inputs'!$B$11*'Inputs'!$B$26)/'Inputs'!$B$26)))/(SUMPRODUCT(--({0,1,2,3,4,5,6,7,8,9}&lt;'Inputs'!$B$11),(MIN(E34,0.95*'Inputs'!$B$11*'Inputs'!$B$26)/'Inputs'!$B$26)^{0,1,2,3,4,5,6,7,8,9}/FACT({0,1,2,3,4,5,6,7,8,9}))+((MIN(E34,0.95*'Inputs'!$B$11*'Inputs'!$B$26)/'Inputs'!$B$26)^'Inputs'!$B$11/FACT('Inputs'!$B$11)*'Inputs'!$B$11/('Inputs'!$B$11-(MIN(E34,0.95*'Inputs'!$B$11*'Inputs'!$B$26)/'Inputs'!$B$26)))),0)</f>
        <v/>
      </c>
      <c r="I34" s="42">
        <f>IF(E34&gt;0,H34/('Inputs'!$B$11*'Inputs'!$B$26-MIN(E34,0.95*'Inputs'!$B$11*'Inputs'!$B$26)),0)</f>
        <v/>
      </c>
      <c r="J34" s="32">
        <f>MAX(0,J33+(E34-'Inputs'!$B$11*'Inputs'!$B$26)*10)</f>
        <v/>
      </c>
      <c r="K34" s="40">
        <f>(J33+J34)/2/('Inputs'!$B$11*'Inputs'!$B$26)+I34</f>
        <v/>
      </c>
      <c r="L34" s="40">
        <f>'Inputs'!$B$85+K34+1/'Inputs'!$B$26+'Inputs'!$B$86+'Inputs'!$B$87+'Inputs'!$B$88</f>
        <v/>
      </c>
      <c r="M34" s="30">
        <f>E34*L34</f>
        <v/>
      </c>
      <c r="N34" s="40">
        <f>$D34*(1-'Inputs'!$B$34)</f>
        <v/>
      </c>
      <c r="O34" s="41">
        <f>N34/'Inputs'!$B$84</f>
        <v/>
      </c>
      <c r="P34" s="41">
        <f>N34/('Inputs'!$B$12*'Inputs'!$B$26)</f>
        <v/>
      </c>
      <c r="Q34" s="42">
        <f>IF(N34&gt;0,((MIN(N34,0.95*'Inputs'!$B$12*'Inputs'!$B$26)/'Inputs'!$B$26)^'Inputs'!$B$12/FACT('Inputs'!$B$12)*'Inputs'!$B$12/('Inputs'!$B$12-(MIN(N34,0.95*'Inputs'!$B$12*'Inputs'!$B$26)/'Inputs'!$B$26)))/(SUMPRODUCT(--({0,1,2,3,4,5,6,7,8,9}&lt;'Inputs'!$B$12),(MIN(N34,0.95*'Inputs'!$B$12*'Inputs'!$B$26)/'Inputs'!$B$26)^{0,1,2,3,4,5,6,7,8,9}/FACT({0,1,2,3,4,5,6,7,8,9}))+((MIN(N34,0.95*'Inputs'!$B$12*'Inputs'!$B$26)/'Inputs'!$B$26)^'Inputs'!$B$12/FACT('Inputs'!$B$12)*'Inputs'!$B$12/('Inputs'!$B$12-(MIN(N34,0.95*'Inputs'!$B$12*'Inputs'!$B$26)/'Inputs'!$B$26)))),0)</f>
        <v/>
      </c>
      <c r="R34" s="42">
        <f>IF(N34&gt;0,Q34/('Inputs'!$B$12*'Inputs'!$B$26-MIN(N34,0.95*'Inputs'!$B$12*'Inputs'!$B$26)),0)</f>
        <v/>
      </c>
      <c r="S34" s="32">
        <f>MAX(0,S33+(N34-'Inputs'!$B$12*'Inputs'!$B$26)*10)</f>
        <v/>
      </c>
      <c r="T34" s="40">
        <f>(S33+S34)/2/('Inputs'!$B$12*'Inputs'!$B$26)+R34</f>
        <v/>
      </c>
      <c r="U34" s="40">
        <f>'Inputs'!$B$85+T34+1/'Inputs'!$B$26+'Inputs'!$B$86+'Inputs'!$B$87+'Inputs'!$B$88</f>
        <v/>
      </c>
      <c r="V34" s="30">
        <f>N34*U34</f>
        <v/>
      </c>
      <c r="W34" s="40">
        <f>$D34*$E$26</f>
        <v/>
      </c>
      <c r="X34" s="41">
        <f>W34/'Inputs'!$B$83</f>
        <v/>
      </c>
      <c r="Y34" s="41">
        <f>W34/('Inputs'!$B$11*'Inputs'!$B$26)</f>
        <v/>
      </c>
      <c r="Z34" s="42">
        <f>IF(W34&gt;0,((MIN(W34,0.95*'Inputs'!$B$11*'Inputs'!$B$26)/'Inputs'!$B$26)^'Inputs'!$B$11/FACT('Inputs'!$B$11)*'Inputs'!$B$11/('Inputs'!$B$11-(MIN(W34,0.95*'Inputs'!$B$11*'Inputs'!$B$26)/'Inputs'!$B$26)))/(SUMPRODUCT(--({0,1,2,3,4,5,6,7,8,9}&lt;'Inputs'!$B$11),(MIN(W34,0.95*'Inputs'!$B$11*'Inputs'!$B$26)/'Inputs'!$B$26)^{0,1,2,3,4,5,6,7,8,9}/FACT({0,1,2,3,4,5,6,7,8,9}))+((MIN(W34,0.95*'Inputs'!$B$11*'Inputs'!$B$26)/'Inputs'!$B$26)^'Inputs'!$B$11/FACT('Inputs'!$B$11)*'Inputs'!$B$11/('Inputs'!$B$11-(MIN(W34,0.95*'Inputs'!$B$11*'Inputs'!$B$26)/'Inputs'!$B$26)))),0)</f>
        <v/>
      </c>
      <c r="AA34" s="42">
        <f>IF(W34&gt;0,Z34/('Inputs'!$B$11*'Inputs'!$B$26-MIN(W34,0.95*'Inputs'!$B$11*'Inputs'!$B$26)),0)</f>
        <v/>
      </c>
      <c r="AB34" s="32">
        <f>MAX(0,AB33+(W34-'Inputs'!$B$11*'Inputs'!$B$26)*10)</f>
        <v/>
      </c>
      <c r="AC34" s="40">
        <f>(AB33+AB34)/2/('Inputs'!$B$11*'Inputs'!$B$26)+AA34</f>
        <v/>
      </c>
      <c r="AD34" s="40">
        <f>'Inputs'!$B$85+AC34+1/'Inputs'!$B$26+'Inputs'!$B$86+'Inputs'!$B$87+'Inputs'!$B$88</f>
        <v/>
      </c>
      <c r="AE34" s="30">
        <f>W34*AD34</f>
        <v/>
      </c>
      <c r="AF34" s="40">
        <f>$D34*(1-$E$26)</f>
        <v/>
      </c>
      <c r="AG34" s="41">
        <f>AF34/'Inputs'!$B$84</f>
        <v/>
      </c>
      <c r="AH34" s="41">
        <f>AF34/('Inputs'!$B$12*'Inputs'!$B$26)</f>
        <v/>
      </c>
      <c r="AI34" s="42">
        <f>IF(AF34&gt;0,((MIN(AF34,0.95*'Inputs'!$B$12*'Inputs'!$B$26)/'Inputs'!$B$26)^'Inputs'!$B$12/FACT('Inputs'!$B$12)*'Inputs'!$B$12/('Inputs'!$B$12-(MIN(AF34,0.95*'Inputs'!$B$12*'Inputs'!$B$26)/'Inputs'!$B$26)))/(SUMPRODUCT(--({0,1,2,3,4,5,6,7,8,9}&lt;'Inputs'!$B$12),(MIN(AF34,0.95*'Inputs'!$B$12*'Inputs'!$B$26)/'Inputs'!$B$26)^{0,1,2,3,4,5,6,7,8,9}/FACT({0,1,2,3,4,5,6,7,8,9}))+((MIN(AF34,0.95*'Inputs'!$B$12*'Inputs'!$B$26)/'Inputs'!$B$26)^'Inputs'!$B$12/FACT('Inputs'!$B$12)*'Inputs'!$B$12/('Inputs'!$B$12-(MIN(AF34,0.95*'Inputs'!$B$12*'Inputs'!$B$26)/'Inputs'!$B$26)))),0)</f>
        <v/>
      </c>
      <c r="AJ34" s="42">
        <f>IF(AF34&gt;0,AI34/('Inputs'!$B$12*'Inputs'!$B$26-MIN(AF34,0.95*'Inputs'!$B$12*'Inputs'!$B$26)),0)</f>
        <v/>
      </c>
      <c r="AK34" s="32">
        <f>MAX(0,AK33+(AF34-'Inputs'!$B$12*'Inputs'!$B$26)*10)</f>
        <v/>
      </c>
      <c r="AL34" s="40">
        <f>(AK33+AK34)/2/('Inputs'!$B$12*'Inputs'!$B$26)+AJ34</f>
        <v/>
      </c>
      <c r="AM34" s="40">
        <f>'Inputs'!$B$85+AL34+1/'Inputs'!$B$26+'Inputs'!$B$86+'Inputs'!$B$87+'Inputs'!$B$88</f>
        <v/>
      </c>
      <c r="AN34" s="30">
        <f>AF34*AM34</f>
        <v/>
      </c>
    </row>
    <row r="35">
      <c r="A35" s="5" t="inlineStr">
        <is>
          <t>12:20</t>
        </is>
      </c>
      <c r="B35" s="39">
        <f>'Arrival Curve'!$L$24</f>
        <v/>
      </c>
      <c r="C35" s="32">
        <f>'Arrival Curve'!$K$24</f>
        <v/>
      </c>
      <c r="D35" s="26">
        <f>C35/10</f>
        <v/>
      </c>
      <c r="E35" s="40">
        <f>$D35*'Inputs'!$B$34</f>
        <v/>
      </c>
      <c r="F35" s="41">
        <f>E35/'Inputs'!$B$83</f>
        <v/>
      </c>
      <c r="G35" s="41">
        <f>E35/('Inputs'!$B$11*'Inputs'!$B$26)</f>
        <v/>
      </c>
      <c r="H35" s="42">
        <f>IF(E35&gt;0,((MIN(E35,0.95*'Inputs'!$B$11*'Inputs'!$B$26)/'Inputs'!$B$26)^'Inputs'!$B$11/FACT('Inputs'!$B$11)*'Inputs'!$B$11/('Inputs'!$B$11-(MIN(E35,0.95*'Inputs'!$B$11*'Inputs'!$B$26)/'Inputs'!$B$26)))/(SUMPRODUCT(--({0,1,2,3,4,5,6,7,8,9}&lt;'Inputs'!$B$11),(MIN(E35,0.95*'Inputs'!$B$11*'Inputs'!$B$26)/'Inputs'!$B$26)^{0,1,2,3,4,5,6,7,8,9}/FACT({0,1,2,3,4,5,6,7,8,9}))+((MIN(E35,0.95*'Inputs'!$B$11*'Inputs'!$B$26)/'Inputs'!$B$26)^'Inputs'!$B$11/FACT('Inputs'!$B$11)*'Inputs'!$B$11/('Inputs'!$B$11-(MIN(E35,0.95*'Inputs'!$B$11*'Inputs'!$B$26)/'Inputs'!$B$26)))),0)</f>
        <v/>
      </c>
      <c r="I35" s="42">
        <f>IF(E35&gt;0,H35/('Inputs'!$B$11*'Inputs'!$B$26-MIN(E35,0.95*'Inputs'!$B$11*'Inputs'!$B$26)),0)</f>
        <v/>
      </c>
      <c r="J35" s="32">
        <f>MAX(0,J34+(E35-'Inputs'!$B$11*'Inputs'!$B$26)*10)</f>
        <v/>
      </c>
      <c r="K35" s="40">
        <f>(J34+J35)/2/('Inputs'!$B$11*'Inputs'!$B$26)+I35</f>
        <v/>
      </c>
      <c r="L35" s="40">
        <f>'Inputs'!$B$85+K35+1/'Inputs'!$B$26+'Inputs'!$B$86+'Inputs'!$B$87+'Inputs'!$B$88</f>
        <v/>
      </c>
      <c r="M35" s="30">
        <f>E35*L35</f>
        <v/>
      </c>
      <c r="N35" s="40">
        <f>$D35*(1-'Inputs'!$B$34)</f>
        <v/>
      </c>
      <c r="O35" s="41">
        <f>N35/'Inputs'!$B$84</f>
        <v/>
      </c>
      <c r="P35" s="41">
        <f>N35/('Inputs'!$B$12*'Inputs'!$B$26)</f>
        <v/>
      </c>
      <c r="Q35" s="42">
        <f>IF(N35&gt;0,((MIN(N35,0.95*'Inputs'!$B$12*'Inputs'!$B$26)/'Inputs'!$B$26)^'Inputs'!$B$12/FACT('Inputs'!$B$12)*'Inputs'!$B$12/('Inputs'!$B$12-(MIN(N35,0.95*'Inputs'!$B$12*'Inputs'!$B$26)/'Inputs'!$B$26)))/(SUMPRODUCT(--({0,1,2,3,4,5,6,7,8,9}&lt;'Inputs'!$B$12),(MIN(N35,0.95*'Inputs'!$B$12*'Inputs'!$B$26)/'Inputs'!$B$26)^{0,1,2,3,4,5,6,7,8,9}/FACT({0,1,2,3,4,5,6,7,8,9}))+((MIN(N35,0.95*'Inputs'!$B$12*'Inputs'!$B$26)/'Inputs'!$B$26)^'Inputs'!$B$12/FACT('Inputs'!$B$12)*'Inputs'!$B$12/('Inputs'!$B$12-(MIN(N35,0.95*'Inputs'!$B$12*'Inputs'!$B$26)/'Inputs'!$B$26)))),0)</f>
        <v/>
      </c>
      <c r="R35" s="42">
        <f>IF(N35&gt;0,Q35/('Inputs'!$B$12*'Inputs'!$B$26-MIN(N35,0.95*'Inputs'!$B$12*'Inputs'!$B$26)),0)</f>
        <v/>
      </c>
      <c r="S35" s="32">
        <f>MAX(0,S34+(N35-'Inputs'!$B$12*'Inputs'!$B$26)*10)</f>
        <v/>
      </c>
      <c r="T35" s="40">
        <f>(S34+S35)/2/('Inputs'!$B$12*'Inputs'!$B$26)+R35</f>
        <v/>
      </c>
      <c r="U35" s="40">
        <f>'Inputs'!$B$85+T35+1/'Inputs'!$B$26+'Inputs'!$B$86+'Inputs'!$B$87+'Inputs'!$B$88</f>
        <v/>
      </c>
      <c r="V35" s="30">
        <f>N35*U35</f>
        <v/>
      </c>
      <c r="W35" s="40">
        <f>$D35*$E$26</f>
        <v/>
      </c>
      <c r="X35" s="41">
        <f>W35/'Inputs'!$B$83</f>
        <v/>
      </c>
      <c r="Y35" s="41">
        <f>W35/('Inputs'!$B$11*'Inputs'!$B$26)</f>
        <v/>
      </c>
      <c r="Z35" s="42">
        <f>IF(W35&gt;0,((MIN(W35,0.95*'Inputs'!$B$11*'Inputs'!$B$26)/'Inputs'!$B$26)^'Inputs'!$B$11/FACT('Inputs'!$B$11)*'Inputs'!$B$11/('Inputs'!$B$11-(MIN(W35,0.95*'Inputs'!$B$11*'Inputs'!$B$26)/'Inputs'!$B$26)))/(SUMPRODUCT(--({0,1,2,3,4,5,6,7,8,9}&lt;'Inputs'!$B$11),(MIN(W35,0.95*'Inputs'!$B$11*'Inputs'!$B$26)/'Inputs'!$B$26)^{0,1,2,3,4,5,6,7,8,9}/FACT({0,1,2,3,4,5,6,7,8,9}))+((MIN(W35,0.95*'Inputs'!$B$11*'Inputs'!$B$26)/'Inputs'!$B$26)^'Inputs'!$B$11/FACT('Inputs'!$B$11)*'Inputs'!$B$11/('Inputs'!$B$11-(MIN(W35,0.95*'Inputs'!$B$11*'Inputs'!$B$26)/'Inputs'!$B$26)))),0)</f>
        <v/>
      </c>
      <c r="AA35" s="42">
        <f>IF(W35&gt;0,Z35/('Inputs'!$B$11*'Inputs'!$B$26-MIN(W35,0.95*'Inputs'!$B$11*'Inputs'!$B$26)),0)</f>
        <v/>
      </c>
      <c r="AB35" s="32">
        <f>MAX(0,AB34+(W35-'Inputs'!$B$11*'Inputs'!$B$26)*10)</f>
        <v/>
      </c>
      <c r="AC35" s="40">
        <f>(AB34+AB35)/2/('Inputs'!$B$11*'Inputs'!$B$26)+AA35</f>
        <v/>
      </c>
      <c r="AD35" s="40">
        <f>'Inputs'!$B$85+AC35+1/'Inputs'!$B$26+'Inputs'!$B$86+'Inputs'!$B$87+'Inputs'!$B$88</f>
        <v/>
      </c>
      <c r="AE35" s="30">
        <f>W35*AD35</f>
        <v/>
      </c>
      <c r="AF35" s="40">
        <f>$D35*(1-$E$26)</f>
        <v/>
      </c>
      <c r="AG35" s="41">
        <f>AF35/'Inputs'!$B$84</f>
        <v/>
      </c>
      <c r="AH35" s="41">
        <f>AF35/('Inputs'!$B$12*'Inputs'!$B$26)</f>
        <v/>
      </c>
      <c r="AI35" s="42">
        <f>IF(AF35&gt;0,((MIN(AF35,0.95*'Inputs'!$B$12*'Inputs'!$B$26)/'Inputs'!$B$26)^'Inputs'!$B$12/FACT('Inputs'!$B$12)*'Inputs'!$B$12/('Inputs'!$B$12-(MIN(AF35,0.95*'Inputs'!$B$12*'Inputs'!$B$26)/'Inputs'!$B$26)))/(SUMPRODUCT(--({0,1,2,3,4,5,6,7,8,9}&lt;'Inputs'!$B$12),(MIN(AF35,0.95*'Inputs'!$B$12*'Inputs'!$B$26)/'Inputs'!$B$26)^{0,1,2,3,4,5,6,7,8,9}/FACT({0,1,2,3,4,5,6,7,8,9}))+((MIN(AF35,0.95*'Inputs'!$B$12*'Inputs'!$B$26)/'Inputs'!$B$26)^'Inputs'!$B$12/FACT('Inputs'!$B$12)*'Inputs'!$B$12/('Inputs'!$B$12-(MIN(AF35,0.95*'Inputs'!$B$12*'Inputs'!$B$26)/'Inputs'!$B$26)))),0)</f>
        <v/>
      </c>
      <c r="AJ35" s="42">
        <f>IF(AF35&gt;0,AI35/('Inputs'!$B$12*'Inputs'!$B$26-MIN(AF35,0.95*'Inputs'!$B$12*'Inputs'!$B$26)),0)</f>
        <v/>
      </c>
      <c r="AK35" s="32">
        <f>MAX(0,AK34+(AF35-'Inputs'!$B$12*'Inputs'!$B$26)*10)</f>
        <v/>
      </c>
      <c r="AL35" s="40">
        <f>(AK34+AK35)/2/('Inputs'!$B$12*'Inputs'!$B$26)+AJ35</f>
        <v/>
      </c>
      <c r="AM35" s="40">
        <f>'Inputs'!$B$85+AL35+1/'Inputs'!$B$26+'Inputs'!$B$86+'Inputs'!$B$87+'Inputs'!$B$88</f>
        <v/>
      </c>
      <c r="AN35" s="30">
        <f>AF35*AM35</f>
        <v/>
      </c>
    </row>
    <row r="36">
      <c r="A36" s="5" t="inlineStr">
        <is>
          <t>12:30</t>
        </is>
      </c>
      <c r="B36" s="39">
        <f>'Arrival Curve'!$L$25</f>
        <v/>
      </c>
      <c r="C36" s="32">
        <f>'Arrival Curve'!$K$25</f>
        <v/>
      </c>
      <c r="D36" s="26">
        <f>C36/10</f>
        <v/>
      </c>
      <c r="E36" s="40">
        <f>$D36*'Inputs'!$B$34</f>
        <v/>
      </c>
      <c r="F36" s="41">
        <f>E36/'Inputs'!$B$83</f>
        <v/>
      </c>
      <c r="G36" s="41">
        <f>E36/('Inputs'!$B$11*'Inputs'!$B$26)</f>
        <v/>
      </c>
      <c r="H36" s="42">
        <f>IF(E36&gt;0,((MIN(E36,0.95*'Inputs'!$B$11*'Inputs'!$B$26)/'Inputs'!$B$26)^'Inputs'!$B$11/FACT('Inputs'!$B$11)*'Inputs'!$B$11/('Inputs'!$B$11-(MIN(E36,0.95*'Inputs'!$B$11*'Inputs'!$B$26)/'Inputs'!$B$26)))/(SUMPRODUCT(--({0,1,2,3,4,5,6,7,8,9}&lt;'Inputs'!$B$11),(MIN(E36,0.95*'Inputs'!$B$11*'Inputs'!$B$26)/'Inputs'!$B$26)^{0,1,2,3,4,5,6,7,8,9}/FACT({0,1,2,3,4,5,6,7,8,9}))+((MIN(E36,0.95*'Inputs'!$B$11*'Inputs'!$B$26)/'Inputs'!$B$26)^'Inputs'!$B$11/FACT('Inputs'!$B$11)*'Inputs'!$B$11/('Inputs'!$B$11-(MIN(E36,0.95*'Inputs'!$B$11*'Inputs'!$B$26)/'Inputs'!$B$26)))),0)</f>
        <v/>
      </c>
      <c r="I36" s="42">
        <f>IF(E36&gt;0,H36/('Inputs'!$B$11*'Inputs'!$B$26-MIN(E36,0.95*'Inputs'!$B$11*'Inputs'!$B$26)),0)</f>
        <v/>
      </c>
      <c r="J36" s="32">
        <f>MAX(0,J35+(E36-'Inputs'!$B$11*'Inputs'!$B$26)*10)</f>
        <v/>
      </c>
      <c r="K36" s="40">
        <f>(J35+J36)/2/('Inputs'!$B$11*'Inputs'!$B$26)+I36</f>
        <v/>
      </c>
      <c r="L36" s="40">
        <f>'Inputs'!$B$85+K36+1/'Inputs'!$B$26+'Inputs'!$B$86+'Inputs'!$B$87+'Inputs'!$B$88</f>
        <v/>
      </c>
      <c r="M36" s="30">
        <f>E36*L36</f>
        <v/>
      </c>
      <c r="N36" s="40">
        <f>$D36*(1-'Inputs'!$B$34)</f>
        <v/>
      </c>
      <c r="O36" s="41">
        <f>N36/'Inputs'!$B$84</f>
        <v/>
      </c>
      <c r="P36" s="41">
        <f>N36/('Inputs'!$B$12*'Inputs'!$B$26)</f>
        <v/>
      </c>
      <c r="Q36" s="42">
        <f>IF(N36&gt;0,((MIN(N36,0.95*'Inputs'!$B$12*'Inputs'!$B$26)/'Inputs'!$B$26)^'Inputs'!$B$12/FACT('Inputs'!$B$12)*'Inputs'!$B$12/('Inputs'!$B$12-(MIN(N36,0.95*'Inputs'!$B$12*'Inputs'!$B$26)/'Inputs'!$B$26)))/(SUMPRODUCT(--({0,1,2,3,4,5,6,7,8,9}&lt;'Inputs'!$B$12),(MIN(N36,0.95*'Inputs'!$B$12*'Inputs'!$B$26)/'Inputs'!$B$26)^{0,1,2,3,4,5,6,7,8,9}/FACT({0,1,2,3,4,5,6,7,8,9}))+((MIN(N36,0.95*'Inputs'!$B$12*'Inputs'!$B$26)/'Inputs'!$B$26)^'Inputs'!$B$12/FACT('Inputs'!$B$12)*'Inputs'!$B$12/('Inputs'!$B$12-(MIN(N36,0.95*'Inputs'!$B$12*'Inputs'!$B$26)/'Inputs'!$B$26)))),0)</f>
        <v/>
      </c>
      <c r="R36" s="42">
        <f>IF(N36&gt;0,Q36/('Inputs'!$B$12*'Inputs'!$B$26-MIN(N36,0.95*'Inputs'!$B$12*'Inputs'!$B$26)),0)</f>
        <v/>
      </c>
      <c r="S36" s="32">
        <f>MAX(0,S35+(N36-'Inputs'!$B$12*'Inputs'!$B$26)*10)</f>
        <v/>
      </c>
      <c r="T36" s="40">
        <f>(S35+S36)/2/('Inputs'!$B$12*'Inputs'!$B$26)+R36</f>
        <v/>
      </c>
      <c r="U36" s="40">
        <f>'Inputs'!$B$85+T36+1/'Inputs'!$B$26+'Inputs'!$B$86+'Inputs'!$B$87+'Inputs'!$B$88</f>
        <v/>
      </c>
      <c r="V36" s="30">
        <f>N36*U36</f>
        <v/>
      </c>
      <c r="W36" s="40">
        <f>$D36*$E$26</f>
        <v/>
      </c>
      <c r="X36" s="41">
        <f>W36/'Inputs'!$B$83</f>
        <v/>
      </c>
      <c r="Y36" s="41">
        <f>W36/('Inputs'!$B$11*'Inputs'!$B$26)</f>
        <v/>
      </c>
      <c r="Z36" s="42">
        <f>IF(W36&gt;0,((MIN(W36,0.95*'Inputs'!$B$11*'Inputs'!$B$26)/'Inputs'!$B$26)^'Inputs'!$B$11/FACT('Inputs'!$B$11)*'Inputs'!$B$11/('Inputs'!$B$11-(MIN(W36,0.95*'Inputs'!$B$11*'Inputs'!$B$26)/'Inputs'!$B$26)))/(SUMPRODUCT(--({0,1,2,3,4,5,6,7,8,9}&lt;'Inputs'!$B$11),(MIN(W36,0.95*'Inputs'!$B$11*'Inputs'!$B$26)/'Inputs'!$B$26)^{0,1,2,3,4,5,6,7,8,9}/FACT({0,1,2,3,4,5,6,7,8,9}))+((MIN(W36,0.95*'Inputs'!$B$11*'Inputs'!$B$26)/'Inputs'!$B$26)^'Inputs'!$B$11/FACT('Inputs'!$B$11)*'Inputs'!$B$11/('Inputs'!$B$11-(MIN(W36,0.95*'Inputs'!$B$11*'Inputs'!$B$26)/'Inputs'!$B$26)))),0)</f>
        <v/>
      </c>
      <c r="AA36" s="42">
        <f>IF(W36&gt;0,Z36/('Inputs'!$B$11*'Inputs'!$B$26-MIN(W36,0.95*'Inputs'!$B$11*'Inputs'!$B$26)),0)</f>
        <v/>
      </c>
      <c r="AB36" s="32">
        <f>MAX(0,AB35+(W36-'Inputs'!$B$11*'Inputs'!$B$26)*10)</f>
        <v/>
      </c>
      <c r="AC36" s="40">
        <f>(AB35+AB36)/2/('Inputs'!$B$11*'Inputs'!$B$26)+AA36</f>
        <v/>
      </c>
      <c r="AD36" s="40">
        <f>'Inputs'!$B$85+AC36+1/'Inputs'!$B$26+'Inputs'!$B$86+'Inputs'!$B$87+'Inputs'!$B$88</f>
        <v/>
      </c>
      <c r="AE36" s="30">
        <f>W36*AD36</f>
        <v/>
      </c>
      <c r="AF36" s="40">
        <f>$D36*(1-$E$26)</f>
        <v/>
      </c>
      <c r="AG36" s="41">
        <f>AF36/'Inputs'!$B$84</f>
        <v/>
      </c>
      <c r="AH36" s="41">
        <f>AF36/('Inputs'!$B$12*'Inputs'!$B$26)</f>
        <v/>
      </c>
      <c r="AI36" s="42">
        <f>IF(AF36&gt;0,((MIN(AF36,0.95*'Inputs'!$B$12*'Inputs'!$B$26)/'Inputs'!$B$26)^'Inputs'!$B$12/FACT('Inputs'!$B$12)*'Inputs'!$B$12/('Inputs'!$B$12-(MIN(AF36,0.95*'Inputs'!$B$12*'Inputs'!$B$26)/'Inputs'!$B$26)))/(SUMPRODUCT(--({0,1,2,3,4,5,6,7,8,9}&lt;'Inputs'!$B$12),(MIN(AF36,0.95*'Inputs'!$B$12*'Inputs'!$B$26)/'Inputs'!$B$26)^{0,1,2,3,4,5,6,7,8,9}/FACT({0,1,2,3,4,5,6,7,8,9}))+((MIN(AF36,0.95*'Inputs'!$B$12*'Inputs'!$B$26)/'Inputs'!$B$26)^'Inputs'!$B$12/FACT('Inputs'!$B$12)*'Inputs'!$B$12/('Inputs'!$B$12-(MIN(AF36,0.95*'Inputs'!$B$12*'Inputs'!$B$26)/'Inputs'!$B$26)))),0)</f>
        <v/>
      </c>
      <c r="AJ36" s="42">
        <f>IF(AF36&gt;0,AI36/('Inputs'!$B$12*'Inputs'!$B$26-MIN(AF36,0.95*'Inputs'!$B$12*'Inputs'!$B$26)),0)</f>
        <v/>
      </c>
      <c r="AK36" s="32">
        <f>MAX(0,AK35+(AF36-'Inputs'!$B$12*'Inputs'!$B$26)*10)</f>
        <v/>
      </c>
      <c r="AL36" s="40">
        <f>(AK35+AK36)/2/('Inputs'!$B$12*'Inputs'!$B$26)+AJ36</f>
        <v/>
      </c>
      <c r="AM36" s="40">
        <f>'Inputs'!$B$85+AL36+1/'Inputs'!$B$26+'Inputs'!$B$86+'Inputs'!$B$87+'Inputs'!$B$88</f>
        <v/>
      </c>
      <c r="AN36" s="30">
        <f>AF36*AM36</f>
        <v/>
      </c>
    </row>
    <row r="37">
      <c r="A37" s="5" t="inlineStr">
        <is>
          <t>12:40</t>
        </is>
      </c>
      <c r="B37" s="39">
        <f>'Arrival Curve'!$L$26</f>
        <v/>
      </c>
      <c r="C37" s="32">
        <f>'Arrival Curve'!$K$26</f>
        <v/>
      </c>
      <c r="D37" s="26">
        <f>C37/10</f>
        <v/>
      </c>
      <c r="E37" s="40">
        <f>$D37*'Inputs'!$B$34</f>
        <v/>
      </c>
      <c r="F37" s="41">
        <f>E37/'Inputs'!$B$83</f>
        <v/>
      </c>
      <c r="G37" s="41">
        <f>E37/('Inputs'!$B$11*'Inputs'!$B$26)</f>
        <v/>
      </c>
      <c r="H37" s="42">
        <f>IF(E37&gt;0,((MIN(E37,0.95*'Inputs'!$B$11*'Inputs'!$B$26)/'Inputs'!$B$26)^'Inputs'!$B$11/FACT('Inputs'!$B$11)*'Inputs'!$B$11/('Inputs'!$B$11-(MIN(E37,0.95*'Inputs'!$B$11*'Inputs'!$B$26)/'Inputs'!$B$26)))/(SUMPRODUCT(--({0,1,2,3,4,5,6,7,8,9}&lt;'Inputs'!$B$11),(MIN(E37,0.95*'Inputs'!$B$11*'Inputs'!$B$26)/'Inputs'!$B$26)^{0,1,2,3,4,5,6,7,8,9}/FACT({0,1,2,3,4,5,6,7,8,9}))+((MIN(E37,0.95*'Inputs'!$B$11*'Inputs'!$B$26)/'Inputs'!$B$26)^'Inputs'!$B$11/FACT('Inputs'!$B$11)*'Inputs'!$B$11/('Inputs'!$B$11-(MIN(E37,0.95*'Inputs'!$B$11*'Inputs'!$B$26)/'Inputs'!$B$26)))),0)</f>
        <v/>
      </c>
      <c r="I37" s="42">
        <f>IF(E37&gt;0,H37/('Inputs'!$B$11*'Inputs'!$B$26-MIN(E37,0.95*'Inputs'!$B$11*'Inputs'!$B$26)),0)</f>
        <v/>
      </c>
      <c r="J37" s="32">
        <f>MAX(0,J36+(E37-'Inputs'!$B$11*'Inputs'!$B$26)*10)</f>
        <v/>
      </c>
      <c r="K37" s="40">
        <f>(J36+J37)/2/('Inputs'!$B$11*'Inputs'!$B$26)+I37</f>
        <v/>
      </c>
      <c r="L37" s="40">
        <f>'Inputs'!$B$85+K37+1/'Inputs'!$B$26+'Inputs'!$B$86+'Inputs'!$B$87+'Inputs'!$B$88</f>
        <v/>
      </c>
      <c r="M37" s="30">
        <f>E37*L37</f>
        <v/>
      </c>
      <c r="N37" s="40">
        <f>$D37*(1-'Inputs'!$B$34)</f>
        <v/>
      </c>
      <c r="O37" s="41">
        <f>N37/'Inputs'!$B$84</f>
        <v/>
      </c>
      <c r="P37" s="41">
        <f>N37/('Inputs'!$B$12*'Inputs'!$B$26)</f>
        <v/>
      </c>
      <c r="Q37" s="42">
        <f>IF(N37&gt;0,((MIN(N37,0.95*'Inputs'!$B$12*'Inputs'!$B$26)/'Inputs'!$B$26)^'Inputs'!$B$12/FACT('Inputs'!$B$12)*'Inputs'!$B$12/('Inputs'!$B$12-(MIN(N37,0.95*'Inputs'!$B$12*'Inputs'!$B$26)/'Inputs'!$B$26)))/(SUMPRODUCT(--({0,1,2,3,4,5,6,7,8,9}&lt;'Inputs'!$B$12),(MIN(N37,0.95*'Inputs'!$B$12*'Inputs'!$B$26)/'Inputs'!$B$26)^{0,1,2,3,4,5,6,7,8,9}/FACT({0,1,2,3,4,5,6,7,8,9}))+((MIN(N37,0.95*'Inputs'!$B$12*'Inputs'!$B$26)/'Inputs'!$B$26)^'Inputs'!$B$12/FACT('Inputs'!$B$12)*'Inputs'!$B$12/('Inputs'!$B$12-(MIN(N37,0.95*'Inputs'!$B$12*'Inputs'!$B$26)/'Inputs'!$B$26)))),0)</f>
        <v/>
      </c>
      <c r="R37" s="42">
        <f>IF(N37&gt;0,Q37/('Inputs'!$B$12*'Inputs'!$B$26-MIN(N37,0.95*'Inputs'!$B$12*'Inputs'!$B$26)),0)</f>
        <v/>
      </c>
      <c r="S37" s="32">
        <f>MAX(0,S36+(N37-'Inputs'!$B$12*'Inputs'!$B$26)*10)</f>
        <v/>
      </c>
      <c r="T37" s="40">
        <f>(S36+S37)/2/('Inputs'!$B$12*'Inputs'!$B$26)+R37</f>
        <v/>
      </c>
      <c r="U37" s="40">
        <f>'Inputs'!$B$85+T37+1/'Inputs'!$B$26+'Inputs'!$B$86+'Inputs'!$B$87+'Inputs'!$B$88</f>
        <v/>
      </c>
      <c r="V37" s="30">
        <f>N37*U37</f>
        <v/>
      </c>
      <c r="W37" s="40">
        <f>$D37*$E$26</f>
        <v/>
      </c>
      <c r="X37" s="41">
        <f>W37/'Inputs'!$B$83</f>
        <v/>
      </c>
      <c r="Y37" s="41">
        <f>W37/('Inputs'!$B$11*'Inputs'!$B$26)</f>
        <v/>
      </c>
      <c r="Z37" s="42">
        <f>IF(W37&gt;0,((MIN(W37,0.95*'Inputs'!$B$11*'Inputs'!$B$26)/'Inputs'!$B$26)^'Inputs'!$B$11/FACT('Inputs'!$B$11)*'Inputs'!$B$11/('Inputs'!$B$11-(MIN(W37,0.95*'Inputs'!$B$11*'Inputs'!$B$26)/'Inputs'!$B$26)))/(SUMPRODUCT(--({0,1,2,3,4,5,6,7,8,9}&lt;'Inputs'!$B$11),(MIN(W37,0.95*'Inputs'!$B$11*'Inputs'!$B$26)/'Inputs'!$B$26)^{0,1,2,3,4,5,6,7,8,9}/FACT({0,1,2,3,4,5,6,7,8,9}))+((MIN(W37,0.95*'Inputs'!$B$11*'Inputs'!$B$26)/'Inputs'!$B$26)^'Inputs'!$B$11/FACT('Inputs'!$B$11)*'Inputs'!$B$11/('Inputs'!$B$11-(MIN(W37,0.95*'Inputs'!$B$11*'Inputs'!$B$26)/'Inputs'!$B$26)))),0)</f>
        <v/>
      </c>
      <c r="AA37" s="42">
        <f>IF(W37&gt;0,Z37/('Inputs'!$B$11*'Inputs'!$B$26-MIN(W37,0.95*'Inputs'!$B$11*'Inputs'!$B$26)),0)</f>
        <v/>
      </c>
      <c r="AB37" s="32">
        <f>MAX(0,AB36+(W37-'Inputs'!$B$11*'Inputs'!$B$26)*10)</f>
        <v/>
      </c>
      <c r="AC37" s="40">
        <f>(AB36+AB37)/2/('Inputs'!$B$11*'Inputs'!$B$26)+AA37</f>
        <v/>
      </c>
      <c r="AD37" s="40">
        <f>'Inputs'!$B$85+AC37+1/'Inputs'!$B$26+'Inputs'!$B$86+'Inputs'!$B$87+'Inputs'!$B$88</f>
        <v/>
      </c>
      <c r="AE37" s="30">
        <f>W37*AD37</f>
        <v/>
      </c>
      <c r="AF37" s="40">
        <f>$D37*(1-$E$26)</f>
        <v/>
      </c>
      <c r="AG37" s="41">
        <f>AF37/'Inputs'!$B$84</f>
        <v/>
      </c>
      <c r="AH37" s="41">
        <f>AF37/('Inputs'!$B$12*'Inputs'!$B$26)</f>
        <v/>
      </c>
      <c r="AI37" s="42">
        <f>IF(AF37&gt;0,((MIN(AF37,0.95*'Inputs'!$B$12*'Inputs'!$B$26)/'Inputs'!$B$26)^'Inputs'!$B$12/FACT('Inputs'!$B$12)*'Inputs'!$B$12/('Inputs'!$B$12-(MIN(AF37,0.95*'Inputs'!$B$12*'Inputs'!$B$26)/'Inputs'!$B$26)))/(SUMPRODUCT(--({0,1,2,3,4,5,6,7,8,9}&lt;'Inputs'!$B$12),(MIN(AF37,0.95*'Inputs'!$B$12*'Inputs'!$B$26)/'Inputs'!$B$26)^{0,1,2,3,4,5,6,7,8,9}/FACT({0,1,2,3,4,5,6,7,8,9}))+((MIN(AF37,0.95*'Inputs'!$B$12*'Inputs'!$B$26)/'Inputs'!$B$26)^'Inputs'!$B$12/FACT('Inputs'!$B$12)*'Inputs'!$B$12/('Inputs'!$B$12-(MIN(AF37,0.95*'Inputs'!$B$12*'Inputs'!$B$26)/'Inputs'!$B$26)))),0)</f>
        <v/>
      </c>
      <c r="AJ37" s="42">
        <f>IF(AF37&gt;0,AI37/('Inputs'!$B$12*'Inputs'!$B$26-MIN(AF37,0.95*'Inputs'!$B$12*'Inputs'!$B$26)),0)</f>
        <v/>
      </c>
      <c r="AK37" s="32">
        <f>MAX(0,AK36+(AF37-'Inputs'!$B$12*'Inputs'!$B$26)*10)</f>
        <v/>
      </c>
      <c r="AL37" s="40">
        <f>(AK36+AK37)/2/('Inputs'!$B$12*'Inputs'!$B$26)+AJ37</f>
        <v/>
      </c>
      <c r="AM37" s="40">
        <f>'Inputs'!$B$85+AL37+1/'Inputs'!$B$26+'Inputs'!$B$86+'Inputs'!$B$87+'Inputs'!$B$88</f>
        <v/>
      </c>
      <c r="AN37" s="30">
        <f>AF37*AM37</f>
        <v/>
      </c>
    </row>
    <row r="38">
      <c r="A38" s="5" t="inlineStr">
        <is>
          <t>12:50</t>
        </is>
      </c>
      <c r="B38" s="39">
        <f>'Arrival Curve'!$L$27</f>
        <v/>
      </c>
      <c r="C38" s="32">
        <f>'Arrival Curve'!$K$27</f>
        <v/>
      </c>
      <c r="D38" s="26">
        <f>C38/10</f>
        <v/>
      </c>
      <c r="E38" s="40">
        <f>$D38*'Inputs'!$B$34</f>
        <v/>
      </c>
      <c r="F38" s="41">
        <f>E38/'Inputs'!$B$83</f>
        <v/>
      </c>
      <c r="G38" s="41">
        <f>E38/('Inputs'!$B$11*'Inputs'!$B$26)</f>
        <v/>
      </c>
      <c r="H38" s="42">
        <f>IF(E38&gt;0,((MIN(E38,0.95*'Inputs'!$B$11*'Inputs'!$B$26)/'Inputs'!$B$26)^'Inputs'!$B$11/FACT('Inputs'!$B$11)*'Inputs'!$B$11/('Inputs'!$B$11-(MIN(E38,0.95*'Inputs'!$B$11*'Inputs'!$B$26)/'Inputs'!$B$26)))/(SUMPRODUCT(--({0,1,2,3,4,5,6,7,8,9}&lt;'Inputs'!$B$11),(MIN(E38,0.95*'Inputs'!$B$11*'Inputs'!$B$26)/'Inputs'!$B$26)^{0,1,2,3,4,5,6,7,8,9}/FACT({0,1,2,3,4,5,6,7,8,9}))+((MIN(E38,0.95*'Inputs'!$B$11*'Inputs'!$B$26)/'Inputs'!$B$26)^'Inputs'!$B$11/FACT('Inputs'!$B$11)*'Inputs'!$B$11/('Inputs'!$B$11-(MIN(E38,0.95*'Inputs'!$B$11*'Inputs'!$B$26)/'Inputs'!$B$26)))),0)</f>
        <v/>
      </c>
      <c r="I38" s="42">
        <f>IF(E38&gt;0,H38/('Inputs'!$B$11*'Inputs'!$B$26-MIN(E38,0.95*'Inputs'!$B$11*'Inputs'!$B$26)),0)</f>
        <v/>
      </c>
      <c r="J38" s="32">
        <f>MAX(0,J37+(E38-'Inputs'!$B$11*'Inputs'!$B$26)*10)</f>
        <v/>
      </c>
      <c r="K38" s="40">
        <f>(J37+J38)/2/('Inputs'!$B$11*'Inputs'!$B$26)+I38</f>
        <v/>
      </c>
      <c r="L38" s="40">
        <f>'Inputs'!$B$85+K38+1/'Inputs'!$B$26+'Inputs'!$B$86+'Inputs'!$B$87+'Inputs'!$B$88</f>
        <v/>
      </c>
      <c r="M38" s="30">
        <f>E38*L38</f>
        <v/>
      </c>
      <c r="N38" s="40">
        <f>$D38*(1-'Inputs'!$B$34)</f>
        <v/>
      </c>
      <c r="O38" s="41">
        <f>N38/'Inputs'!$B$84</f>
        <v/>
      </c>
      <c r="P38" s="41">
        <f>N38/('Inputs'!$B$12*'Inputs'!$B$26)</f>
        <v/>
      </c>
      <c r="Q38" s="42">
        <f>IF(N38&gt;0,((MIN(N38,0.95*'Inputs'!$B$12*'Inputs'!$B$26)/'Inputs'!$B$26)^'Inputs'!$B$12/FACT('Inputs'!$B$12)*'Inputs'!$B$12/('Inputs'!$B$12-(MIN(N38,0.95*'Inputs'!$B$12*'Inputs'!$B$26)/'Inputs'!$B$26)))/(SUMPRODUCT(--({0,1,2,3,4,5,6,7,8,9}&lt;'Inputs'!$B$12),(MIN(N38,0.95*'Inputs'!$B$12*'Inputs'!$B$26)/'Inputs'!$B$26)^{0,1,2,3,4,5,6,7,8,9}/FACT({0,1,2,3,4,5,6,7,8,9}))+((MIN(N38,0.95*'Inputs'!$B$12*'Inputs'!$B$26)/'Inputs'!$B$26)^'Inputs'!$B$12/FACT('Inputs'!$B$12)*'Inputs'!$B$12/('Inputs'!$B$12-(MIN(N38,0.95*'Inputs'!$B$12*'Inputs'!$B$26)/'Inputs'!$B$26)))),0)</f>
        <v/>
      </c>
      <c r="R38" s="42">
        <f>IF(N38&gt;0,Q38/('Inputs'!$B$12*'Inputs'!$B$26-MIN(N38,0.95*'Inputs'!$B$12*'Inputs'!$B$26)),0)</f>
        <v/>
      </c>
      <c r="S38" s="32">
        <f>MAX(0,S37+(N38-'Inputs'!$B$12*'Inputs'!$B$26)*10)</f>
        <v/>
      </c>
      <c r="T38" s="40">
        <f>(S37+S38)/2/('Inputs'!$B$12*'Inputs'!$B$26)+R38</f>
        <v/>
      </c>
      <c r="U38" s="40">
        <f>'Inputs'!$B$85+T38+1/'Inputs'!$B$26+'Inputs'!$B$86+'Inputs'!$B$87+'Inputs'!$B$88</f>
        <v/>
      </c>
      <c r="V38" s="30">
        <f>N38*U38</f>
        <v/>
      </c>
      <c r="W38" s="40">
        <f>$D38*$E$26</f>
        <v/>
      </c>
      <c r="X38" s="41">
        <f>W38/'Inputs'!$B$83</f>
        <v/>
      </c>
      <c r="Y38" s="41">
        <f>W38/('Inputs'!$B$11*'Inputs'!$B$26)</f>
        <v/>
      </c>
      <c r="Z38" s="42">
        <f>IF(W38&gt;0,((MIN(W38,0.95*'Inputs'!$B$11*'Inputs'!$B$26)/'Inputs'!$B$26)^'Inputs'!$B$11/FACT('Inputs'!$B$11)*'Inputs'!$B$11/('Inputs'!$B$11-(MIN(W38,0.95*'Inputs'!$B$11*'Inputs'!$B$26)/'Inputs'!$B$26)))/(SUMPRODUCT(--({0,1,2,3,4,5,6,7,8,9}&lt;'Inputs'!$B$11),(MIN(W38,0.95*'Inputs'!$B$11*'Inputs'!$B$26)/'Inputs'!$B$26)^{0,1,2,3,4,5,6,7,8,9}/FACT({0,1,2,3,4,5,6,7,8,9}))+((MIN(W38,0.95*'Inputs'!$B$11*'Inputs'!$B$26)/'Inputs'!$B$26)^'Inputs'!$B$11/FACT('Inputs'!$B$11)*'Inputs'!$B$11/('Inputs'!$B$11-(MIN(W38,0.95*'Inputs'!$B$11*'Inputs'!$B$26)/'Inputs'!$B$26)))),0)</f>
        <v/>
      </c>
      <c r="AA38" s="42">
        <f>IF(W38&gt;0,Z38/('Inputs'!$B$11*'Inputs'!$B$26-MIN(W38,0.95*'Inputs'!$B$11*'Inputs'!$B$26)),0)</f>
        <v/>
      </c>
      <c r="AB38" s="32">
        <f>MAX(0,AB37+(W38-'Inputs'!$B$11*'Inputs'!$B$26)*10)</f>
        <v/>
      </c>
      <c r="AC38" s="40">
        <f>(AB37+AB38)/2/('Inputs'!$B$11*'Inputs'!$B$26)+AA38</f>
        <v/>
      </c>
      <c r="AD38" s="40">
        <f>'Inputs'!$B$85+AC38+1/'Inputs'!$B$26+'Inputs'!$B$86+'Inputs'!$B$87+'Inputs'!$B$88</f>
        <v/>
      </c>
      <c r="AE38" s="30">
        <f>W38*AD38</f>
        <v/>
      </c>
      <c r="AF38" s="40">
        <f>$D38*(1-$E$26)</f>
        <v/>
      </c>
      <c r="AG38" s="41">
        <f>AF38/'Inputs'!$B$84</f>
        <v/>
      </c>
      <c r="AH38" s="41">
        <f>AF38/('Inputs'!$B$12*'Inputs'!$B$26)</f>
        <v/>
      </c>
      <c r="AI38" s="42">
        <f>IF(AF38&gt;0,((MIN(AF38,0.95*'Inputs'!$B$12*'Inputs'!$B$26)/'Inputs'!$B$26)^'Inputs'!$B$12/FACT('Inputs'!$B$12)*'Inputs'!$B$12/('Inputs'!$B$12-(MIN(AF38,0.95*'Inputs'!$B$12*'Inputs'!$B$26)/'Inputs'!$B$26)))/(SUMPRODUCT(--({0,1,2,3,4,5,6,7,8,9}&lt;'Inputs'!$B$12),(MIN(AF38,0.95*'Inputs'!$B$12*'Inputs'!$B$26)/'Inputs'!$B$26)^{0,1,2,3,4,5,6,7,8,9}/FACT({0,1,2,3,4,5,6,7,8,9}))+((MIN(AF38,0.95*'Inputs'!$B$12*'Inputs'!$B$26)/'Inputs'!$B$26)^'Inputs'!$B$12/FACT('Inputs'!$B$12)*'Inputs'!$B$12/('Inputs'!$B$12-(MIN(AF38,0.95*'Inputs'!$B$12*'Inputs'!$B$26)/'Inputs'!$B$26)))),0)</f>
        <v/>
      </c>
      <c r="AJ38" s="42">
        <f>IF(AF38&gt;0,AI38/('Inputs'!$B$12*'Inputs'!$B$26-MIN(AF38,0.95*'Inputs'!$B$12*'Inputs'!$B$26)),0)</f>
        <v/>
      </c>
      <c r="AK38" s="32">
        <f>MAX(0,AK37+(AF38-'Inputs'!$B$12*'Inputs'!$B$26)*10)</f>
        <v/>
      </c>
      <c r="AL38" s="40">
        <f>(AK37+AK38)/2/('Inputs'!$B$12*'Inputs'!$B$26)+AJ38</f>
        <v/>
      </c>
      <c r="AM38" s="40">
        <f>'Inputs'!$B$85+AL38+1/'Inputs'!$B$26+'Inputs'!$B$86+'Inputs'!$B$87+'Inputs'!$B$88</f>
        <v/>
      </c>
      <c r="AN38" s="30">
        <f>AF38*AM38</f>
        <v/>
      </c>
    </row>
    <row r="39">
      <c r="A39" s="5" t="inlineStr">
        <is>
          <t>13:00</t>
        </is>
      </c>
      <c r="B39" s="39">
        <f>'Arrival Curve'!$L$28</f>
        <v/>
      </c>
      <c r="C39" s="32">
        <f>'Arrival Curve'!$K$28</f>
        <v/>
      </c>
      <c r="D39" s="26">
        <f>C39/10</f>
        <v/>
      </c>
      <c r="E39" s="40">
        <f>$D39*'Inputs'!$B$34</f>
        <v/>
      </c>
      <c r="F39" s="41">
        <f>E39/'Inputs'!$B$83</f>
        <v/>
      </c>
      <c r="G39" s="41">
        <f>E39/('Inputs'!$B$11*'Inputs'!$B$26)</f>
        <v/>
      </c>
      <c r="H39" s="42">
        <f>IF(E39&gt;0,((MIN(E39,0.95*'Inputs'!$B$11*'Inputs'!$B$26)/'Inputs'!$B$26)^'Inputs'!$B$11/FACT('Inputs'!$B$11)*'Inputs'!$B$11/('Inputs'!$B$11-(MIN(E39,0.95*'Inputs'!$B$11*'Inputs'!$B$26)/'Inputs'!$B$26)))/(SUMPRODUCT(--({0,1,2,3,4,5,6,7,8,9}&lt;'Inputs'!$B$11),(MIN(E39,0.95*'Inputs'!$B$11*'Inputs'!$B$26)/'Inputs'!$B$26)^{0,1,2,3,4,5,6,7,8,9}/FACT({0,1,2,3,4,5,6,7,8,9}))+((MIN(E39,0.95*'Inputs'!$B$11*'Inputs'!$B$26)/'Inputs'!$B$26)^'Inputs'!$B$11/FACT('Inputs'!$B$11)*'Inputs'!$B$11/('Inputs'!$B$11-(MIN(E39,0.95*'Inputs'!$B$11*'Inputs'!$B$26)/'Inputs'!$B$26)))),0)</f>
        <v/>
      </c>
      <c r="I39" s="42">
        <f>IF(E39&gt;0,H39/('Inputs'!$B$11*'Inputs'!$B$26-MIN(E39,0.95*'Inputs'!$B$11*'Inputs'!$B$26)),0)</f>
        <v/>
      </c>
      <c r="J39" s="32">
        <f>MAX(0,J38+(E39-'Inputs'!$B$11*'Inputs'!$B$26)*10)</f>
        <v/>
      </c>
      <c r="K39" s="40">
        <f>(J38+J39)/2/('Inputs'!$B$11*'Inputs'!$B$26)+I39</f>
        <v/>
      </c>
      <c r="L39" s="40">
        <f>'Inputs'!$B$85+K39+1/'Inputs'!$B$26+'Inputs'!$B$86+'Inputs'!$B$87+'Inputs'!$B$88</f>
        <v/>
      </c>
      <c r="M39" s="30">
        <f>E39*L39</f>
        <v/>
      </c>
      <c r="N39" s="40">
        <f>$D39*(1-'Inputs'!$B$34)</f>
        <v/>
      </c>
      <c r="O39" s="41">
        <f>N39/'Inputs'!$B$84</f>
        <v/>
      </c>
      <c r="P39" s="41">
        <f>N39/('Inputs'!$B$12*'Inputs'!$B$26)</f>
        <v/>
      </c>
      <c r="Q39" s="42">
        <f>IF(N39&gt;0,((MIN(N39,0.95*'Inputs'!$B$12*'Inputs'!$B$26)/'Inputs'!$B$26)^'Inputs'!$B$12/FACT('Inputs'!$B$12)*'Inputs'!$B$12/('Inputs'!$B$12-(MIN(N39,0.95*'Inputs'!$B$12*'Inputs'!$B$26)/'Inputs'!$B$26)))/(SUMPRODUCT(--({0,1,2,3,4,5,6,7,8,9}&lt;'Inputs'!$B$12),(MIN(N39,0.95*'Inputs'!$B$12*'Inputs'!$B$26)/'Inputs'!$B$26)^{0,1,2,3,4,5,6,7,8,9}/FACT({0,1,2,3,4,5,6,7,8,9}))+((MIN(N39,0.95*'Inputs'!$B$12*'Inputs'!$B$26)/'Inputs'!$B$26)^'Inputs'!$B$12/FACT('Inputs'!$B$12)*'Inputs'!$B$12/('Inputs'!$B$12-(MIN(N39,0.95*'Inputs'!$B$12*'Inputs'!$B$26)/'Inputs'!$B$26)))),0)</f>
        <v/>
      </c>
      <c r="R39" s="42">
        <f>IF(N39&gt;0,Q39/('Inputs'!$B$12*'Inputs'!$B$26-MIN(N39,0.95*'Inputs'!$B$12*'Inputs'!$B$26)),0)</f>
        <v/>
      </c>
      <c r="S39" s="32">
        <f>MAX(0,S38+(N39-'Inputs'!$B$12*'Inputs'!$B$26)*10)</f>
        <v/>
      </c>
      <c r="T39" s="40">
        <f>(S38+S39)/2/('Inputs'!$B$12*'Inputs'!$B$26)+R39</f>
        <v/>
      </c>
      <c r="U39" s="40">
        <f>'Inputs'!$B$85+T39+1/'Inputs'!$B$26+'Inputs'!$B$86+'Inputs'!$B$87+'Inputs'!$B$88</f>
        <v/>
      </c>
      <c r="V39" s="30">
        <f>N39*U39</f>
        <v/>
      </c>
      <c r="W39" s="40">
        <f>$D39*$E$26</f>
        <v/>
      </c>
      <c r="X39" s="41">
        <f>W39/'Inputs'!$B$83</f>
        <v/>
      </c>
      <c r="Y39" s="41">
        <f>W39/('Inputs'!$B$11*'Inputs'!$B$26)</f>
        <v/>
      </c>
      <c r="Z39" s="42">
        <f>IF(W39&gt;0,((MIN(W39,0.95*'Inputs'!$B$11*'Inputs'!$B$26)/'Inputs'!$B$26)^'Inputs'!$B$11/FACT('Inputs'!$B$11)*'Inputs'!$B$11/('Inputs'!$B$11-(MIN(W39,0.95*'Inputs'!$B$11*'Inputs'!$B$26)/'Inputs'!$B$26)))/(SUMPRODUCT(--({0,1,2,3,4,5,6,7,8,9}&lt;'Inputs'!$B$11),(MIN(W39,0.95*'Inputs'!$B$11*'Inputs'!$B$26)/'Inputs'!$B$26)^{0,1,2,3,4,5,6,7,8,9}/FACT({0,1,2,3,4,5,6,7,8,9}))+((MIN(W39,0.95*'Inputs'!$B$11*'Inputs'!$B$26)/'Inputs'!$B$26)^'Inputs'!$B$11/FACT('Inputs'!$B$11)*'Inputs'!$B$11/('Inputs'!$B$11-(MIN(W39,0.95*'Inputs'!$B$11*'Inputs'!$B$26)/'Inputs'!$B$26)))),0)</f>
        <v/>
      </c>
      <c r="AA39" s="42">
        <f>IF(W39&gt;0,Z39/('Inputs'!$B$11*'Inputs'!$B$26-MIN(W39,0.95*'Inputs'!$B$11*'Inputs'!$B$26)),0)</f>
        <v/>
      </c>
      <c r="AB39" s="32">
        <f>MAX(0,AB38+(W39-'Inputs'!$B$11*'Inputs'!$B$26)*10)</f>
        <v/>
      </c>
      <c r="AC39" s="40">
        <f>(AB38+AB39)/2/('Inputs'!$B$11*'Inputs'!$B$26)+AA39</f>
        <v/>
      </c>
      <c r="AD39" s="40">
        <f>'Inputs'!$B$85+AC39+1/'Inputs'!$B$26+'Inputs'!$B$86+'Inputs'!$B$87+'Inputs'!$B$88</f>
        <v/>
      </c>
      <c r="AE39" s="30">
        <f>W39*AD39</f>
        <v/>
      </c>
      <c r="AF39" s="40">
        <f>$D39*(1-$E$26)</f>
        <v/>
      </c>
      <c r="AG39" s="41">
        <f>AF39/'Inputs'!$B$84</f>
        <v/>
      </c>
      <c r="AH39" s="41">
        <f>AF39/('Inputs'!$B$12*'Inputs'!$B$26)</f>
        <v/>
      </c>
      <c r="AI39" s="42">
        <f>IF(AF39&gt;0,((MIN(AF39,0.95*'Inputs'!$B$12*'Inputs'!$B$26)/'Inputs'!$B$26)^'Inputs'!$B$12/FACT('Inputs'!$B$12)*'Inputs'!$B$12/('Inputs'!$B$12-(MIN(AF39,0.95*'Inputs'!$B$12*'Inputs'!$B$26)/'Inputs'!$B$26)))/(SUMPRODUCT(--({0,1,2,3,4,5,6,7,8,9}&lt;'Inputs'!$B$12),(MIN(AF39,0.95*'Inputs'!$B$12*'Inputs'!$B$26)/'Inputs'!$B$26)^{0,1,2,3,4,5,6,7,8,9}/FACT({0,1,2,3,4,5,6,7,8,9}))+((MIN(AF39,0.95*'Inputs'!$B$12*'Inputs'!$B$26)/'Inputs'!$B$26)^'Inputs'!$B$12/FACT('Inputs'!$B$12)*'Inputs'!$B$12/('Inputs'!$B$12-(MIN(AF39,0.95*'Inputs'!$B$12*'Inputs'!$B$26)/'Inputs'!$B$26)))),0)</f>
        <v/>
      </c>
      <c r="AJ39" s="42">
        <f>IF(AF39&gt;0,AI39/('Inputs'!$B$12*'Inputs'!$B$26-MIN(AF39,0.95*'Inputs'!$B$12*'Inputs'!$B$26)),0)</f>
        <v/>
      </c>
      <c r="AK39" s="32">
        <f>MAX(0,AK38+(AF39-'Inputs'!$B$12*'Inputs'!$B$26)*10)</f>
        <v/>
      </c>
      <c r="AL39" s="40">
        <f>(AK38+AK39)/2/('Inputs'!$B$12*'Inputs'!$B$26)+AJ39</f>
        <v/>
      </c>
      <c r="AM39" s="40">
        <f>'Inputs'!$B$85+AL39+1/'Inputs'!$B$26+'Inputs'!$B$86+'Inputs'!$B$87+'Inputs'!$B$88</f>
        <v/>
      </c>
      <c r="AN39" s="30">
        <f>AF39*AM39</f>
        <v/>
      </c>
    </row>
    <row r="40">
      <c r="A40" s="5" t="inlineStr">
        <is>
          <t>13:10</t>
        </is>
      </c>
      <c r="B40" s="39">
        <f>'Arrival Curve'!$L$29</f>
        <v/>
      </c>
      <c r="C40" s="32">
        <f>'Arrival Curve'!$K$29</f>
        <v/>
      </c>
      <c r="D40" s="26">
        <f>C40/10</f>
        <v/>
      </c>
      <c r="E40" s="40">
        <f>$D40*'Inputs'!$B$34</f>
        <v/>
      </c>
      <c r="F40" s="41">
        <f>E40/'Inputs'!$B$83</f>
        <v/>
      </c>
      <c r="G40" s="41">
        <f>E40/('Inputs'!$B$11*'Inputs'!$B$26)</f>
        <v/>
      </c>
      <c r="H40" s="42">
        <f>IF(E40&gt;0,((MIN(E40,0.95*'Inputs'!$B$11*'Inputs'!$B$26)/'Inputs'!$B$26)^'Inputs'!$B$11/FACT('Inputs'!$B$11)*'Inputs'!$B$11/('Inputs'!$B$11-(MIN(E40,0.95*'Inputs'!$B$11*'Inputs'!$B$26)/'Inputs'!$B$26)))/(SUMPRODUCT(--({0,1,2,3,4,5,6,7,8,9}&lt;'Inputs'!$B$11),(MIN(E40,0.95*'Inputs'!$B$11*'Inputs'!$B$26)/'Inputs'!$B$26)^{0,1,2,3,4,5,6,7,8,9}/FACT({0,1,2,3,4,5,6,7,8,9}))+((MIN(E40,0.95*'Inputs'!$B$11*'Inputs'!$B$26)/'Inputs'!$B$26)^'Inputs'!$B$11/FACT('Inputs'!$B$11)*'Inputs'!$B$11/('Inputs'!$B$11-(MIN(E40,0.95*'Inputs'!$B$11*'Inputs'!$B$26)/'Inputs'!$B$26)))),0)</f>
        <v/>
      </c>
      <c r="I40" s="42">
        <f>IF(E40&gt;0,H40/('Inputs'!$B$11*'Inputs'!$B$26-MIN(E40,0.95*'Inputs'!$B$11*'Inputs'!$B$26)),0)</f>
        <v/>
      </c>
      <c r="J40" s="32">
        <f>MAX(0,J39+(E40-'Inputs'!$B$11*'Inputs'!$B$26)*10)</f>
        <v/>
      </c>
      <c r="K40" s="40">
        <f>(J39+J40)/2/('Inputs'!$B$11*'Inputs'!$B$26)+I40</f>
        <v/>
      </c>
      <c r="L40" s="40">
        <f>'Inputs'!$B$85+K40+1/'Inputs'!$B$26+'Inputs'!$B$86+'Inputs'!$B$87+'Inputs'!$B$88</f>
        <v/>
      </c>
      <c r="M40" s="30">
        <f>E40*L40</f>
        <v/>
      </c>
      <c r="N40" s="40">
        <f>$D40*(1-'Inputs'!$B$34)</f>
        <v/>
      </c>
      <c r="O40" s="41">
        <f>N40/'Inputs'!$B$84</f>
        <v/>
      </c>
      <c r="P40" s="41">
        <f>N40/('Inputs'!$B$12*'Inputs'!$B$26)</f>
        <v/>
      </c>
      <c r="Q40" s="42">
        <f>IF(N40&gt;0,((MIN(N40,0.95*'Inputs'!$B$12*'Inputs'!$B$26)/'Inputs'!$B$26)^'Inputs'!$B$12/FACT('Inputs'!$B$12)*'Inputs'!$B$12/('Inputs'!$B$12-(MIN(N40,0.95*'Inputs'!$B$12*'Inputs'!$B$26)/'Inputs'!$B$26)))/(SUMPRODUCT(--({0,1,2,3,4,5,6,7,8,9}&lt;'Inputs'!$B$12),(MIN(N40,0.95*'Inputs'!$B$12*'Inputs'!$B$26)/'Inputs'!$B$26)^{0,1,2,3,4,5,6,7,8,9}/FACT({0,1,2,3,4,5,6,7,8,9}))+((MIN(N40,0.95*'Inputs'!$B$12*'Inputs'!$B$26)/'Inputs'!$B$26)^'Inputs'!$B$12/FACT('Inputs'!$B$12)*'Inputs'!$B$12/('Inputs'!$B$12-(MIN(N40,0.95*'Inputs'!$B$12*'Inputs'!$B$26)/'Inputs'!$B$26)))),0)</f>
        <v/>
      </c>
      <c r="R40" s="42">
        <f>IF(N40&gt;0,Q40/('Inputs'!$B$12*'Inputs'!$B$26-MIN(N40,0.95*'Inputs'!$B$12*'Inputs'!$B$26)),0)</f>
        <v/>
      </c>
      <c r="S40" s="32">
        <f>MAX(0,S39+(N40-'Inputs'!$B$12*'Inputs'!$B$26)*10)</f>
        <v/>
      </c>
      <c r="T40" s="40">
        <f>(S39+S40)/2/('Inputs'!$B$12*'Inputs'!$B$26)+R40</f>
        <v/>
      </c>
      <c r="U40" s="40">
        <f>'Inputs'!$B$85+T40+1/'Inputs'!$B$26+'Inputs'!$B$86+'Inputs'!$B$87+'Inputs'!$B$88</f>
        <v/>
      </c>
      <c r="V40" s="30">
        <f>N40*U40</f>
        <v/>
      </c>
      <c r="W40" s="40">
        <f>$D40*$E$26</f>
        <v/>
      </c>
      <c r="X40" s="41">
        <f>W40/'Inputs'!$B$83</f>
        <v/>
      </c>
      <c r="Y40" s="41">
        <f>W40/('Inputs'!$B$11*'Inputs'!$B$26)</f>
        <v/>
      </c>
      <c r="Z40" s="42">
        <f>IF(W40&gt;0,((MIN(W40,0.95*'Inputs'!$B$11*'Inputs'!$B$26)/'Inputs'!$B$26)^'Inputs'!$B$11/FACT('Inputs'!$B$11)*'Inputs'!$B$11/('Inputs'!$B$11-(MIN(W40,0.95*'Inputs'!$B$11*'Inputs'!$B$26)/'Inputs'!$B$26)))/(SUMPRODUCT(--({0,1,2,3,4,5,6,7,8,9}&lt;'Inputs'!$B$11),(MIN(W40,0.95*'Inputs'!$B$11*'Inputs'!$B$26)/'Inputs'!$B$26)^{0,1,2,3,4,5,6,7,8,9}/FACT({0,1,2,3,4,5,6,7,8,9}))+((MIN(W40,0.95*'Inputs'!$B$11*'Inputs'!$B$26)/'Inputs'!$B$26)^'Inputs'!$B$11/FACT('Inputs'!$B$11)*'Inputs'!$B$11/('Inputs'!$B$11-(MIN(W40,0.95*'Inputs'!$B$11*'Inputs'!$B$26)/'Inputs'!$B$26)))),0)</f>
        <v/>
      </c>
      <c r="AA40" s="42">
        <f>IF(W40&gt;0,Z40/('Inputs'!$B$11*'Inputs'!$B$26-MIN(W40,0.95*'Inputs'!$B$11*'Inputs'!$B$26)),0)</f>
        <v/>
      </c>
      <c r="AB40" s="32">
        <f>MAX(0,AB39+(W40-'Inputs'!$B$11*'Inputs'!$B$26)*10)</f>
        <v/>
      </c>
      <c r="AC40" s="40">
        <f>(AB39+AB40)/2/('Inputs'!$B$11*'Inputs'!$B$26)+AA40</f>
        <v/>
      </c>
      <c r="AD40" s="40">
        <f>'Inputs'!$B$85+AC40+1/'Inputs'!$B$26+'Inputs'!$B$86+'Inputs'!$B$87+'Inputs'!$B$88</f>
        <v/>
      </c>
      <c r="AE40" s="30">
        <f>W40*AD40</f>
        <v/>
      </c>
      <c r="AF40" s="40">
        <f>$D40*(1-$E$26)</f>
        <v/>
      </c>
      <c r="AG40" s="41">
        <f>AF40/'Inputs'!$B$84</f>
        <v/>
      </c>
      <c r="AH40" s="41">
        <f>AF40/('Inputs'!$B$12*'Inputs'!$B$26)</f>
        <v/>
      </c>
      <c r="AI40" s="42">
        <f>IF(AF40&gt;0,((MIN(AF40,0.95*'Inputs'!$B$12*'Inputs'!$B$26)/'Inputs'!$B$26)^'Inputs'!$B$12/FACT('Inputs'!$B$12)*'Inputs'!$B$12/('Inputs'!$B$12-(MIN(AF40,0.95*'Inputs'!$B$12*'Inputs'!$B$26)/'Inputs'!$B$26)))/(SUMPRODUCT(--({0,1,2,3,4,5,6,7,8,9}&lt;'Inputs'!$B$12),(MIN(AF40,0.95*'Inputs'!$B$12*'Inputs'!$B$26)/'Inputs'!$B$26)^{0,1,2,3,4,5,6,7,8,9}/FACT({0,1,2,3,4,5,6,7,8,9}))+((MIN(AF40,0.95*'Inputs'!$B$12*'Inputs'!$B$26)/'Inputs'!$B$26)^'Inputs'!$B$12/FACT('Inputs'!$B$12)*'Inputs'!$B$12/('Inputs'!$B$12-(MIN(AF40,0.95*'Inputs'!$B$12*'Inputs'!$B$26)/'Inputs'!$B$26)))),0)</f>
        <v/>
      </c>
      <c r="AJ40" s="42">
        <f>IF(AF40&gt;0,AI40/('Inputs'!$B$12*'Inputs'!$B$26-MIN(AF40,0.95*'Inputs'!$B$12*'Inputs'!$B$26)),0)</f>
        <v/>
      </c>
      <c r="AK40" s="32">
        <f>MAX(0,AK39+(AF40-'Inputs'!$B$12*'Inputs'!$B$26)*10)</f>
        <v/>
      </c>
      <c r="AL40" s="40">
        <f>(AK39+AK40)/2/('Inputs'!$B$12*'Inputs'!$B$26)+AJ40</f>
        <v/>
      </c>
      <c r="AM40" s="40">
        <f>'Inputs'!$B$85+AL40+1/'Inputs'!$B$26+'Inputs'!$B$86+'Inputs'!$B$87+'Inputs'!$B$88</f>
        <v/>
      </c>
      <c r="AN40" s="30">
        <f>AF40*AM40</f>
        <v/>
      </c>
    </row>
    <row r="41">
      <c r="A41" s="5" t="inlineStr">
        <is>
          <t>13:20</t>
        </is>
      </c>
      <c r="B41" s="39">
        <f>'Arrival Curve'!$L$30</f>
        <v/>
      </c>
      <c r="C41" s="32">
        <f>'Arrival Curve'!$K$30</f>
        <v/>
      </c>
      <c r="D41" s="26">
        <f>C41/10</f>
        <v/>
      </c>
      <c r="E41" s="40">
        <f>$D41*'Inputs'!$B$34</f>
        <v/>
      </c>
      <c r="F41" s="41">
        <f>E41/'Inputs'!$B$83</f>
        <v/>
      </c>
      <c r="G41" s="41">
        <f>E41/('Inputs'!$B$11*'Inputs'!$B$26)</f>
        <v/>
      </c>
      <c r="H41" s="42">
        <f>IF(E41&gt;0,((MIN(E41,0.95*'Inputs'!$B$11*'Inputs'!$B$26)/'Inputs'!$B$26)^'Inputs'!$B$11/FACT('Inputs'!$B$11)*'Inputs'!$B$11/('Inputs'!$B$11-(MIN(E41,0.95*'Inputs'!$B$11*'Inputs'!$B$26)/'Inputs'!$B$26)))/(SUMPRODUCT(--({0,1,2,3,4,5,6,7,8,9}&lt;'Inputs'!$B$11),(MIN(E41,0.95*'Inputs'!$B$11*'Inputs'!$B$26)/'Inputs'!$B$26)^{0,1,2,3,4,5,6,7,8,9}/FACT({0,1,2,3,4,5,6,7,8,9}))+((MIN(E41,0.95*'Inputs'!$B$11*'Inputs'!$B$26)/'Inputs'!$B$26)^'Inputs'!$B$11/FACT('Inputs'!$B$11)*'Inputs'!$B$11/('Inputs'!$B$11-(MIN(E41,0.95*'Inputs'!$B$11*'Inputs'!$B$26)/'Inputs'!$B$26)))),0)</f>
        <v/>
      </c>
      <c r="I41" s="42">
        <f>IF(E41&gt;0,H41/('Inputs'!$B$11*'Inputs'!$B$26-MIN(E41,0.95*'Inputs'!$B$11*'Inputs'!$B$26)),0)</f>
        <v/>
      </c>
      <c r="J41" s="32">
        <f>MAX(0,J40+(E41-'Inputs'!$B$11*'Inputs'!$B$26)*10)</f>
        <v/>
      </c>
      <c r="K41" s="40">
        <f>(J40+J41)/2/('Inputs'!$B$11*'Inputs'!$B$26)+I41</f>
        <v/>
      </c>
      <c r="L41" s="40">
        <f>'Inputs'!$B$85+K41+1/'Inputs'!$B$26+'Inputs'!$B$86+'Inputs'!$B$87+'Inputs'!$B$88</f>
        <v/>
      </c>
      <c r="M41" s="30">
        <f>E41*L41</f>
        <v/>
      </c>
      <c r="N41" s="40">
        <f>$D41*(1-'Inputs'!$B$34)</f>
        <v/>
      </c>
      <c r="O41" s="41">
        <f>N41/'Inputs'!$B$84</f>
        <v/>
      </c>
      <c r="P41" s="41">
        <f>N41/('Inputs'!$B$12*'Inputs'!$B$26)</f>
        <v/>
      </c>
      <c r="Q41" s="42">
        <f>IF(N41&gt;0,((MIN(N41,0.95*'Inputs'!$B$12*'Inputs'!$B$26)/'Inputs'!$B$26)^'Inputs'!$B$12/FACT('Inputs'!$B$12)*'Inputs'!$B$12/('Inputs'!$B$12-(MIN(N41,0.95*'Inputs'!$B$12*'Inputs'!$B$26)/'Inputs'!$B$26)))/(SUMPRODUCT(--({0,1,2,3,4,5,6,7,8,9}&lt;'Inputs'!$B$12),(MIN(N41,0.95*'Inputs'!$B$12*'Inputs'!$B$26)/'Inputs'!$B$26)^{0,1,2,3,4,5,6,7,8,9}/FACT({0,1,2,3,4,5,6,7,8,9}))+((MIN(N41,0.95*'Inputs'!$B$12*'Inputs'!$B$26)/'Inputs'!$B$26)^'Inputs'!$B$12/FACT('Inputs'!$B$12)*'Inputs'!$B$12/('Inputs'!$B$12-(MIN(N41,0.95*'Inputs'!$B$12*'Inputs'!$B$26)/'Inputs'!$B$26)))),0)</f>
        <v/>
      </c>
      <c r="R41" s="42">
        <f>IF(N41&gt;0,Q41/('Inputs'!$B$12*'Inputs'!$B$26-MIN(N41,0.95*'Inputs'!$B$12*'Inputs'!$B$26)),0)</f>
        <v/>
      </c>
      <c r="S41" s="32">
        <f>MAX(0,S40+(N41-'Inputs'!$B$12*'Inputs'!$B$26)*10)</f>
        <v/>
      </c>
      <c r="T41" s="40">
        <f>(S40+S41)/2/('Inputs'!$B$12*'Inputs'!$B$26)+R41</f>
        <v/>
      </c>
      <c r="U41" s="40">
        <f>'Inputs'!$B$85+T41+1/'Inputs'!$B$26+'Inputs'!$B$86+'Inputs'!$B$87+'Inputs'!$B$88</f>
        <v/>
      </c>
      <c r="V41" s="30">
        <f>N41*U41</f>
        <v/>
      </c>
      <c r="W41" s="40">
        <f>$D41*$E$26</f>
        <v/>
      </c>
      <c r="X41" s="41">
        <f>W41/'Inputs'!$B$83</f>
        <v/>
      </c>
      <c r="Y41" s="41">
        <f>W41/('Inputs'!$B$11*'Inputs'!$B$26)</f>
        <v/>
      </c>
      <c r="Z41" s="42">
        <f>IF(W41&gt;0,((MIN(W41,0.95*'Inputs'!$B$11*'Inputs'!$B$26)/'Inputs'!$B$26)^'Inputs'!$B$11/FACT('Inputs'!$B$11)*'Inputs'!$B$11/('Inputs'!$B$11-(MIN(W41,0.95*'Inputs'!$B$11*'Inputs'!$B$26)/'Inputs'!$B$26)))/(SUMPRODUCT(--({0,1,2,3,4,5,6,7,8,9}&lt;'Inputs'!$B$11),(MIN(W41,0.95*'Inputs'!$B$11*'Inputs'!$B$26)/'Inputs'!$B$26)^{0,1,2,3,4,5,6,7,8,9}/FACT({0,1,2,3,4,5,6,7,8,9}))+((MIN(W41,0.95*'Inputs'!$B$11*'Inputs'!$B$26)/'Inputs'!$B$26)^'Inputs'!$B$11/FACT('Inputs'!$B$11)*'Inputs'!$B$11/('Inputs'!$B$11-(MIN(W41,0.95*'Inputs'!$B$11*'Inputs'!$B$26)/'Inputs'!$B$26)))),0)</f>
        <v/>
      </c>
      <c r="AA41" s="42">
        <f>IF(W41&gt;0,Z41/('Inputs'!$B$11*'Inputs'!$B$26-MIN(W41,0.95*'Inputs'!$B$11*'Inputs'!$B$26)),0)</f>
        <v/>
      </c>
      <c r="AB41" s="32">
        <f>MAX(0,AB40+(W41-'Inputs'!$B$11*'Inputs'!$B$26)*10)</f>
        <v/>
      </c>
      <c r="AC41" s="40">
        <f>(AB40+AB41)/2/('Inputs'!$B$11*'Inputs'!$B$26)+AA41</f>
        <v/>
      </c>
      <c r="AD41" s="40">
        <f>'Inputs'!$B$85+AC41+1/'Inputs'!$B$26+'Inputs'!$B$86+'Inputs'!$B$87+'Inputs'!$B$88</f>
        <v/>
      </c>
      <c r="AE41" s="30">
        <f>W41*AD41</f>
        <v/>
      </c>
      <c r="AF41" s="40">
        <f>$D41*(1-$E$26)</f>
        <v/>
      </c>
      <c r="AG41" s="41">
        <f>AF41/'Inputs'!$B$84</f>
        <v/>
      </c>
      <c r="AH41" s="41">
        <f>AF41/('Inputs'!$B$12*'Inputs'!$B$26)</f>
        <v/>
      </c>
      <c r="AI41" s="42">
        <f>IF(AF41&gt;0,((MIN(AF41,0.95*'Inputs'!$B$12*'Inputs'!$B$26)/'Inputs'!$B$26)^'Inputs'!$B$12/FACT('Inputs'!$B$12)*'Inputs'!$B$12/('Inputs'!$B$12-(MIN(AF41,0.95*'Inputs'!$B$12*'Inputs'!$B$26)/'Inputs'!$B$26)))/(SUMPRODUCT(--({0,1,2,3,4,5,6,7,8,9}&lt;'Inputs'!$B$12),(MIN(AF41,0.95*'Inputs'!$B$12*'Inputs'!$B$26)/'Inputs'!$B$26)^{0,1,2,3,4,5,6,7,8,9}/FACT({0,1,2,3,4,5,6,7,8,9}))+((MIN(AF41,0.95*'Inputs'!$B$12*'Inputs'!$B$26)/'Inputs'!$B$26)^'Inputs'!$B$12/FACT('Inputs'!$B$12)*'Inputs'!$B$12/('Inputs'!$B$12-(MIN(AF41,0.95*'Inputs'!$B$12*'Inputs'!$B$26)/'Inputs'!$B$26)))),0)</f>
        <v/>
      </c>
      <c r="AJ41" s="42">
        <f>IF(AF41&gt;0,AI41/('Inputs'!$B$12*'Inputs'!$B$26-MIN(AF41,0.95*'Inputs'!$B$12*'Inputs'!$B$26)),0)</f>
        <v/>
      </c>
      <c r="AK41" s="32">
        <f>MAX(0,AK40+(AF41-'Inputs'!$B$12*'Inputs'!$B$26)*10)</f>
        <v/>
      </c>
      <c r="AL41" s="40">
        <f>(AK40+AK41)/2/('Inputs'!$B$12*'Inputs'!$B$26)+AJ41</f>
        <v/>
      </c>
      <c r="AM41" s="40">
        <f>'Inputs'!$B$85+AL41+1/'Inputs'!$B$26+'Inputs'!$B$86+'Inputs'!$B$87+'Inputs'!$B$88</f>
        <v/>
      </c>
      <c r="AN41" s="30">
        <f>AF41*AM41</f>
        <v/>
      </c>
    </row>
    <row r="42">
      <c r="A42" s="5" t="inlineStr">
        <is>
          <t>13:30</t>
        </is>
      </c>
      <c r="B42" s="39">
        <f>'Arrival Curve'!$L$31</f>
        <v/>
      </c>
      <c r="C42" s="32">
        <f>'Arrival Curve'!$K$31</f>
        <v/>
      </c>
      <c r="D42" s="26">
        <f>C42/10</f>
        <v/>
      </c>
      <c r="E42" s="40">
        <f>$D42*'Inputs'!$B$34</f>
        <v/>
      </c>
      <c r="F42" s="41">
        <f>E42/'Inputs'!$B$83</f>
        <v/>
      </c>
      <c r="G42" s="41">
        <f>E42/('Inputs'!$B$11*'Inputs'!$B$26)</f>
        <v/>
      </c>
      <c r="H42" s="42">
        <f>IF(E42&gt;0,((MIN(E42,0.95*'Inputs'!$B$11*'Inputs'!$B$26)/'Inputs'!$B$26)^'Inputs'!$B$11/FACT('Inputs'!$B$11)*'Inputs'!$B$11/('Inputs'!$B$11-(MIN(E42,0.95*'Inputs'!$B$11*'Inputs'!$B$26)/'Inputs'!$B$26)))/(SUMPRODUCT(--({0,1,2,3,4,5,6,7,8,9}&lt;'Inputs'!$B$11),(MIN(E42,0.95*'Inputs'!$B$11*'Inputs'!$B$26)/'Inputs'!$B$26)^{0,1,2,3,4,5,6,7,8,9}/FACT({0,1,2,3,4,5,6,7,8,9}))+((MIN(E42,0.95*'Inputs'!$B$11*'Inputs'!$B$26)/'Inputs'!$B$26)^'Inputs'!$B$11/FACT('Inputs'!$B$11)*'Inputs'!$B$11/('Inputs'!$B$11-(MIN(E42,0.95*'Inputs'!$B$11*'Inputs'!$B$26)/'Inputs'!$B$26)))),0)</f>
        <v/>
      </c>
      <c r="I42" s="42">
        <f>IF(E42&gt;0,H42/('Inputs'!$B$11*'Inputs'!$B$26-MIN(E42,0.95*'Inputs'!$B$11*'Inputs'!$B$26)),0)</f>
        <v/>
      </c>
      <c r="J42" s="32">
        <f>MAX(0,J41+(E42-'Inputs'!$B$11*'Inputs'!$B$26)*10)</f>
        <v/>
      </c>
      <c r="K42" s="40">
        <f>(J41+J42)/2/('Inputs'!$B$11*'Inputs'!$B$26)+I42</f>
        <v/>
      </c>
      <c r="L42" s="40">
        <f>'Inputs'!$B$85+K42+1/'Inputs'!$B$26+'Inputs'!$B$86+'Inputs'!$B$87+'Inputs'!$B$88</f>
        <v/>
      </c>
      <c r="M42" s="30">
        <f>E42*L42</f>
        <v/>
      </c>
      <c r="N42" s="40">
        <f>$D42*(1-'Inputs'!$B$34)</f>
        <v/>
      </c>
      <c r="O42" s="41">
        <f>N42/'Inputs'!$B$84</f>
        <v/>
      </c>
      <c r="P42" s="41">
        <f>N42/('Inputs'!$B$12*'Inputs'!$B$26)</f>
        <v/>
      </c>
      <c r="Q42" s="42">
        <f>IF(N42&gt;0,((MIN(N42,0.95*'Inputs'!$B$12*'Inputs'!$B$26)/'Inputs'!$B$26)^'Inputs'!$B$12/FACT('Inputs'!$B$12)*'Inputs'!$B$12/('Inputs'!$B$12-(MIN(N42,0.95*'Inputs'!$B$12*'Inputs'!$B$26)/'Inputs'!$B$26)))/(SUMPRODUCT(--({0,1,2,3,4,5,6,7,8,9}&lt;'Inputs'!$B$12),(MIN(N42,0.95*'Inputs'!$B$12*'Inputs'!$B$26)/'Inputs'!$B$26)^{0,1,2,3,4,5,6,7,8,9}/FACT({0,1,2,3,4,5,6,7,8,9}))+((MIN(N42,0.95*'Inputs'!$B$12*'Inputs'!$B$26)/'Inputs'!$B$26)^'Inputs'!$B$12/FACT('Inputs'!$B$12)*'Inputs'!$B$12/('Inputs'!$B$12-(MIN(N42,0.95*'Inputs'!$B$12*'Inputs'!$B$26)/'Inputs'!$B$26)))),0)</f>
        <v/>
      </c>
      <c r="R42" s="42">
        <f>IF(N42&gt;0,Q42/('Inputs'!$B$12*'Inputs'!$B$26-MIN(N42,0.95*'Inputs'!$B$12*'Inputs'!$B$26)),0)</f>
        <v/>
      </c>
      <c r="S42" s="32">
        <f>MAX(0,S41+(N42-'Inputs'!$B$12*'Inputs'!$B$26)*10)</f>
        <v/>
      </c>
      <c r="T42" s="40">
        <f>(S41+S42)/2/('Inputs'!$B$12*'Inputs'!$B$26)+R42</f>
        <v/>
      </c>
      <c r="U42" s="40">
        <f>'Inputs'!$B$85+T42+1/'Inputs'!$B$26+'Inputs'!$B$86+'Inputs'!$B$87+'Inputs'!$B$88</f>
        <v/>
      </c>
      <c r="V42" s="30">
        <f>N42*U42</f>
        <v/>
      </c>
      <c r="W42" s="40">
        <f>$D42*$E$26</f>
        <v/>
      </c>
      <c r="X42" s="41">
        <f>W42/'Inputs'!$B$83</f>
        <v/>
      </c>
      <c r="Y42" s="41">
        <f>W42/('Inputs'!$B$11*'Inputs'!$B$26)</f>
        <v/>
      </c>
      <c r="Z42" s="42">
        <f>IF(W42&gt;0,((MIN(W42,0.95*'Inputs'!$B$11*'Inputs'!$B$26)/'Inputs'!$B$26)^'Inputs'!$B$11/FACT('Inputs'!$B$11)*'Inputs'!$B$11/('Inputs'!$B$11-(MIN(W42,0.95*'Inputs'!$B$11*'Inputs'!$B$26)/'Inputs'!$B$26)))/(SUMPRODUCT(--({0,1,2,3,4,5,6,7,8,9}&lt;'Inputs'!$B$11),(MIN(W42,0.95*'Inputs'!$B$11*'Inputs'!$B$26)/'Inputs'!$B$26)^{0,1,2,3,4,5,6,7,8,9}/FACT({0,1,2,3,4,5,6,7,8,9}))+((MIN(W42,0.95*'Inputs'!$B$11*'Inputs'!$B$26)/'Inputs'!$B$26)^'Inputs'!$B$11/FACT('Inputs'!$B$11)*'Inputs'!$B$11/('Inputs'!$B$11-(MIN(W42,0.95*'Inputs'!$B$11*'Inputs'!$B$26)/'Inputs'!$B$26)))),0)</f>
        <v/>
      </c>
      <c r="AA42" s="42">
        <f>IF(W42&gt;0,Z42/('Inputs'!$B$11*'Inputs'!$B$26-MIN(W42,0.95*'Inputs'!$B$11*'Inputs'!$B$26)),0)</f>
        <v/>
      </c>
      <c r="AB42" s="32">
        <f>MAX(0,AB41+(W42-'Inputs'!$B$11*'Inputs'!$B$26)*10)</f>
        <v/>
      </c>
      <c r="AC42" s="40">
        <f>(AB41+AB42)/2/('Inputs'!$B$11*'Inputs'!$B$26)+AA42</f>
        <v/>
      </c>
      <c r="AD42" s="40">
        <f>'Inputs'!$B$85+AC42+1/'Inputs'!$B$26+'Inputs'!$B$86+'Inputs'!$B$87+'Inputs'!$B$88</f>
        <v/>
      </c>
      <c r="AE42" s="30">
        <f>W42*AD42</f>
        <v/>
      </c>
      <c r="AF42" s="40">
        <f>$D42*(1-$E$26)</f>
        <v/>
      </c>
      <c r="AG42" s="41">
        <f>AF42/'Inputs'!$B$84</f>
        <v/>
      </c>
      <c r="AH42" s="41">
        <f>AF42/('Inputs'!$B$12*'Inputs'!$B$26)</f>
        <v/>
      </c>
      <c r="AI42" s="42">
        <f>IF(AF42&gt;0,((MIN(AF42,0.95*'Inputs'!$B$12*'Inputs'!$B$26)/'Inputs'!$B$26)^'Inputs'!$B$12/FACT('Inputs'!$B$12)*'Inputs'!$B$12/('Inputs'!$B$12-(MIN(AF42,0.95*'Inputs'!$B$12*'Inputs'!$B$26)/'Inputs'!$B$26)))/(SUMPRODUCT(--({0,1,2,3,4,5,6,7,8,9}&lt;'Inputs'!$B$12),(MIN(AF42,0.95*'Inputs'!$B$12*'Inputs'!$B$26)/'Inputs'!$B$26)^{0,1,2,3,4,5,6,7,8,9}/FACT({0,1,2,3,4,5,6,7,8,9}))+((MIN(AF42,0.95*'Inputs'!$B$12*'Inputs'!$B$26)/'Inputs'!$B$26)^'Inputs'!$B$12/FACT('Inputs'!$B$12)*'Inputs'!$B$12/('Inputs'!$B$12-(MIN(AF42,0.95*'Inputs'!$B$12*'Inputs'!$B$26)/'Inputs'!$B$26)))),0)</f>
        <v/>
      </c>
      <c r="AJ42" s="42">
        <f>IF(AF42&gt;0,AI42/('Inputs'!$B$12*'Inputs'!$B$26-MIN(AF42,0.95*'Inputs'!$B$12*'Inputs'!$B$26)),0)</f>
        <v/>
      </c>
      <c r="AK42" s="32">
        <f>MAX(0,AK41+(AF42-'Inputs'!$B$12*'Inputs'!$B$26)*10)</f>
        <v/>
      </c>
      <c r="AL42" s="40">
        <f>(AK41+AK42)/2/('Inputs'!$B$12*'Inputs'!$B$26)+AJ42</f>
        <v/>
      </c>
      <c r="AM42" s="40">
        <f>'Inputs'!$B$85+AL42+1/'Inputs'!$B$26+'Inputs'!$B$86+'Inputs'!$B$87+'Inputs'!$B$88</f>
        <v/>
      </c>
      <c r="AN42" s="30">
        <f>AF42*AM42</f>
        <v/>
      </c>
    </row>
    <row r="43">
      <c r="A43" s="5" t="inlineStr">
        <is>
          <t>13:40</t>
        </is>
      </c>
      <c r="B43" s="39">
        <f>'Arrival Curve'!$L$32</f>
        <v/>
      </c>
      <c r="C43" s="32">
        <f>'Arrival Curve'!$K$32</f>
        <v/>
      </c>
      <c r="D43" s="26">
        <f>C43/10</f>
        <v/>
      </c>
      <c r="E43" s="40">
        <f>$D43*'Inputs'!$B$34</f>
        <v/>
      </c>
      <c r="F43" s="41">
        <f>E43/'Inputs'!$B$83</f>
        <v/>
      </c>
      <c r="G43" s="41">
        <f>E43/('Inputs'!$B$11*'Inputs'!$B$26)</f>
        <v/>
      </c>
      <c r="H43" s="42">
        <f>IF(E43&gt;0,((MIN(E43,0.95*'Inputs'!$B$11*'Inputs'!$B$26)/'Inputs'!$B$26)^'Inputs'!$B$11/FACT('Inputs'!$B$11)*'Inputs'!$B$11/('Inputs'!$B$11-(MIN(E43,0.95*'Inputs'!$B$11*'Inputs'!$B$26)/'Inputs'!$B$26)))/(SUMPRODUCT(--({0,1,2,3,4,5,6,7,8,9}&lt;'Inputs'!$B$11),(MIN(E43,0.95*'Inputs'!$B$11*'Inputs'!$B$26)/'Inputs'!$B$26)^{0,1,2,3,4,5,6,7,8,9}/FACT({0,1,2,3,4,5,6,7,8,9}))+((MIN(E43,0.95*'Inputs'!$B$11*'Inputs'!$B$26)/'Inputs'!$B$26)^'Inputs'!$B$11/FACT('Inputs'!$B$11)*'Inputs'!$B$11/('Inputs'!$B$11-(MIN(E43,0.95*'Inputs'!$B$11*'Inputs'!$B$26)/'Inputs'!$B$26)))),0)</f>
        <v/>
      </c>
      <c r="I43" s="42">
        <f>IF(E43&gt;0,H43/('Inputs'!$B$11*'Inputs'!$B$26-MIN(E43,0.95*'Inputs'!$B$11*'Inputs'!$B$26)),0)</f>
        <v/>
      </c>
      <c r="J43" s="32">
        <f>MAX(0,J42+(E43-'Inputs'!$B$11*'Inputs'!$B$26)*10)</f>
        <v/>
      </c>
      <c r="K43" s="40">
        <f>(J42+J43)/2/('Inputs'!$B$11*'Inputs'!$B$26)+I43</f>
        <v/>
      </c>
      <c r="L43" s="40">
        <f>'Inputs'!$B$85+K43+1/'Inputs'!$B$26+'Inputs'!$B$86+'Inputs'!$B$87+'Inputs'!$B$88</f>
        <v/>
      </c>
      <c r="M43" s="30">
        <f>E43*L43</f>
        <v/>
      </c>
      <c r="N43" s="40">
        <f>$D43*(1-'Inputs'!$B$34)</f>
        <v/>
      </c>
      <c r="O43" s="41">
        <f>N43/'Inputs'!$B$84</f>
        <v/>
      </c>
      <c r="P43" s="41">
        <f>N43/('Inputs'!$B$12*'Inputs'!$B$26)</f>
        <v/>
      </c>
      <c r="Q43" s="42">
        <f>IF(N43&gt;0,((MIN(N43,0.95*'Inputs'!$B$12*'Inputs'!$B$26)/'Inputs'!$B$26)^'Inputs'!$B$12/FACT('Inputs'!$B$12)*'Inputs'!$B$12/('Inputs'!$B$12-(MIN(N43,0.95*'Inputs'!$B$12*'Inputs'!$B$26)/'Inputs'!$B$26)))/(SUMPRODUCT(--({0,1,2,3,4,5,6,7,8,9}&lt;'Inputs'!$B$12),(MIN(N43,0.95*'Inputs'!$B$12*'Inputs'!$B$26)/'Inputs'!$B$26)^{0,1,2,3,4,5,6,7,8,9}/FACT({0,1,2,3,4,5,6,7,8,9}))+((MIN(N43,0.95*'Inputs'!$B$12*'Inputs'!$B$26)/'Inputs'!$B$26)^'Inputs'!$B$12/FACT('Inputs'!$B$12)*'Inputs'!$B$12/('Inputs'!$B$12-(MIN(N43,0.95*'Inputs'!$B$12*'Inputs'!$B$26)/'Inputs'!$B$26)))),0)</f>
        <v/>
      </c>
      <c r="R43" s="42">
        <f>IF(N43&gt;0,Q43/('Inputs'!$B$12*'Inputs'!$B$26-MIN(N43,0.95*'Inputs'!$B$12*'Inputs'!$B$26)),0)</f>
        <v/>
      </c>
      <c r="S43" s="32">
        <f>MAX(0,S42+(N43-'Inputs'!$B$12*'Inputs'!$B$26)*10)</f>
        <v/>
      </c>
      <c r="T43" s="40">
        <f>(S42+S43)/2/('Inputs'!$B$12*'Inputs'!$B$26)+R43</f>
        <v/>
      </c>
      <c r="U43" s="40">
        <f>'Inputs'!$B$85+T43+1/'Inputs'!$B$26+'Inputs'!$B$86+'Inputs'!$B$87+'Inputs'!$B$88</f>
        <v/>
      </c>
      <c r="V43" s="30">
        <f>N43*U43</f>
        <v/>
      </c>
      <c r="W43" s="40">
        <f>$D43*$E$26</f>
        <v/>
      </c>
      <c r="X43" s="41">
        <f>W43/'Inputs'!$B$83</f>
        <v/>
      </c>
      <c r="Y43" s="41">
        <f>W43/('Inputs'!$B$11*'Inputs'!$B$26)</f>
        <v/>
      </c>
      <c r="Z43" s="42">
        <f>IF(W43&gt;0,((MIN(W43,0.95*'Inputs'!$B$11*'Inputs'!$B$26)/'Inputs'!$B$26)^'Inputs'!$B$11/FACT('Inputs'!$B$11)*'Inputs'!$B$11/('Inputs'!$B$11-(MIN(W43,0.95*'Inputs'!$B$11*'Inputs'!$B$26)/'Inputs'!$B$26)))/(SUMPRODUCT(--({0,1,2,3,4,5,6,7,8,9}&lt;'Inputs'!$B$11),(MIN(W43,0.95*'Inputs'!$B$11*'Inputs'!$B$26)/'Inputs'!$B$26)^{0,1,2,3,4,5,6,7,8,9}/FACT({0,1,2,3,4,5,6,7,8,9}))+((MIN(W43,0.95*'Inputs'!$B$11*'Inputs'!$B$26)/'Inputs'!$B$26)^'Inputs'!$B$11/FACT('Inputs'!$B$11)*'Inputs'!$B$11/('Inputs'!$B$11-(MIN(W43,0.95*'Inputs'!$B$11*'Inputs'!$B$26)/'Inputs'!$B$26)))),0)</f>
        <v/>
      </c>
      <c r="AA43" s="42">
        <f>IF(W43&gt;0,Z43/('Inputs'!$B$11*'Inputs'!$B$26-MIN(W43,0.95*'Inputs'!$B$11*'Inputs'!$B$26)),0)</f>
        <v/>
      </c>
      <c r="AB43" s="32">
        <f>MAX(0,AB42+(W43-'Inputs'!$B$11*'Inputs'!$B$26)*10)</f>
        <v/>
      </c>
      <c r="AC43" s="40">
        <f>(AB42+AB43)/2/('Inputs'!$B$11*'Inputs'!$B$26)+AA43</f>
        <v/>
      </c>
      <c r="AD43" s="40">
        <f>'Inputs'!$B$85+AC43+1/'Inputs'!$B$26+'Inputs'!$B$86+'Inputs'!$B$87+'Inputs'!$B$88</f>
        <v/>
      </c>
      <c r="AE43" s="30">
        <f>W43*AD43</f>
        <v/>
      </c>
      <c r="AF43" s="40">
        <f>$D43*(1-$E$26)</f>
        <v/>
      </c>
      <c r="AG43" s="41">
        <f>AF43/'Inputs'!$B$84</f>
        <v/>
      </c>
      <c r="AH43" s="41">
        <f>AF43/('Inputs'!$B$12*'Inputs'!$B$26)</f>
        <v/>
      </c>
      <c r="AI43" s="42">
        <f>IF(AF43&gt;0,((MIN(AF43,0.95*'Inputs'!$B$12*'Inputs'!$B$26)/'Inputs'!$B$26)^'Inputs'!$B$12/FACT('Inputs'!$B$12)*'Inputs'!$B$12/('Inputs'!$B$12-(MIN(AF43,0.95*'Inputs'!$B$12*'Inputs'!$B$26)/'Inputs'!$B$26)))/(SUMPRODUCT(--({0,1,2,3,4,5,6,7,8,9}&lt;'Inputs'!$B$12),(MIN(AF43,0.95*'Inputs'!$B$12*'Inputs'!$B$26)/'Inputs'!$B$26)^{0,1,2,3,4,5,6,7,8,9}/FACT({0,1,2,3,4,5,6,7,8,9}))+((MIN(AF43,0.95*'Inputs'!$B$12*'Inputs'!$B$26)/'Inputs'!$B$26)^'Inputs'!$B$12/FACT('Inputs'!$B$12)*'Inputs'!$B$12/('Inputs'!$B$12-(MIN(AF43,0.95*'Inputs'!$B$12*'Inputs'!$B$26)/'Inputs'!$B$26)))),0)</f>
        <v/>
      </c>
      <c r="AJ43" s="42">
        <f>IF(AF43&gt;0,AI43/('Inputs'!$B$12*'Inputs'!$B$26-MIN(AF43,0.95*'Inputs'!$B$12*'Inputs'!$B$26)),0)</f>
        <v/>
      </c>
      <c r="AK43" s="32">
        <f>MAX(0,AK42+(AF43-'Inputs'!$B$12*'Inputs'!$B$26)*10)</f>
        <v/>
      </c>
      <c r="AL43" s="40">
        <f>(AK42+AK43)/2/('Inputs'!$B$12*'Inputs'!$B$26)+AJ43</f>
        <v/>
      </c>
      <c r="AM43" s="40">
        <f>'Inputs'!$B$85+AL43+1/'Inputs'!$B$26+'Inputs'!$B$86+'Inputs'!$B$87+'Inputs'!$B$88</f>
        <v/>
      </c>
      <c r="AN43" s="30">
        <f>AF43*AM43</f>
        <v/>
      </c>
    </row>
    <row r="44">
      <c r="A44" s="5" t="inlineStr">
        <is>
          <t>13:50</t>
        </is>
      </c>
      <c r="B44" s="39">
        <f>'Arrival Curve'!$L$33</f>
        <v/>
      </c>
      <c r="C44" s="32">
        <f>'Arrival Curve'!$K$33</f>
        <v/>
      </c>
      <c r="D44" s="26">
        <f>C44/10</f>
        <v/>
      </c>
      <c r="E44" s="40">
        <f>$D44*'Inputs'!$B$34</f>
        <v/>
      </c>
      <c r="F44" s="41">
        <f>E44/'Inputs'!$B$83</f>
        <v/>
      </c>
      <c r="G44" s="41">
        <f>E44/('Inputs'!$B$11*'Inputs'!$B$26)</f>
        <v/>
      </c>
      <c r="H44" s="42">
        <f>IF(E44&gt;0,((MIN(E44,0.95*'Inputs'!$B$11*'Inputs'!$B$26)/'Inputs'!$B$26)^'Inputs'!$B$11/FACT('Inputs'!$B$11)*'Inputs'!$B$11/('Inputs'!$B$11-(MIN(E44,0.95*'Inputs'!$B$11*'Inputs'!$B$26)/'Inputs'!$B$26)))/(SUMPRODUCT(--({0,1,2,3,4,5,6,7,8,9}&lt;'Inputs'!$B$11),(MIN(E44,0.95*'Inputs'!$B$11*'Inputs'!$B$26)/'Inputs'!$B$26)^{0,1,2,3,4,5,6,7,8,9}/FACT({0,1,2,3,4,5,6,7,8,9}))+((MIN(E44,0.95*'Inputs'!$B$11*'Inputs'!$B$26)/'Inputs'!$B$26)^'Inputs'!$B$11/FACT('Inputs'!$B$11)*'Inputs'!$B$11/('Inputs'!$B$11-(MIN(E44,0.95*'Inputs'!$B$11*'Inputs'!$B$26)/'Inputs'!$B$26)))),0)</f>
        <v/>
      </c>
      <c r="I44" s="42">
        <f>IF(E44&gt;0,H44/('Inputs'!$B$11*'Inputs'!$B$26-MIN(E44,0.95*'Inputs'!$B$11*'Inputs'!$B$26)),0)</f>
        <v/>
      </c>
      <c r="J44" s="32">
        <f>MAX(0,J43+(E44-'Inputs'!$B$11*'Inputs'!$B$26)*10)</f>
        <v/>
      </c>
      <c r="K44" s="40">
        <f>(J43+J44)/2/('Inputs'!$B$11*'Inputs'!$B$26)+I44</f>
        <v/>
      </c>
      <c r="L44" s="40">
        <f>'Inputs'!$B$85+K44+1/'Inputs'!$B$26+'Inputs'!$B$86+'Inputs'!$B$87+'Inputs'!$B$88</f>
        <v/>
      </c>
      <c r="M44" s="30">
        <f>E44*L44</f>
        <v/>
      </c>
      <c r="N44" s="40">
        <f>$D44*(1-'Inputs'!$B$34)</f>
        <v/>
      </c>
      <c r="O44" s="41">
        <f>N44/'Inputs'!$B$84</f>
        <v/>
      </c>
      <c r="P44" s="41">
        <f>N44/('Inputs'!$B$12*'Inputs'!$B$26)</f>
        <v/>
      </c>
      <c r="Q44" s="42">
        <f>IF(N44&gt;0,((MIN(N44,0.95*'Inputs'!$B$12*'Inputs'!$B$26)/'Inputs'!$B$26)^'Inputs'!$B$12/FACT('Inputs'!$B$12)*'Inputs'!$B$12/('Inputs'!$B$12-(MIN(N44,0.95*'Inputs'!$B$12*'Inputs'!$B$26)/'Inputs'!$B$26)))/(SUMPRODUCT(--({0,1,2,3,4,5,6,7,8,9}&lt;'Inputs'!$B$12),(MIN(N44,0.95*'Inputs'!$B$12*'Inputs'!$B$26)/'Inputs'!$B$26)^{0,1,2,3,4,5,6,7,8,9}/FACT({0,1,2,3,4,5,6,7,8,9}))+((MIN(N44,0.95*'Inputs'!$B$12*'Inputs'!$B$26)/'Inputs'!$B$26)^'Inputs'!$B$12/FACT('Inputs'!$B$12)*'Inputs'!$B$12/('Inputs'!$B$12-(MIN(N44,0.95*'Inputs'!$B$12*'Inputs'!$B$26)/'Inputs'!$B$26)))),0)</f>
        <v/>
      </c>
      <c r="R44" s="42">
        <f>IF(N44&gt;0,Q44/('Inputs'!$B$12*'Inputs'!$B$26-MIN(N44,0.95*'Inputs'!$B$12*'Inputs'!$B$26)),0)</f>
        <v/>
      </c>
      <c r="S44" s="32">
        <f>MAX(0,S43+(N44-'Inputs'!$B$12*'Inputs'!$B$26)*10)</f>
        <v/>
      </c>
      <c r="T44" s="40">
        <f>(S43+S44)/2/('Inputs'!$B$12*'Inputs'!$B$26)+R44</f>
        <v/>
      </c>
      <c r="U44" s="40">
        <f>'Inputs'!$B$85+T44+1/'Inputs'!$B$26+'Inputs'!$B$86+'Inputs'!$B$87+'Inputs'!$B$88</f>
        <v/>
      </c>
      <c r="V44" s="30">
        <f>N44*U44</f>
        <v/>
      </c>
      <c r="W44" s="40">
        <f>$D44*$E$26</f>
        <v/>
      </c>
      <c r="X44" s="41">
        <f>W44/'Inputs'!$B$83</f>
        <v/>
      </c>
      <c r="Y44" s="41">
        <f>W44/('Inputs'!$B$11*'Inputs'!$B$26)</f>
        <v/>
      </c>
      <c r="Z44" s="42">
        <f>IF(W44&gt;0,((MIN(W44,0.95*'Inputs'!$B$11*'Inputs'!$B$26)/'Inputs'!$B$26)^'Inputs'!$B$11/FACT('Inputs'!$B$11)*'Inputs'!$B$11/('Inputs'!$B$11-(MIN(W44,0.95*'Inputs'!$B$11*'Inputs'!$B$26)/'Inputs'!$B$26)))/(SUMPRODUCT(--({0,1,2,3,4,5,6,7,8,9}&lt;'Inputs'!$B$11),(MIN(W44,0.95*'Inputs'!$B$11*'Inputs'!$B$26)/'Inputs'!$B$26)^{0,1,2,3,4,5,6,7,8,9}/FACT({0,1,2,3,4,5,6,7,8,9}))+((MIN(W44,0.95*'Inputs'!$B$11*'Inputs'!$B$26)/'Inputs'!$B$26)^'Inputs'!$B$11/FACT('Inputs'!$B$11)*'Inputs'!$B$11/('Inputs'!$B$11-(MIN(W44,0.95*'Inputs'!$B$11*'Inputs'!$B$26)/'Inputs'!$B$26)))),0)</f>
        <v/>
      </c>
      <c r="AA44" s="42">
        <f>IF(W44&gt;0,Z44/('Inputs'!$B$11*'Inputs'!$B$26-MIN(W44,0.95*'Inputs'!$B$11*'Inputs'!$B$26)),0)</f>
        <v/>
      </c>
      <c r="AB44" s="32">
        <f>MAX(0,AB43+(W44-'Inputs'!$B$11*'Inputs'!$B$26)*10)</f>
        <v/>
      </c>
      <c r="AC44" s="40">
        <f>(AB43+AB44)/2/('Inputs'!$B$11*'Inputs'!$B$26)+AA44</f>
        <v/>
      </c>
      <c r="AD44" s="40">
        <f>'Inputs'!$B$85+AC44+1/'Inputs'!$B$26+'Inputs'!$B$86+'Inputs'!$B$87+'Inputs'!$B$88</f>
        <v/>
      </c>
      <c r="AE44" s="30">
        <f>W44*AD44</f>
        <v/>
      </c>
      <c r="AF44" s="40">
        <f>$D44*(1-$E$26)</f>
        <v/>
      </c>
      <c r="AG44" s="41">
        <f>AF44/'Inputs'!$B$84</f>
        <v/>
      </c>
      <c r="AH44" s="41">
        <f>AF44/('Inputs'!$B$12*'Inputs'!$B$26)</f>
        <v/>
      </c>
      <c r="AI44" s="42">
        <f>IF(AF44&gt;0,((MIN(AF44,0.95*'Inputs'!$B$12*'Inputs'!$B$26)/'Inputs'!$B$26)^'Inputs'!$B$12/FACT('Inputs'!$B$12)*'Inputs'!$B$12/('Inputs'!$B$12-(MIN(AF44,0.95*'Inputs'!$B$12*'Inputs'!$B$26)/'Inputs'!$B$26)))/(SUMPRODUCT(--({0,1,2,3,4,5,6,7,8,9}&lt;'Inputs'!$B$12),(MIN(AF44,0.95*'Inputs'!$B$12*'Inputs'!$B$26)/'Inputs'!$B$26)^{0,1,2,3,4,5,6,7,8,9}/FACT({0,1,2,3,4,5,6,7,8,9}))+((MIN(AF44,0.95*'Inputs'!$B$12*'Inputs'!$B$26)/'Inputs'!$B$26)^'Inputs'!$B$12/FACT('Inputs'!$B$12)*'Inputs'!$B$12/('Inputs'!$B$12-(MIN(AF44,0.95*'Inputs'!$B$12*'Inputs'!$B$26)/'Inputs'!$B$26)))),0)</f>
        <v/>
      </c>
      <c r="AJ44" s="42">
        <f>IF(AF44&gt;0,AI44/('Inputs'!$B$12*'Inputs'!$B$26-MIN(AF44,0.95*'Inputs'!$B$12*'Inputs'!$B$26)),0)</f>
        <v/>
      </c>
      <c r="AK44" s="32">
        <f>MAX(0,AK43+(AF44-'Inputs'!$B$12*'Inputs'!$B$26)*10)</f>
        <v/>
      </c>
      <c r="AL44" s="40">
        <f>(AK43+AK44)/2/('Inputs'!$B$12*'Inputs'!$B$26)+AJ44</f>
        <v/>
      </c>
      <c r="AM44" s="40">
        <f>'Inputs'!$B$85+AL44+1/'Inputs'!$B$26+'Inputs'!$B$86+'Inputs'!$B$87+'Inputs'!$B$88</f>
        <v/>
      </c>
      <c r="AN44" s="30">
        <f>AF44*AM44</f>
        <v/>
      </c>
    </row>
    <row r="45">
      <c r="A45" s="5" t="inlineStr">
        <is>
          <t>14:00</t>
        </is>
      </c>
      <c r="B45" s="39">
        <f>'Arrival Curve'!$L$34</f>
        <v/>
      </c>
      <c r="C45" s="32">
        <f>'Arrival Curve'!$K$34</f>
        <v/>
      </c>
      <c r="D45" s="26">
        <f>C45/10</f>
        <v/>
      </c>
      <c r="E45" s="40">
        <f>$D45*'Inputs'!$B$34</f>
        <v/>
      </c>
      <c r="F45" s="41">
        <f>E45/'Inputs'!$B$83</f>
        <v/>
      </c>
      <c r="G45" s="41">
        <f>E45/('Inputs'!$B$11*'Inputs'!$B$26)</f>
        <v/>
      </c>
      <c r="H45" s="42">
        <f>IF(E45&gt;0,((MIN(E45,0.95*'Inputs'!$B$11*'Inputs'!$B$26)/'Inputs'!$B$26)^'Inputs'!$B$11/FACT('Inputs'!$B$11)*'Inputs'!$B$11/('Inputs'!$B$11-(MIN(E45,0.95*'Inputs'!$B$11*'Inputs'!$B$26)/'Inputs'!$B$26)))/(SUMPRODUCT(--({0,1,2,3,4,5,6,7,8,9}&lt;'Inputs'!$B$11),(MIN(E45,0.95*'Inputs'!$B$11*'Inputs'!$B$26)/'Inputs'!$B$26)^{0,1,2,3,4,5,6,7,8,9}/FACT({0,1,2,3,4,5,6,7,8,9}))+((MIN(E45,0.95*'Inputs'!$B$11*'Inputs'!$B$26)/'Inputs'!$B$26)^'Inputs'!$B$11/FACT('Inputs'!$B$11)*'Inputs'!$B$11/('Inputs'!$B$11-(MIN(E45,0.95*'Inputs'!$B$11*'Inputs'!$B$26)/'Inputs'!$B$26)))),0)</f>
        <v/>
      </c>
      <c r="I45" s="42">
        <f>IF(E45&gt;0,H45/('Inputs'!$B$11*'Inputs'!$B$26-MIN(E45,0.95*'Inputs'!$B$11*'Inputs'!$B$26)),0)</f>
        <v/>
      </c>
      <c r="J45" s="32">
        <f>MAX(0,J44+(E45-'Inputs'!$B$11*'Inputs'!$B$26)*10)</f>
        <v/>
      </c>
      <c r="K45" s="40">
        <f>(J44+J45)/2/('Inputs'!$B$11*'Inputs'!$B$26)+I45</f>
        <v/>
      </c>
      <c r="L45" s="40">
        <f>'Inputs'!$B$85+K45+1/'Inputs'!$B$26+'Inputs'!$B$86+'Inputs'!$B$87+'Inputs'!$B$88</f>
        <v/>
      </c>
      <c r="M45" s="30">
        <f>E45*L45</f>
        <v/>
      </c>
      <c r="N45" s="40">
        <f>$D45*(1-'Inputs'!$B$34)</f>
        <v/>
      </c>
      <c r="O45" s="41">
        <f>N45/'Inputs'!$B$84</f>
        <v/>
      </c>
      <c r="P45" s="41">
        <f>N45/('Inputs'!$B$12*'Inputs'!$B$26)</f>
        <v/>
      </c>
      <c r="Q45" s="42">
        <f>IF(N45&gt;0,((MIN(N45,0.95*'Inputs'!$B$12*'Inputs'!$B$26)/'Inputs'!$B$26)^'Inputs'!$B$12/FACT('Inputs'!$B$12)*'Inputs'!$B$12/('Inputs'!$B$12-(MIN(N45,0.95*'Inputs'!$B$12*'Inputs'!$B$26)/'Inputs'!$B$26)))/(SUMPRODUCT(--({0,1,2,3,4,5,6,7,8,9}&lt;'Inputs'!$B$12),(MIN(N45,0.95*'Inputs'!$B$12*'Inputs'!$B$26)/'Inputs'!$B$26)^{0,1,2,3,4,5,6,7,8,9}/FACT({0,1,2,3,4,5,6,7,8,9}))+((MIN(N45,0.95*'Inputs'!$B$12*'Inputs'!$B$26)/'Inputs'!$B$26)^'Inputs'!$B$12/FACT('Inputs'!$B$12)*'Inputs'!$B$12/('Inputs'!$B$12-(MIN(N45,0.95*'Inputs'!$B$12*'Inputs'!$B$26)/'Inputs'!$B$26)))),0)</f>
        <v/>
      </c>
      <c r="R45" s="42">
        <f>IF(N45&gt;0,Q45/('Inputs'!$B$12*'Inputs'!$B$26-MIN(N45,0.95*'Inputs'!$B$12*'Inputs'!$B$26)),0)</f>
        <v/>
      </c>
      <c r="S45" s="32">
        <f>MAX(0,S44+(N45-'Inputs'!$B$12*'Inputs'!$B$26)*10)</f>
        <v/>
      </c>
      <c r="T45" s="40">
        <f>(S44+S45)/2/('Inputs'!$B$12*'Inputs'!$B$26)+R45</f>
        <v/>
      </c>
      <c r="U45" s="40">
        <f>'Inputs'!$B$85+T45+1/'Inputs'!$B$26+'Inputs'!$B$86+'Inputs'!$B$87+'Inputs'!$B$88</f>
        <v/>
      </c>
      <c r="V45" s="30">
        <f>N45*U45</f>
        <v/>
      </c>
      <c r="W45" s="40">
        <f>$D45*$E$26</f>
        <v/>
      </c>
      <c r="X45" s="41">
        <f>W45/'Inputs'!$B$83</f>
        <v/>
      </c>
      <c r="Y45" s="41">
        <f>W45/('Inputs'!$B$11*'Inputs'!$B$26)</f>
        <v/>
      </c>
      <c r="Z45" s="42">
        <f>IF(W45&gt;0,((MIN(W45,0.95*'Inputs'!$B$11*'Inputs'!$B$26)/'Inputs'!$B$26)^'Inputs'!$B$11/FACT('Inputs'!$B$11)*'Inputs'!$B$11/('Inputs'!$B$11-(MIN(W45,0.95*'Inputs'!$B$11*'Inputs'!$B$26)/'Inputs'!$B$26)))/(SUMPRODUCT(--({0,1,2,3,4,5,6,7,8,9}&lt;'Inputs'!$B$11),(MIN(W45,0.95*'Inputs'!$B$11*'Inputs'!$B$26)/'Inputs'!$B$26)^{0,1,2,3,4,5,6,7,8,9}/FACT({0,1,2,3,4,5,6,7,8,9}))+((MIN(W45,0.95*'Inputs'!$B$11*'Inputs'!$B$26)/'Inputs'!$B$26)^'Inputs'!$B$11/FACT('Inputs'!$B$11)*'Inputs'!$B$11/('Inputs'!$B$11-(MIN(W45,0.95*'Inputs'!$B$11*'Inputs'!$B$26)/'Inputs'!$B$26)))),0)</f>
        <v/>
      </c>
      <c r="AA45" s="42">
        <f>IF(W45&gt;0,Z45/('Inputs'!$B$11*'Inputs'!$B$26-MIN(W45,0.95*'Inputs'!$B$11*'Inputs'!$B$26)),0)</f>
        <v/>
      </c>
      <c r="AB45" s="32">
        <f>MAX(0,AB44+(W45-'Inputs'!$B$11*'Inputs'!$B$26)*10)</f>
        <v/>
      </c>
      <c r="AC45" s="40">
        <f>(AB44+AB45)/2/('Inputs'!$B$11*'Inputs'!$B$26)+AA45</f>
        <v/>
      </c>
      <c r="AD45" s="40">
        <f>'Inputs'!$B$85+AC45+1/'Inputs'!$B$26+'Inputs'!$B$86+'Inputs'!$B$87+'Inputs'!$B$88</f>
        <v/>
      </c>
      <c r="AE45" s="30">
        <f>W45*AD45</f>
        <v/>
      </c>
      <c r="AF45" s="40">
        <f>$D45*(1-$E$26)</f>
        <v/>
      </c>
      <c r="AG45" s="41">
        <f>AF45/'Inputs'!$B$84</f>
        <v/>
      </c>
      <c r="AH45" s="41">
        <f>AF45/('Inputs'!$B$12*'Inputs'!$B$26)</f>
        <v/>
      </c>
      <c r="AI45" s="42">
        <f>IF(AF45&gt;0,((MIN(AF45,0.95*'Inputs'!$B$12*'Inputs'!$B$26)/'Inputs'!$B$26)^'Inputs'!$B$12/FACT('Inputs'!$B$12)*'Inputs'!$B$12/('Inputs'!$B$12-(MIN(AF45,0.95*'Inputs'!$B$12*'Inputs'!$B$26)/'Inputs'!$B$26)))/(SUMPRODUCT(--({0,1,2,3,4,5,6,7,8,9}&lt;'Inputs'!$B$12),(MIN(AF45,0.95*'Inputs'!$B$12*'Inputs'!$B$26)/'Inputs'!$B$26)^{0,1,2,3,4,5,6,7,8,9}/FACT({0,1,2,3,4,5,6,7,8,9}))+((MIN(AF45,0.95*'Inputs'!$B$12*'Inputs'!$B$26)/'Inputs'!$B$26)^'Inputs'!$B$12/FACT('Inputs'!$B$12)*'Inputs'!$B$12/('Inputs'!$B$12-(MIN(AF45,0.95*'Inputs'!$B$12*'Inputs'!$B$26)/'Inputs'!$B$26)))),0)</f>
        <v/>
      </c>
      <c r="AJ45" s="42">
        <f>IF(AF45&gt;0,AI45/('Inputs'!$B$12*'Inputs'!$B$26-MIN(AF45,0.95*'Inputs'!$B$12*'Inputs'!$B$26)),0)</f>
        <v/>
      </c>
      <c r="AK45" s="32">
        <f>MAX(0,AK44+(AF45-'Inputs'!$B$12*'Inputs'!$B$26)*10)</f>
        <v/>
      </c>
      <c r="AL45" s="40">
        <f>(AK44+AK45)/2/('Inputs'!$B$12*'Inputs'!$B$26)+AJ45</f>
        <v/>
      </c>
      <c r="AM45" s="40">
        <f>'Inputs'!$B$85+AL45+1/'Inputs'!$B$26+'Inputs'!$B$86+'Inputs'!$B$87+'Inputs'!$B$88</f>
        <v/>
      </c>
      <c r="AN45" s="30">
        <f>AF45*AM45</f>
        <v/>
      </c>
    </row>
    <row r="46">
      <c r="A46" s="5" t="inlineStr">
        <is>
          <t>14:10</t>
        </is>
      </c>
      <c r="B46" s="39">
        <f>'Arrival Curve'!$L$35</f>
        <v/>
      </c>
      <c r="C46" s="32">
        <f>'Arrival Curve'!$K$35</f>
        <v/>
      </c>
      <c r="D46" s="26">
        <f>C46/10</f>
        <v/>
      </c>
      <c r="E46" s="40">
        <f>$D46*'Inputs'!$B$34</f>
        <v/>
      </c>
      <c r="F46" s="41">
        <f>E46/'Inputs'!$B$83</f>
        <v/>
      </c>
      <c r="G46" s="41">
        <f>E46/('Inputs'!$B$11*'Inputs'!$B$26)</f>
        <v/>
      </c>
      <c r="H46" s="42">
        <f>IF(E46&gt;0,((MIN(E46,0.95*'Inputs'!$B$11*'Inputs'!$B$26)/'Inputs'!$B$26)^'Inputs'!$B$11/FACT('Inputs'!$B$11)*'Inputs'!$B$11/('Inputs'!$B$11-(MIN(E46,0.95*'Inputs'!$B$11*'Inputs'!$B$26)/'Inputs'!$B$26)))/(SUMPRODUCT(--({0,1,2,3,4,5,6,7,8,9}&lt;'Inputs'!$B$11),(MIN(E46,0.95*'Inputs'!$B$11*'Inputs'!$B$26)/'Inputs'!$B$26)^{0,1,2,3,4,5,6,7,8,9}/FACT({0,1,2,3,4,5,6,7,8,9}))+((MIN(E46,0.95*'Inputs'!$B$11*'Inputs'!$B$26)/'Inputs'!$B$26)^'Inputs'!$B$11/FACT('Inputs'!$B$11)*'Inputs'!$B$11/('Inputs'!$B$11-(MIN(E46,0.95*'Inputs'!$B$11*'Inputs'!$B$26)/'Inputs'!$B$26)))),0)</f>
        <v/>
      </c>
      <c r="I46" s="42">
        <f>IF(E46&gt;0,H46/('Inputs'!$B$11*'Inputs'!$B$26-MIN(E46,0.95*'Inputs'!$B$11*'Inputs'!$B$26)),0)</f>
        <v/>
      </c>
      <c r="J46" s="32">
        <f>MAX(0,J45+(E46-'Inputs'!$B$11*'Inputs'!$B$26)*10)</f>
        <v/>
      </c>
      <c r="K46" s="40">
        <f>(J45+J46)/2/('Inputs'!$B$11*'Inputs'!$B$26)+I46</f>
        <v/>
      </c>
      <c r="L46" s="40">
        <f>'Inputs'!$B$85+K46+1/'Inputs'!$B$26+'Inputs'!$B$86+'Inputs'!$B$87+'Inputs'!$B$88</f>
        <v/>
      </c>
      <c r="M46" s="30">
        <f>E46*L46</f>
        <v/>
      </c>
      <c r="N46" s="40">
        <f>$D46*(1-'Inputs'!$B$34)</f>
        <v/>
      </c>
      <c r="O46" s="41">
        <f>N46/'Inputs'!$B$84</f>
        <v/>
      </c>
      <c r="P46" s="41">
        <f>N46/('Inputs'!$B$12*'Inputs'!$B$26)</f>
        <v/>
      </c>
      <c r="Q46" s="42">
        <f>IF(N46&gt;0,((MIN(N46,0.95*'Inputs'!$B$12*'Inputs'!$B$26)/'Inputs'!$B$26)^'Inputs'!$B$12/FACT('Inputs'!$B$12)*'Inputs'!$B$12/('Inputs'!$B$12-(MIN(N46,0.95*'Inputs'!$B$12*'Inputs'!$B$26)/'Inputs'!$B$26)))/(SUMPRODUCT(--({0,1,2,3,4,5,6,7,8,9}&lt;'Inputs'!$B$12),(MIN(N46,0.95*'Inputs'!$B$12*'Inputs'!$B$26)/'Inputs'!$B$26)^{0,1,2,3,4,5,6,7,8,9}/FACT({0,1,2,3,4,5,6,7,8,9}))+((MIN(N46,0.95*'Inputs'!$B$12*'Inputs'!$B$26)/'Inputs'!$B$26)^'Inputs'!$B$12/FACT('Inputs'!$B$12)*'Inputs'!$B$12/('Inputs'!$B$12-(MIN(N46,0.95*'Inputs'!$B$12*'Inputs'!$B$26)/'Inputs'!$B$26)))),0)</f>
        <v/>
      </c>
      <c r="R46" s="42">
        <f>IF(N46&gt;0,Q46/('Inputs'!$B$12*'Inputs'!$B$26-MIN(N46,0.95*'Inputs'!$B$12*'Inputs'!$B$26)),0)</f>
        <v/>
      </c>
      <c r="S46" s="32">
        <f>MAX(0,S45+(N46-'Inputs'!$B$12*'Inputs'!$B$26)*10)</f>
        <v/>
      </c>
      <c r="T46" s="40">
        <f>(S45+S46)/2/('Inputs'!$B$12*'Inputs'!$B$26)+R46</f>
        <v/>
      </c>
      <c r="U46" s="40">
        <f>'Inputs'!$B$85+T46+1/'Inputs'!$B$26+'Inputs'!$B$86+'Inputs'!$B$87+'Inputs'!$B$88</f>
        <v/>
      </c>
      <c r="V46" s="30">
        <f>N46*U46</f>
        <v/>
      </c>
      <c r="W46" s="40">
        <f>$D46*$E$26</f>
        <v/>
      </c>
      <c r="X46" s="41">
        <f>W46/'Inputs'!$B$83</f>
        <v/>
      </c>
      <c r="Y46" s="41">
        <f>W46/('Inputs'!$B$11*'Inputs'!$B$26)</f>
        <v/>
      </c>
      <c r="Z46" s="42">
        <f>IF(W46&gt;0,((MIN(W46,0.95*'Inputs'!$B$11*'Inputs'!$B$26)/'Inputs'!$B$26)^'Inputs'!$B$11/FACT('Inputs'!$B$11)*'Inputs'!$B$11/('Inputs'!$B$11-(MIN(W46,0.95*'Inputs'!$B$11*'Inputs'!$B$26)/'Inputs'!$B$26)))/(SUMPRODUCT(--({0,1,2,3,4,5,6,7,8,9}&lt;'Inputs'!$B$11),(MIN(W46,0.95*'Inputs'!$B$11*'Inputs'!$B$26)/'Inputs'!$B$26)^{0,1,2,3,4,5,6,7,8,9}/FACT({0,1,2,3,4,5,6,7,8,9}))+((MIN(W46,0.95*'Inputs'!$B$11*'Inputs'!$B$26)/'Inputs'!$B$26)^'Inputs'!$B$11/FACT('Inputs'!$B$11)*'Inputs'!$B$11/('Inputs'!$B$11-(MIN(W46,0.95*'Inputs'!$B$11*'Inputs'!$B$26)/'Inputs'!$B$26)))),0)</f>
        <v/>
      </c>
      <c r="AA46" s="42">
        <f>IF(W46&gt;0,Z46/('Inputs'!$B$11*'Inputs'!$B$26-MIN(W46,0.95*'Inputs'!$B$11*'Inputs'!$B$26)),0)</f>
        <v/>
      </c>
      <c r="AB46" s="32">
        <f>MAX(0,AB45+(W46-'Inputs'!$B$11*'Inputs'!$B$26)*10)</f>
        <v/>
      </c>
      <c r="AC46" s="40">
        <f>(AB45+AB46)/2/('Inputs'!$B$11*'Inputs'!$B$26)+AA46</f>
        <v/>
      </c>
      <c r="AD46" s="40">
        <f>'Inputs'!$B$85+AC46+1/'Inputs'!$B$26+'Inputs'!$B$86+'Inputs'!$B$87+'Inputs'!$B$88</f>
        <v/>
      </c>
      <c r="AE46" s="30">
        <f>W46*AD46</f>
        <v/>
      </c>
      <c r="AF46" s="40">
        <f>$D46*(1-$E$26)</f>
        <v/>
      </c>
      <c r="AG46" s="41">
        <f>AF46/'Inputs'!$B$84</f>
        <v/>
      </c>
      <c r="AH46" s="41">
        <f>AF46/('Inputs'!$B$12*'Inputs'!$B$26)</f>
        <v/>
      </c>
      <c r="AI46" s="42">
        <f>IF(AF46&gt;0,((MIN(AF46,0.95*'Inputs'!$B$12*'Inputs'!$B$26)/'Inputs'!$B$26)^'Inputs'!$B$12/FACT('Inputs'!$B$12)*'Inputs'!$B$12/('Inputs'!$B$12-(MIN(AF46,0.95*'Inputs'!$B$12*'Inputs'!$B$26)/'Inputs'!$B$26)))/(SUMPRODUCT(--({0,1,2,3,4,5,6,7,8,9}&lt;'Inputs'!$B$12),(MIN(AF46,0.95*'Inputs'!$B$12*'Inputs'!$B$26)/'Inputs'!$B$26)^{0,1,2,3,4,5,6,7,8,9}/FACT({0,1,2,3,4,5,6,7,8,9}))+((MIN(AF46,0.95*'Inputs'!$B$12*'Inputs'!$B$26)/'Inputs'!$B$26)^'Inputs'!$B$12/FACT('Inputs'!$B$12)*'Inputs'!$B$12/('Inputs'!$B$12-(MIN(AF46,0.95*'Inputs'!$B$12*'Inputs'!$B$26)/'Inputs'!$B$26)))),0)</f>
        <v/>
      </c>
      <c r="AJ46" s="42">
        <f>IF(AF46&gt;0,AI46/('Inputs'!$B$12*'Inputs'!$B$26-MIN(AF46,0.95*'Inputs'!$B$12*'Inputs'!$B$26)),0)</f>
        <v/>
      </c>
      <c r="AK46" s="32">
        <f>MAX(0,AK45+(AF46-'Inputs'!$B$12*'Inputs'!$B$26)*10)</f>
        <v/>
      </c>
      <c r="AL46" s="40">
        <f>(AK45+AK46)/2/('Inputs'!$B$12*'Inputs'!$B$26)+AJ46</f>
        <v/>
      </c>
      <c r="AM46" s="40">
        <f>'Inputs'!$B$85+AL46+1/'Inputs'!$B$26+'Inputs'!$B$86+'Inputs'!$B$87+'Inputs'!$B$88</f>
        <v/>
      </c>
      <c r="AN46" s="30">
        <f>AF46*AM46</f>
        <v/>
      </c>
    </row>
    <row r="47">
      <c r="A47" s="5" t="inlineStr">
        <is>
          <t>14:20</t>
        </is>
      </c>
      <c r="B47" s="39">
        <f>'Arrival Curve'!$L$36</f>
        <v/>
      </c>
      <c r="C47" s="32">
        <f>'Arrival Curve'!$K$36</f>
        <v/>
      </c>
      <c r="D47" s="26">
        <f>C47/10</f>
        <v/>
      </c>
      <c r="E47" s="40">
        <f>$D47*'Inputs'!$B$34</f>
        <v/>
      </c>
      <c r="F47" s="41">
        <f>E47/'Inputs'!$B$83</f>
        <v/>
      </c>
      <c r="G47" s="41">
        <f>E47/('Inputs'!$B$11*'Inputs'!$B$26)</f>
        <v/>
      </c>
      <c r="H47" s="42">
        <f>IF(E47&gt;0,((MIN(E47,0.95*'Inputs'!$B$11*'Inputs'!$B$26)/'Inputs'!$B$26)^'Inputs'!$B$11/FACT('Inputs'!$B$11)*'Inputs'!$B$11/('Inputs'!$B$11-(MIN(E47,0.95*'Inputs'!$B$11*'Inputs'!$B$26)/'Inputs'!$B$26)))/(SUMPRODUCT(--({0,1,2,3,4,5,6,7,8,9}&lt;'Inputs'!$B$11),(MIN(E47,0.95*'Inputs'!$B$11*'Inputs'!$B$26)/'Inputs'!$B$26)^{0,1,2,3,4,5,6,7,8,9}/FACT({0,1,2,3,4,5,6,7,8,9}))+((MIN(E47,0.95*'Inputs'!$B$11*'Inputs'!$B$26)/'Inputs'!$B$26)^'Inputs'!$B$11/FACT('Inputs'!$B$11)*'Inputs'!$B$11/('Inputs'!$B$11-(MIN(E47,0.95*'Inputs'!$B$11*'Inputs'!$B$26)/'Inputs'!$B$26)))),0)</f>
        <v/>
      </c>
      <c r="I47" s="42">
        <f>IF(E47&gt;0,H47/('Inputs'!$B$11*'Inputs'!$B$26-MIN(E47,0.95*'Inputs'!$B$11*'Inputs'!$B$26)),0)</f>
        <v/>
      </c>
      <c r="J47" s="32">
        <f>MAX(0,J46+(E47-'Inputs'!$B$11*'Inputs'!$B$26)*10)</f>
        <v/>
      </c>
      <c r="K47" s="40">
        <f>(J46+J47)/2/('Inputs'!$B$11*'Inputs'!$B$26)+I47</f>
        <v/>
      </c>
      <c r="L47" s="40">
        <f>'Inputs'!$B$85+K47+1/'Inputs'!$B$26+'Inputs'!$B$86+'Inputs'!$B$87+'Inputs'!$B$88</f>
        <v/>
      </c>
      <c r="M47" s="30">
        <f>E47*L47</f>
        <v/>
      </c>
      <c r="N47" s="40">
        <f>$D47*(1-'Inputs'!$B$34)</f>
        <v/>
      </c>
      <c r="O47" s="41">
        <f>N47/'Inputs'!$B$84</f>
        <v/>
      </c>
      <c r="P47" s="41">
        <f>N47/('Inputs'!$B$12*'Inputs'!$B$26)</f>
        <v/>
      </c>
      <c r="Q47" s="42">
        <f>IF(N47&gt;0,((MIN(N47,0.95*'Inputs'!$B$12*'Inputs'!$B$26)/'Inputs'!$B$26)^'Inputs'!$B$12/FACT('Inputs'!$B$12)*'Inputs'!$B$12/('Inputs'!$B$12-(MIN(N47,0.95*'Inputs'!$B$12*'Inputs'!$B$26)/'Inputs'!$B$26)))/(SUMPRODUCT(--({0,1,2,3,4,5,6,7,8,9}&lt;'Inputs'!$B$12),(MIN(N47,0.95*'Inputs'!$B$12*'Inputs'!$B$26)/'Inputs'!$B$26)^{0,1,2,3,4,5,6,7,8,9}/FACT({0,1,2,3,4,5,6,7,8,9}))+((MIN(N47,0.95*'Inputs'!$B$12*'Inputs'!$B$26)/'Inputs'!$B$26)^'Inputs'!$B$12/FACT('Inputs'!$B$12)*'Inputs'!$B$12/('Inputs'!$B$12-(MIN(N47,0.95*'Inputs'!$B$12*'Inputs'!$B$26)/'Inputs'!$B$26)))),0)</f>
        <v/>
      </c>
      <c r="R47" s="42">
        <f>IF(N47&gt;0,Q47/('Inputs'!$B$12*'Inputs'!$B$26-MIN(N47,0.95*'Inputs'!$B$12*'Inputs'!$B$26)),0)</f>
        <v/>
      </c>
      <c r="S47" s="32">
        <f>MAX(0,S46+(N47-'Inputs'!$B$12*'Inputs'!$B$26)*10)</f>
        <v/>
      </c>
      <c r="T47" s="40">
        <f>(S46+S47)/2/('Inputs'!$B$12*'Inputs'!$B$26)+R47</f>
        <v/>
      </c>
      <c r="U47" s="40">
        <f>'Inputs'!$B$85+T47+1/'Inputs'!$B$26+'Inputs'!$B$86+'Inputs'!$B$87+'Inputs'!$B$88</f>
        <v/>
      </c>
      <c r="V47" s="30">
        <f>N47*U47</f>
        <v/>
      </c>
      <c r="W47" s="40">
        <f>$D47*$E$26</f>
        <v/>
      </c>
      <c r="X47" s="41">
        <f>W47/'Inputs'!$B$83</f>
        <v/>
      </c>
      <c r="Y47" s="41">
        <f>W47/('Inputs'!$B$11*'Inputs'!$B$26)</f>
        <v/>
      </c>
      <c r="Z47" s="42">
        <f>IF(W47&gt;0,((MIN(W47,0.95*'Inputs'!$B$11*'Inputs'!$B$26)/'Inputs'!$B$26)^'Inputs'!$B$11/FACT('Inputs'!$B$11)*'Inputs'!$B$11/('Inputs'!$B$11-(MIN(W47,0.95*'Inputs'!$B$11*'Inputs'!$B$26)/'Inputs'!$B$26)))/(SUMPRODUCT(--({0,1,2,3,4,5,6,7,8,9}&lt;'Inputs'!$B$11),(MIN(W47,0.95*'Inputs'!$B$11*'Inputs'!$B$26)/'Inputs'!$B$26)^{0,1,2,3,4,5,6,7,8,9}/FACT({0,1,2,3,4,5,6,7,8,9}))+((MIN(W47,0.95*'Inputs'!$B$11*'Inputs'!$B$26)/'Inputs'!$B$26)^'Inputs'!$B$11/FACT('Inputs'!$B$11)*'Inputs'!$B$11/('Inputs'!$B$11-(MIN(W47,0.95*'Inputs'!$B$11*'Inputs'!$B$26)/'Inputs'!$B$26)))),0)</f>
        <v/>
      </c>
      <c r="AA47" s="42">
        <f>IF(W47&gt;0,Z47/('Inputs'!$B$11*'Inputs'!$B$26-MIN(W47,0.95*'Inputs'!$B$11*'Inputs'!$B$26)),0)</f>
        <v/>
      </c>
      <c r="AB47" s="32">
        <f>MAX(0,AB46+(W47-'Inputs'!$B$11*'Inputs'!$B$26)*10)</f>
        <v/>
      </c>
      <c r="AC47" s="40">
        <f>(AB46+AB47)/2/('Inputs'!$B$11*'Inputs'!$B$26)+AA47</f>
        <v/>
      </c>
      <c r="AD47" s="40">
        <f>'Inputs'!$B$85+AC47+1/'Inputs'!$B$26+'Inputs'!$B$86+'Inputs'!$B$87+'Inputs'!$B$88</f>
        <v/>
      </c>
      <c r="AE47" s="30">
        <f>W47*AD47</f>
        <v/>
      </c>
      <c r="AF47" s="40">
        <f>$D47*(1-$E$26)</f>
        <v/>
      </c>
      <c r="AG47" s="41">
        <f>AF47/'Inputs'!$B$84</f>
        <v/>
      </c>
      <c r="AH47" s="41">
        <f>AF47/('Inputs'!$B$12*'Inputs'!$B$26)</f>
        <v/>
      </c>
      <c r="AI47" s="42">
        <f>IF(AF47&gt;0,((MIN(AF47,0.95*'Inputs'!$B$12*'Inputs'!$B$26)/'Inputs'!$B$26)^'Inputs'!$B$12/FACT('Inputs'!$B$12)*'Inputs'!$B$12/('Inputs'!$B$12-(MIN(AF47,0.95*'Inputs'!$B$12*'Inputs'!$B$26)/'Inputs'!$B$26)))/(SUMPRODUCT(--({0,1,2,3,4,5,6,7,8,9}&lt;'Inputs'!$B$12),(MIN(AF47,0.95*'Inputs'!$B$12*'Inputs'!$B$26)/'Inputs'!$B$26)^{0,1,2,3,4,5,6,7,8,9}/FACT({0,1,2,3,4,5,6,7,8,9}))+((MIN(AF47,0.95*'Inputs'!$B$12*'Inputs'!$B$26)/'Inputs'!$B$26)^'Inputs'!$B$12/FACT('Inputs'!$B$12)*'Inputs'!$B$12/('Inputs'!$B$12-(MIN(AF47,0.95*'Inputs'!$B$12*'Inputs'!$B$26)/'Inputs'!$B$26)))),0)</f>
        <v/>
      </c>
      <c r="AJ47" s="42">
        <f>IF(AF47&gt;0,AI47/('Inputs'!$B$12*'Inputs'!$B$26-MIN(AF47,0.95*'Inputs'!$B$12*'Inputs'!$B$26)),0)</f>
        <v/>
      </c>
      <c r="AK47" s="32">
        <f>MAX(0,AK46+(AF47-'Inputs'!$B$12*'Inputs'!$B$26)*10)</f>
        <v/>
      </c>
      <c r="AL47" s="40">
        <f>(AK46+AK47)/2/('Inputs'!$B$12*'Inputs'!$B$26)+AJ47</f>
        <v/>
      </c>
      <c r="AM47" s="40">
        <f>'Inputs'!$B$85+AL47+1/'Inputs'!$B$26+'Inputs'!$B$86+'Inputs'!$B$87+'Inputs'!$B$88</f>
        <v/>
      </c>
      <c r="AN47" s="30">
        <f>AF47*AM47</f>
        <v/>
      </c>
    </row>
    <row r="48"/>
    <row r="49">
      <c r="A49" s="4" t="inlineStr">
        <is>
          <t>Summary</t>
        </is>
      </c>
    </row>
    <row r="50">
      <c r="A50" s="7" t="inlineStr">
        <is>
          <t>Measure</t>
        </is>
      </c>
      <c r="B50" s="7" t="inlineStr"/>
      <c r="C50" s="7" t="inlineStr"/>
      <c r="D50" s="7" t="inlineStr"/>
      <c r="E50" s="7" t="inlineStr">
        <is>
          <t>Without: Central</t>
        </is>
      </c>
      <c r="F50" s="7" t="inlineStr">
        <is>
          <t>Without: Munch</t>
        </is>
      </c>
      <c r="G50" s="7" t="inlineStr">
        <is>
          <t>With: Central</t>
        </is>
      </c>
      <c r="H50" s="7" t="inlineStr">
        <is>
          <t>With: Munch</t>
        </is>
      </c>
      <c r="I50" s="7" t="inlineStr">
        <is>
          <t>Without: both</t>
        </is>
      </c>
      <c r="J50" s="7" t="inlineStr">
        <is>
          <t>With: both</t>
        </is>
      </c>
    </row>
    <row r="51">
      <c r="A51" s="5" t="inlineStr">
        <is>
          <t>Average queue wait per student (min)</t>
        </is>
      </c>
      <c r="E51" s="27">
        <f>SUMPRODUCT(K30:K47,E30:E47)/SUM(E30:E47)</f>
        <v/>
      </c>
      <c r="F51" s="27">
        <f>SUMPRODUCT(T30:T47,N30:N47)/SUM(N30:N47)</f>
        <v/>
      </c>
      <c r="G51" s="27">
        <f>SUMPRODUCT(AC30:AC47,W30:W47)/SUM(W30:W47)</f>
        <v/>
      </c>
      <c r="H51" s="27">
        <f>SUMPRODUCT(AL30:AL47,AF30:AF47)/SUM(AF30:AF47)</f>
        <v/>
      </c>
      <c r="I51" s="43">
        <f>(E51*SUM(E30:E47)+F51*SUM(N30:N47))/SUM(D30:D47)</f>
        <v/>
      </c>
      <c r="J51" s="43">
        <f>(G51*SUM(W30:W47)+H51*SUM(AF30:AF47))/SUM(D30:D47)</f>
        <v/>
      </c>
    </row>
    <row r="52">
      <c r="A52" s="5" t="inlineStr">
        <is>
          <t>Average throughput, door to leaving (min)</t>
        </is>
      </c>
      <c r="E52" s="26">
        <f>SUMPRODUCT(L30:L47,E30:E47)/SUM(E30:E47)</f>
        <v/>
      </c>
      <c r="F52" s="26">
        <f>SUMPRODUCT(U30:U47,N30:N47)/SUM(N30:N47)</f>
        <v/>
      </c>
      <c r="G52" s="26">
        <f>SUMPRODUCT(AD30:AD47,W30:W47)/SUM(W30:W47)</f>
        <v/>
      </c>
      <c r="H52" s="26">
        <f>SUMPRODUCT(AM30:AM47,AF30:AF47)/SUM(AF30:AF47)</f>
        <v/>
      </c>
      <c r="I52" s="44">
        <f>(E52*SUM(E30:E47)+F52*SUM(N30:N47))/SUM(D30:D47)</f>
        <v/>
      </c>
      <c r="J52" s="44">
        <f>(G52*SUM(W30:W47)+H52*SUM(AF30:AF47))/SUM(D30:D47)</f>
        <v/>
      </c>
    </row>
    <row r="53">
      <c r="A53" s="5" t="inlineStr">
        <is>
          <t>Peak utilisation ρ (serving)</t>
        </is>
      </c>
      <c r="E53" s="29">
        <f>MAX(G30:G47)</f>
        <v/>
      </c>
      <c r="F53" s="29">
        <f>MAX(P30:P47)</f>
        <v/>
      </c>
      <c r="G53" s="29">
        <f>MAX(Y30:Y47)</f>
        <v/>
      </c>
      <c r="H53" s="29">
        <f>MAX(AH30:AH47)</f>
        <v/>
      </c>
    </row>
    <row r="54">
      <c r="A54" s="5" t="inlineStr">
        <is>
          <t>Peak scanner utilisation</t>
        </is>
      </c>
      <c r="E54" s="29">
        <f>MAX(F30:F47)</f>
        <v/>
      </c>
      <c r="F54" s="29">
        <f>MAX(O30:O47)</f>
        <v/>
      </c>
      <c r="G54" s="29">
        <f>MAX(X30:X47)</f>
        <v/>
      </c>
      <c r="H54" s="29">
        <f>MAX(AG30:AG47)</f>
        <v/>
      </c>
    </row>
    <row r="55">
      <c r="A55" s="5" t="inlineStr">
        <is>
          <t>Largest queue (students)</t>
        </is>
      </c>
      <c r="E55" s="30">
        <f>MAX(J30:J47)</f>
        <v/>
      </c>
      <c r="F55" s="30">
        <f>MAX(S30:S47)</f>
        <v/>
      </c>
      <c r="G55" s="30">
        <f>MAX(AB30:AB47)</f>
        <v/>
      </c>
      <c r="H55" s="30">
        <f>MAX(AK30:AK47)</f>
        <v/>
      </c>
    </row>
    <row r="56">
      <c r="A56" s="5" t="inlineStr">
        <is>
          <t>Longest queue wait (min)</t>
        </is>
      </c>
      <c r="E56" s="26">
        <f>MAX(K30:K47)</f>
        <v/>
      </c>
      <c r="F56" s="26">
        <f>MAX(T30:T47)</f>
        <v/>
      </c>
      <c r="G56" s="26">
        <f>MAX(AC30:AC47)</f>
        <v/>
      </c>
      <c r="H56" s="26">
        <f>MAX(AL30:AL47)</f>
        <v/>
      </c>
    </row>
    <row r="57">
      <c r="A57" s="5" t="inlineStr">
        <is>
          <t>Peak people inside (Little's Law L = λW, includes the queue)</t>
        </is>
      </c>
      <c r="E57" s="30">
        <f>MAX(M30:M47)</f>
        <v/>
      </c>
      <c r="F57" s="30">
        <f>MAX(V30:V47)</f>
        <v/>
      </c>
      <c r="G57" s="30">
        <f>MAX(AE30:AE47)</f>
        <v/>
      </c>
      <c r="H57" s="30">
        <f>MAX(AN30:AN47)</f>
        <v/>
      </c>
    </row>
    <row r="58">
      <c r="A58" s="5" t="inlineStr">
        <is>
          <t>Peak seats needed (served per min × eating time; the stations cap the served rate)</t>
        </is>
      </c>
      <c r="E58" s="30">
        <f>MIN(MAX(E30:E47),'Inputs'!$B$11*'Inputs'!$B$26)*'Inputs'!$B$87</f>
        <v/>
      </c>
      <c r="F58" s="30">
        <f>MIN(MAX(N30:N47),'Inputs'!$B$12*'Inputs'!$B$26)*'Inputs'!$B$87</f>
        <v/>
      </c>
      <c r="G58" s="30">
        <f>MIN(MAX(W30:W47),'Inputs'!$B$11*'Inputs'!$B$26)*'Inputs'!$B$87</f>
        <v/>
      </c>
      <c r="H58" s="30">
        <f>MIN(MAX(AF30:AF47),'Inputs'!$B$12*'Inputs'!$B$26)*'Inputs'!$B$87</f>
        <v/>
      </c>
    </row>
    <row r="59">
      <c r="A59" s="5" t="inlineStr">
        <is>
          <t>Seats</t>
        </is>
      </c>
      <c r="E59" s="30">
        <f>'Inputs'!$B$9</f>
        <v/>
      </c>
      <c r="F59" s="30">
        <f>'Inputs'!$B$10</f>
        <v/>
      </c>
      <c r="G59" s="30">
        <f>'Inputs'!$B$9</f>
        <v/>
      </c>
      <c r="H59" s="30">
        <f>'Inputs'!$B$10</f>
        <v/>
      </c>
    </row>
    <row r="60"/>
    <row r="61" ht="40" customHeight="1">
      <c r="A61" s="3" t="inlineStr">
        <is>
          <t>Reading it: above ~85–90% utilisation waits climb steeply; above 100% the queue grows every minute (backlog column). The screens lower the peak utilisation of Central by moving some students to Munch. This spreadsheet measures the queue at the serving stations only; the simulator also counts the scanner queue and any wait for a seat, and adds run-outs (Reconciliation tab).</t>
        </is>
      </c>
    </row>
  </sheetData>
  <mergeCells count="18">
    <mergeCell ref="A56:D56"/>
    <mergeCell ref="A61:N61"/>
    <mergeCell ref="F25:N25"/>
    <mergeCell ref="A7:H7"/>
    <mergeCell ref="A53:D53"/>
    <mergeCell ref="A58:D58"/>
    <mergeCell ref="E28:M28"/>
    <mergeCell ref="N28:V28"/>
    <mergeCell ref="AF28:AN28"/>
    <mergeCell ref="A54:D54"/>
    <mergeCell ref="A55:D55"/>
    <mergeCell ref="A52:D52"/>
    <mergeCell ref="W28:AE28"/>
    <mergeCell ref="F26:N26"/>
    <mergeCell ref="A57:D57"/>
    <mergeCell ref="A59:D59"/>
    <mergeCell ref="A51:D51"/>
    <mergeCell ref="A23:AK23"/>
  </mergeCells>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N64"/>
  <sheetViews>
    <sheetView showGridLines="0" workbookViewId="0">
      <selection activeCell="A1" sqref="A1"/>
    </sheetView>
  </sheetViews>
  <sheetFormatPr baseColWidth="8" defaultRowHeight="15"/>
  <cols>
    <col width="52" customWidth="1" min="1" max="1"/>
    <col width="12" customWidth="1" min="2" max="2"/>
    <col width="12" customWidth="1" min="3" max="3"/>
    <col width="12" customWidth="1" min="4" max="4"/>
    <col width="12" customWidth="1" min="5" max="5"/>
    <col width="13" customWidth="1" min="6" max="6"/>
    <col width="12" customWidth="1" min="7" max="7"/>
    <col width="12" customWidth="1" min="8" max="8"/>
    <col width="13" customWidth="1" min="9" max="9"/>
    <col width="13" customWidth="1" min="10" max="10"/>
    <col width="12" customWidth="1" min="11" max="11"/>
    <col width="12" customWidth="1" min="12" max="12"/>
    <col width="13" customWidth="1" min="13" max="13"/>
    <col width="13" customWidth="1" min="14" max="14"/>
  </cols>
  <sheetData>
    <row r="1">
      <c r="A1" s="1" t="inlineStr">
        <is>
          <t>Linear programming (primary model): how many students to direct to each mess in each 10-minute slot</t>
        </is>
      </c>
      <c r="B1" s="2" t="n"/>
      <c r="C1" s="2" t="n"/>
      <c r="D1" s="2" t="n"/>
      <c r="E1" s="2" t="n"/>
      <c r="F1" s="2" t="n"/>
      <c r="G1" s="2" t="n"/>
      <c r="H1" s="2" t="n"/>
      <c r="I1" s="2" t="n"/>
      <c r="J1" s="2" t="n"/>
      <c r="K1" s="2" t="n"/>
      <c r="L1" s="2" t="n"/>
      <c r="M1" s="2" t="n"/>
      <c r="N1" s="2" t="n"/>
    </row>
    <row r="2">
      <c r="A2" s="11" t="inlineStr">
        <is>
          <t>Sessions 10–11: LP formulation, constraints, Solver/simplex, shadow prices · solved with SciPy (HiGHS); re-solve in Excel with Solver</t>
        </is>
      </c>
    </row>
    <row r="3"/>
    <row r="4">
      <c r="A4" s="4" t="inlineStr">
        <is>
          <t>Formulation (a fluid queue: each slot's queue = last slot's queue + arrivals − what the stations serve)</t>
        </is>
      </c>
    </row>
    <row r="5">
      <c r="A5" s="5" t="inlineStr">
        <is>
          <t>Decision variables: y(t) = students redirected from Central to Munch in slot t; QA(t), QB(t) = students still queueing at Central / Munch at the end of slot t</t>
        </is>
      </c>
    </row>
    <row r="6">
      <c r="A6" s="5" t="inlineStr">
        <is>
          <t>Objective: minimise total student-minutes of waiting = 10 × Σ [QA(t) + QB(t)] + walk × Σ y(t)   (queue × 10-minute slot, plus 0.5 min per redirected student)</t>
        </is>
      </c>
    </row>
    <row r="7">
      <c r="A7" s="5" t="inlineStr">
        <is>
          <t>Subject to: QA(t) ≥ QA(t−1) + h·D(t) − y(t) − 10·capA;   QB(t) ≥ QB(t−1) + (1−h)·D(t) + y(t) − 10·capB   (queues carry over; capacity per slot = 10 min × students/min)</t>
        </is>
      </c>
    </row>
    <row r="8">
      <c r="A8" s="5" t="inlineStr">
        <is>
          <t xml:space="preserve">            0 ≤ y(t) ≤ κ·h·D(t)  (only students at Central's door who follow the screen can move);   Σ [(1−h)·D(t) + y(t)] ≤ F_B  (Munch's star-dish portions)</t>
        </is>
      </c>
    </row>
    <row r="9">
      <c r="A9" s="5" t="inlineStr">
        <is>
          <t xml:space="preserve">            QA, QB ≥ 0.   Data: D(t) arrivals (S15), h habit share, κ compliance, cap = stations × service rate (Inputs). Food is the operational constraint.</t>
        </is>
      </c>
    </row>
    <row r="10"/>
    <row r="11">
      <c r="A11" s="4" t="inlineStr">
        <is>
          <t>Parameters (from Inputs)</t>
        </is>
      </c>
    </row>
    <row r="12">
      <c r="A12" s="5" t="inlineStr">
        <is>
          <t>h: share heading to Central by habit</t>
        </is>
      </c>
      <c r="D12" s="41">
        <f>'Inputs'!$B$34</f>
        <v/>
      </c>
    </row>
    <row r="13">
      <c r="A13" s="5" t="inlineStr">
        <is>
          <t>κ: share who follow the screen</t>
        </is>
      </c>
      <c r="D13" s="41">
        <f>'Inputs'!$B$35</f>
        <v/>
      </c>
    </row>
    <row r="14">
      <c r="A14" s="5" t="inlineStr">
        <is>
          <t>capA: Central serving capacity (/min)</t>
        </is>
      </c>
      <c r="D14" s="40">
        <f>'Inputs'!$B$81</f>
        <v/>
      </c>
    </row>
    <row r="15">
      <c r="A15" s="5" t="inlineStr">
        <is>
          <t>capB: Munch serving capacity (/min)</t>
        </is>
      </c>
      <c r="D15" s="40">
        <f>'Inputs'!$B$82</f>
        <v/>
      </c>
    </row>
    <row r="16">
      <c r="A16" s="5" t="inlineStr">
        <is>
          <t>Walk between doors (min)</t>
        </is>
      </c>
      <c r="D16" s="40">
        <f>'Inputs'!$B$36</f>
        <v/>
      </c>
    </row>
    <row r="17">
      <c r="A17" s="5" t="inlineStr">
        <is>
          <t>F_B: Munch star-dish portions</t>
        </is>
      </c>
      <c r="D17" s="45">
        <f>'Inputs'!$B$68</f>
        <v/>
      </c>
    </row>
    <row r="18"/>
    <row r="19" ht="44" customHeight="1">
      <c r="A19" s="7" t="inlineStr">
        <is>
          <t>Slot</t>
        </is>
      </c>
      <c r="B19" s="7" t="inlineStr">
        <is>
          <t>Arrivals D(t)</t>
        </is>
      </c>
      <c r="C19" s="7" t="inlineStr">
        <is>
          <t>At Central by habit h·D</t>
        </is>
      </c>
      <c r="D19" s="7" t="inlineStr">
        <is>
          <t>At Munch by habit</t>
        </is>
      </c>
      <c r="E19" s="7" t="inlineStr">
        <is>
          <t>Max redirect κ·h·D</t>
        </is>
      </c>
      <c r="F19" s="7" t="inlineStr">
        <is>
          <t>y(t) redirect (decision)</t>
        </is>
      </c>
      <c r="G19" s="7" t="inlineStr">
        <is>
          <t>QA(t) (decision)</t>
        </is>
      </c>
      <c r="H19" s="7" t="inlineStr">
        <is>
          <t>QB(t) (decision)</t>
        </is>
      </c>
      <c r="I19" s="7" t="inlineStr">
        <is>
          <t>Central constraint slack ≥ 0</t>
        </is>
      </c>
      <c r="J19" s="7" t="inlineStr">
        <is>
          <t>Munch constraint slack ≥ 0</t>
        </is>
      </c>
      <c r="K19" s="7" t="inlineStr">
        <is>
          <t>Today: QA (no redirect)</t>
        </is>
      </c>
      <c r="L19" s="7" t="inlineStr">
        <is>
          <t>Today: QB</t>
        </is>
      </c>
      <c r="M19" s="7" t="inlineStr">
        <is>
          <t>Central arrivals after</t>
        </is>
      </c>
      <c r="N19" s="7" t="inlineStr">
        <is>
          <t>Munch arrivals after</t>
        </is>
      </c>
    </row>
    <row r="20">
      <c r="A20" s="5" t="inlineStr">
        <is>
          <t>11:30</t>
        </is>
      </c>
      <c r="B20" s="40">
        <f>'S15 Queuing'!$C$30</f>
        <v/>
      </c>
      <c r="C20" s="26">
        <f>B20*$D$12</f>
        <v/>
      </c>
      <c r="D20" s="26">
        <f>B20*(1-$D$12)</f>
        <v/>
      </c>
      <c r="E20" s="26">
        <f>$D$13*C20</f>
        <v/>
      </c>
      <c r="F20" s="18" t="n">
        <v>0</v>
      </c>
      <c r="G20" s="18" t="n">
        <v>0</v>
      </c>
      <c r="H20" s="18" t="n">
        <v>0</v>
      </c>
      <c r="I20" s="46">
        <f>G20-(0+C20-F20-10*$D$14)</f>
        <v/>
      </c>
      <c r="J20" s="46">
        <f>H20-(0+D20+F20-10*$D$15)</f>
        <v/>
      </c>
      <c r="K20" s="26">
        <f>MAX(0,0+C20-10*$D$14)</f>
        <v/>
      </c>
      <c r="L20" s="26">
        <f>MAX(0,0+D20-10*$D$15)</f>
        <v/>
      </c>
      <c r="M20" s="26">
        <f>C20-F20</f>
        <v/>
      </c>
      <c r="N20" s="26">
        <f>D20+F20</f>
        <v/>
      </c>
    </row>
    <row r="21">
      <c r="A21" s="5" t="inlineStr">
        <is>
          <t>11:40</t>
        </is>
      </c>
      <c r="B21" s="40">
        <f>'S15 Queuing'!$C$31</f>
        <v/>
      </c>
      <c r="C21" s="26">
        <f>B21*$D$12</f>
        <v/>
      </c>
      <c r="D21" s="26">
        <f>B21*(1-$D$12)</f>
        <v/>
      </c>
      <c r="E21" s="26">
        <f>$D$13*C21</f>
        <v/>
      </c>
      <c r="F21" s="18" t="n">
        <v>0</v>
      </c>
      <c r="G21" s="18" t="n">
        <v>0</v>
      </c>
      <c r="H21" s="18" t="n">
        <v>0</v>
      </c>
      <c r="I21" s="46">
        <f>G21-(G20+C21-F21-10*$D$14)</f>
        <v/>
      </c>
      <c r="J21" s="46">
        <f>H21-(H20+D21+F21-10*$D$15)</f>
        <v/>
      </c>
      <c r="K21" s="26">
        <f>MAX(0,K20+C21-10*$D$14)</f>
        <v/>
      </c>
      <c r="L21" s="26">
        <f>MAX(0,L20+D21-10*$D$15)</f>
        <v/>
      </c>
      <c r="M21" s="26">
        <f>C21-F21</f>
        <v/>
      </c>
      <c r="N21" s="26">
        <f>D21+F21</f>
        <v/>
      </c>
    </row>
    <row r="22">
      <c r="A22" s="5" t="inlineStr">
        <is>
          <t>11:50</t>
        </is>
      </c>
      <c r="B22" s="40">
        <f>'S15 Queuing'!$C$32</f>
        <v/>
      </c>
      <c r="C22" s="26">
        <f>B22*$D$12</f>
        <v/>
      </c>
      <c r="D22" s="26">
        <f>B22*(1-$D$12)</f>
        <v/>
      </c>
      <c r="E22" s="26">
        <f>$D$13*C22</f>
        <v/>
      </c>
      <c r="F22" s="18" t="n">
        <v>0</v>
      </c>
      <c r="G22" s="18" t="n">
        <v>0</v>
      </c>
      <c r="H22" s="18" t="n">
        <v>0</v>
      </c>
      <c r="I22" s="46">
        <f>G22-(G21+C22-F22-10*$D$14)</f>
        <v/>
      </c>
      <c r="J22" s="46">
        <f>H22-(H21+D22+F22-10*$D$15)</f>
        <v/>
      </c>
      <c r="K22" s="26">
        <f>MAX(0,K21+C22-10*$D$14)</f>
        <v/>
      </c>
      <c r="L22" s="26">
        <f>MAX(0,L21+D22-10*$D$15)</f>
        <v/>
      </c>
      <c r="M22" s="26">
        <f>C22-F22</f>
        <v/>
      </c>
      <c r="N22" s="26">
        <f>D22+F22</f>
        <v/>
      </c>
    </row>
    <row r="23">
      <c r="A23" s="5" t="inlineStr">
        <is>
          <t>12:00</t>
        </is>
      </c>
      <c r="B23" s="40">
        <f>'S15 Queuing'!$C$33</f>
        <v/>
      </c>
      <c r="C23" s="26">
        <f>B23*$D$12</f>
        <v/>
      </c>
      <c r="D23" s="26">
        <f>B23*(1-$D$12)</f>
        <v/>
      </c>
      <c r="E23" s="26">
        <f>$D$13*C23</f>
        <v/>
      </c>
      <c r="F23" s="18" t="n">
        <v>0</v>
      </c>
      <c r="G23" s="18" t="n">
        <v>0</v>
      </c>
      <c r="H23" s="18" t="n">
        <v>0</v>
      </c>
      <c r="I23" s="46">
        <f>G23-(G22+C23-F23-10*$D$14)</f>
        <v/>
      </c>
      <c r="J23" s="46">
        <f>H23-(H22+D23+F23-10*$D$15)</f>
        <v/>
      </c>
      <c r="K23" s="26">
        <f>MAX(0,K22+C23-10*$D$14)</f>
        <v/>
      </c>
      <c r="L23" s="26">
        <f>MAX(0,L22+D23-10*$D$15)</f>
        <v/>
      </c>
      <c r="M23" s="26">
        <f>C23-F23</f>
        <v/>
      </c>
      <c r="N23" s="26">
        <f>D23+F23</f>
        <v/>
      </c>
    </row>
    <row r="24">
      <c r="A24" s="5" t="inlineStr">
        <is>
          <t>12:10</t>
        </is>
      </c>
      <c r="B24" s="40">
        <f>'S15 Queuing'!$C$34</f>
        <v/>
      </c>
      <c r="C24" s="26">
        <f>B24*$D$12</f>
        <v/>
      </c>
      <c r="D24" s="26">
        <f>B24*(1-$D$12)</f>
        <v/>
      </c>
      <c r="E24" s="26">
        <f>$D$13*C24</f>
        <v/>
      </c>
      <c r="F24" s="18" t="n">
        <v>0</v>
      </c>
      <c r="G24" s="18" t="n">
        <v>0</v>
      </c>
      <c r="H24" s="18" t="n">
        <v>0</v>
      </c>
      <c r="I24" s="46">
        <f>G24-(G23+C24-F24-10*$D$14)</f>
        <v/>
      </c>
      <c r="J24" s="46">
        <f>H24-(H23+D24+F24-10*$D$15)</f>
        <v/>
      </c>
      <c r="K24" s="26">
        <f>MAX(0,K23+C24-10*$D$14)</f>
        <v/>
      </c>
      <c r="L24" s="26">
        <f>MAX(0,L23+D24-10*$D$15)</f>
        <v/>
      </c>
      <c r="M24" s="26">
        <f>C24-F24</f>
        <v/>
      </c>
      <c r="N24" s="26">
        <f>D24+F24</f>
        <v/>
      </c>
    </row>
    <row r="25">
      <c r="A25" s="5" t="inlineStr">
        <is>
          <t>12:20</t>
        </is>
      </c>
      <c r="B25" s="40">
        <f>'S15 Queuing'!$C$35</f>
        <v/>
      </c>
      <c r="C25" s="26">
        <f>B25*$D$12</f>
        <v/>
      </c>
      <c r="D25" s="26">
        <f>B25*(1-$D$12)</f>
        <v/>
      </c>
      <c r="E25" s="26">
        <f>$D$13*C25</f>
        <v/>
      </c>
      <c r="F25" s="18" t="n">
        <v>0</v>
      </c>
      <c r="G25" s="18" t="n">
        <v>0</v>
      </c>
      <c r="H25" s="18" t="n">
        <v>0</v>
      </c>
      <c r="I25" s="46">
        <f>G25-(G24+C25-F25-10*$D$14)</f>
        <v/>
      </c>
      <c r="J25" s="46">
        <f>H25-(H24+D25+F25-10*$D$15)</f>
        <v/>
      </c>
      <c r="K25" s="26">
        <f>MAX(0,K24+C25-10*$D$14)</f>
        <v/>
      </c>
      <c r="L25" s="26">
        <f>MAX(0,L24+D25-10*$D$15)</f>
        <v/>
      </c>
      <c r="M25" s="26">
        <f>C25-F25</f>
        <v/>
      </c>
      <c r="N25" s="26">
        <f>D25+F25</f>
        <v/>
      </c>
    </row>
    <row r="26">
      <c r="A26" s="5" t="inlineStr">
        <is>
          <t>12:30</t>
        </is>
      </c>
      <c r="B26" s="40">
        <f>'S15 Queuing'!$C$36</f>
        <v/>
      </c>
      <c r="C26" s="26">
        <f>B26*$D$12</f>
        <v/>
      </c>
      <c r="D26" s="26">
        <f>B26*(1-$D$12)</f>
        <v/>
      </c>
      <c r="E26" s="26">
        <f>$D$13*C26</f>
        <v/>
      </c>
      <c r="F26" s="18" t="n">
        <v>26.944101</v>
      </c>
      <c r="G26" s="18" t="n">
        <v>0</v>
      </c>
      <c r="H26" s="18" t="n">
        <v>0</v>
      </c>
      <c r="I26" s="46">
        <f>G26-(G25+C26-F26-10*$D$14)</f>
        <v/>
      </c>
      <c r="J26" s="46">
        <f>H26-(H25+D26+F26-10*$D$15)</f>
        <v/>
      </c>
      <c r="K26" s="26">
        <f>MAX(0,K25+C26-10*$D$14)</f>
        <v/>
      </c>
      <c r="L26" s="26">
        <f>MAX(0,L25+D26-10*$D$15)</f>
        <v/>
      </c>
      <c r="M26" s="26">
        <f>C26-F26</f>
        <v/>
      </c>
      <c r="N26" s="26">
        <f>D26+F26</f>
        <v/>
      </c>
    </row>
    <row r="27">
      <c r="A27" s="5" t="inlineStr">
        <is>
          <t>12:40</t>
        </is>
      </c>
      <c r="B27" s="40">
        <f>'S15 Queuing'!$C$37</f>
        <v/>
      </c>
      <c r="C27" s="26">
        <f>B27*$D$12</f>
        <v/>
      </c>
      <c r="D27" s="26">
        <f>B27*(1-$D$12)</f>
        <v/>
      </c>
      <c r="E27" s="26">
        <f>$D$13*C27</f>
        <v/>
      </c>
      <c r="F27" s="18" t="n">
        <v>7.466217</v>
      </c>
      <c r="G27" s="18" t="n">
        <v>0</v>
      </c>
      <c r="H27" s="18" t="n">
        <v>0</v>
      </c>
      <c r="I27" s="46">
        <f>G27-(G26+C27-F27-10*$D$14)</f>
        <v/>
      </c>
      <c r="J27" s="46">
        <f>H27-(H26+D27+F27-10*$D$15)</f>
        <v/>
      </c>
      <c r="K27" s="26">
        <f>MAX(0,K26+C27-10*$D$14)</f>
        <v/>
      </c>
      <c r="L27" s="26">
        <f>MAX(0,L26+D27-10*$D$15)</f>
        <v/>
      </c>
      <c r="M27" s="26">
        <f>C27-F27</f>
        <v/>
      </c>
      <c r="N27" s="26">
        <f>D27+F27</f>
        <v/>
      </c>
    </row>
    <row r="28">
      <c r="A28" s="5" t="inlineStr">
        <is>
          <t>12:50</t>
        </is>
      </c>
      <c r="B28" s="40">
        <f>'S15 Queuing'!$C$38</f>
        <v/>
      </c>
      <c r="C28" s="26">
        <f>B28*$D$12</f>
        <v/>
      </c>
      <c r="D28" s="26">
        <f>B28*(1-$D$12)</f>
        <v/>
      </c>
      <c r="E28" s="26">
        <f>$D$13*C28</f>
        <v/>
      </c>
      <c r="F28" s="18" t="n">
        <v>0</v>
      </c>
      <c r="G28" s="18" t="n">
        <v>0</v>
      </c>
      <c r="H28" s="18" t="n">
        <v>0</v>
      </c>
      <c r="I28" s="46">
        <f>G28-(G27+C28-F28-10*$D$14)</f>
        <v/>
      </c>
      <c r="J28" s="46">
        <f>H28-(H27+D28+F28-10*$D$15)</f>
        <v/>
      </c>
      <c r="K28" s="26">
        <f>MAX(0,K27+C28-10*$D$14)</f>
        <v/>
      </c>
      <c r="L28" s="26">
        <f>MAX(0,L27+D28-10*$D$15)</f>
        <v/>
      </c>
      <c r="M28" s="26">
        <f>C28-F28</f>
        <v/>
      </c>
      <c r="N28" s="26">
        <f>D28+F28</f>
        <v/>
      </c>
    </row>
    <row r="29">
      <c r="A29" s="5" t="inlineStr">
        <is>
          <t>13:00</t>
        </is>
      </c>
      <c r="B29" s="40">
        <f>'S15 Queuing'!$C$39</f>
        <v/>
      </c>
      <c r="C29" s="26">
        <f>B29*$D$12</f>
        <v/>
      </c>
      <c r="D29" s="26">
        <f>B29*(1-$D$12)</f>
        <v/>
      </c>
      <c r="E29" s="26">
        <f>$D$13*C29</f>
        <v/>
      </c>
      <c r="F29" s="18" t="n">
        <v>30.429509</v>
      </c>
      <c r="G29" s="18" t="n">
        <v>0</v>
      </c>
      <c r="H29" s="18" t="n">
        <v>0</v>
      </c>
      <c r="I29" s="46">
        <f>G29-(G28+C29-F29-10*$D$14)</f>
        <v/>
      </c>
      <c r="J29" s="46">
        <f>H29-(H28+D29+F29-10*$D$15)</f>
        <v/>
      </c>
      <c r="K29" s="26">
        <f>MAX(0,K28+C29-10*$D$14)</f>
        <v/>
      </c>
      <c r="L29" s="26">
        <f>MAX(0,L28+D29-10*$D$15)</f>
        <v/>
      </c>
      <c r="M29" s="26">
        <f>C29-F29</f>
        <v/>
      </c>
      <c r="N29" s="26">
        <f>D29+F29</f>
        <v/>
      </c>
    </row>
    <row r="30">
      <c r="A30" s="5" t="inlineStr">
        <is>
          <t>13:10</t>
        </is>
      </c>
      <c r="B30" s="40">
        <f>'S15 Queuing'!$C$40</f>
        <v/>
      </c>
      <c r="C30" s="26">
        <f>B30*$D$12</f>
        <v/>
      </c>
      <c r="D30" s="26">
        <f>B30*(1-$D$12)</f>
        <v/>
      </c>
      <c r="E30" s="26">
        <f>$D$13*C30</f>
        <v/>
      </c>
      <c r="F30" s="18" t="n">
        <v>98.362892</v>
      </c>
      <c r="G30" s="18" t="n">
        <v>0</v>
      </c>
      <c r="H30" s="18" t="n">
        <v>0</v>
      </c>
      <c r="I30" s="46">
        <f>G30-(G29+C30-F30-10*$D$14)</f>
        <v/>
      </c>
      <c r="J30" s="46">
        <f>H30-(H29+D30+F30-10*$D$15)</f>
        <v/>
      </c>
      <c r="K30" s="26">
        <f>MAX(0,K29+C30-10*$D$14)</f>
        <v/>
      </c>
      <c r="L30" s="26">
        <f>MAX(0,L29+D30-10*$D$15)</f>
        <v/>
      </c>
      <c r="M30" s="26">
        <f>C30-F30</f>
        <v/>
      </c>
      <c r="N30" s="26">
        <f>D30+F30</f>
        <v/>
      </c>
    </row>
    <row r="31">
      <c r="A31" s="5" t="inlineStr">
        <is>
          <t>13:20</t>
        </is>
      </c>
      <c r="B31" s="40">
        <f>'S15 Queuing'!$C$41</f>
        <v/>
      </c>
      <c r="C31" s="26">
        <f>B31*$D$12</f>
        <v/>
      </c>
      <c r="D31" s="26">
        <f>B31*(1-$D$12)</f>
        <v/>
      </c>
      <c r="E31" s="26">
        <f>$D$13*C31</f>
        <v/>
      </c>
      <c r="F31" s="18" t="n">
        <v>82.98811499999999</v>
      </c>
      <c r="G31" s="18" t="n">
        <v>0</v>
      </c>
      <c r="H31" s="18" t="n">
        <v>0</v>
      </c>
      <c r="I31" s="46">
        <f>G31-(G30+C31-F31-10*$D$14)</f>
        <v/>
      </c>
      <c r="J31" s="46">
        <f>H31-(H30+D31+F31-10*$D$15)</f>
        <v/>
      </c>
      <c r="K31" s="26">
        <f>MAX(0,K30+C31-10*$D$14)</f>
        <v/>
      </c>
      <c r="L31" s="26">
        <f>MAX(0,L30+D31-10*$D$15)</f>
        <v/>
      </c>
      <c r="M31" s="26">
        <f>C31-F31</f>
        <v/>
      </c>
      <c r="N31" s="26">
        <f>D31+F31</f>
        <v/>
      </c>
    </row>
    <row r="32">
      <c r="A32" s="5" t="inlineStr">
        <is>
          <t>13:30</t>
        </is>
      </c>
      <c r="B32" s="40">
        <f>'S15 Queuing'!$C$42</f>
        <v/>
      </c>
      <c r="C32" s="26">
        <f>B32*$D$12</f>
        <v/>
      </c>
      <c r="D32" s="26">
        <f>B32*(1-$D$12)</f>
        <v/>
      </c>
      <c r="E32" s="26">
        <f>$D$13*C32</f>
        <v/>
      </c>
      <c r="F32" s="18" t="n">
        <v>14.874952</v>
      </c>
      <c r="G32" s="18" t="n">
        <v>0</v>
      </c>
      <c r="H32" s="18" t="n">
        <v>0</v>
      </c>
      <c r="I32" s="46">
        <f>G32-(G31+C32-F32-10*$D$14)</f>
        <v/>
      </c>
      <c r="J32" s="46">
        <f>H32-(H31+D32+F32-10*$D$15)</f>
        <v/>
      </c>
      <c r="K32" s="26">
        <f>MAX(0,K31+C32-10*$D$14)</f>
        <v/>
      </c>
      <c r="L32" s="26">
        <f>MAX(0,L31+D32-10*$D$15)</f>
        <v/>
      </c>
      <c r="M32" s="26">
        <f>C32-F32</f>
        <v/>
      </c>
      <c r="N32" s="26">
        <f>D32+F32</f>
        <v/>
      </c>
    </row>
    <row r="33">
      <c r="A33" s="5" t="inlineStr">
        <is>
          <t>13:40</t>
        </is>
      </c>
      <c r="B33" s="40">
        <f>'S15 Queuing'!$C$43</f>
        <v/>
      </c>
      <c r="C33" s="26">
        <f>B33*$D$12</f>
        <v/>
      </c>
      <c r="D33" s="26">
        <f>B33*(1-$D$12)</f>
        <v/>
      </c>
      <c r="E33" s="26">
        <f>$D$13*C33</f>
        <v/>
      </c>
      <c r="F33" s="18" t="n">
        <v>0</v>
      </c>
      <c r="G33" s="18" t="n">
        <v>0</v>
      </c>
      <c r="H33" s="18" t="n">
        <v>0</v>
      </c>
      <c r="I33" s="46">
        <f>G33-(G32+C33-F33-10*$D$14)</f>
        <v/>
      </c>
      <c r="J33" s="46">
        <f>H33-(H32+D33+F33-10*$D$15)</f>
        <v/>
      </c>
      <c r="K33" s="26">
        <f>MAX(0,K32+C33-10*$D$14)</f>
        <v/>
      </c>
      <c r="L33" s="26">
        <f>MAX(0,L32+D33-10*$D$15)</f>
        <v/>
      </c>
      <c r="M33" s="26">
        <f>C33-F33</f>
        <v/>
      </c>
      <c r="N33" s="26">
        <f>D33+F33</f>
        <v/>
      </c>
    </row>
    <row r="34">
      <c r="A34" s="5" t="inlineStr">
        <is>
          <t>13:50</t>
        </is>
      </c>
      <c r="B34" s="40">
        <f>'S15 Queuing'!$C$44</f>
        <v/>
      </c>
      <c r="C34" s="26">
        <f>B34*$D$12</f>
        <v/>
      </c>
      <c r="D34" s="26">
        <f>B34*(1-$D$12)</f>
        <v/>
      </c>
      <c r="E34" s="26">
        <f>$D$13*C34</f>
        <v/>
      </c>
      <c r="F34" s="18" t="n">
        <v>0</v>
      </c>
      <c r="G34" s="18" t="n">
        <v>0</v>
      </c>
      <c r="H34" s="18" t="n">
        <v>0</v>
      </c>
      <c r="I34" s="46">
        <f>G34-(G33+C34-F34-10*$D$14)</f>
        <v/>
      </c>
      <c r="J34" s="46">
        <f>H34-(H33+D34+F34-10*$D$15)</f>
        <v/>
      </c>
      <c r="K34" s="26">
        <f>MAX(0,K33+C34-10*$D$14)</f>
        <v/>
      </c>
      <c r="L34" s="26">
        <f>MAX(0,L33+D34-10*$D$15)</f>
        <v/>
      </c>
      <c r="M34" s="26">
        <f>C34-F34</f>
        <v/>
      </c>
      <c r="N34" s="26">
        <f>D34+F34</f>
        <v/>
      </c>
    </row>
    <row r="35">
      <c r="A35" s="5" t="inlineStr">
        <is>
          <t>14:00</t>
        </is>
      </c>
      <c r="B35" s="40">
        <f>'S15 Queuing'!$C$45</f>
        <v/>
      </c>
      <c r="C35" s="26">
        <f>B35*$D$12</f>
        <v/>
      </c>
      <c r="D35" s="26">
        <f>B35*(1-$D$12)</f>
        <v/>
      </c>
      <c r="E35" s="26">
        <f>$D$13*C35</f>
        <v/>
      </c>
      <c r="F35" s="18" t="n">
        <v>0</v>
      </c>
      <c r="G35" s="18" t="n">
        <v>0</v>
      </c>
      <c r="H35" s="18" t="n">
        <v>0</v>
      </c>
      <c r="I35" s="46">
        <f>G35-(G34+C35-F35-10*$D$14)</f>
        <v/>
      </c>
      <c r="J35" s="46">
        <f>H35-(H34+D35+F35-10*$D$15)</f>
        <v/>
      </c>
      <c r="K35" s="26">
        <f>MAX(0,K34+C35-10*$D$14)</f>
        <v/>
      </c>
      <c r="L35" s="26">
        <f>MAX(0,L34+D35-10*$D$15)</f>
        <v/>
      </c>
      <c r="M35" s="26">
        <f>C35-F35</f>
        <v/>
      </c>
      <c r="N35" s="26">
        <f>D35+F35</f>
        <v/>
      </c>
    </row>
    <row r="36">
      <c r="A36" s="5" t="inlineStr">
        <is>
          <t>14:10</t>
        </is>
      </c>
      <c r="B36" s="40">
        <f>'S15 Queuing'!$C$46</f>
        <v/>
      </c>
      <c r="C36" s="26">
        <f>B36*$D$12</f>
        <v/>
      </c>
      <c r="D36" s="26">
        <f>B36*(1-$D$12)</f>
        <v/>
      </c>
      <c r="E36" s="26">
        <f>$D$13*C36</f>
        <v/>
      </c>
      <c r="F36" s="18" t="n">
        <v>0</v>
      </c>
      <c r="G36" s="18" t="n">
        <v>0</v>
      </c>
      <c r="H36" s="18" t="n">
        <v>0</v>
      </c>
      <c r="I36" s="46">
        <f>G36-(G35+C36-F36-10*$D$14)</f>
        <v/>
      </c>
      <c r="J36" s="46">
        <f>H36-(H35+D36+F36-10*$D$15)</f>
        <v/>
      </c>
      <c r="K36" s="26">
        <f>MAX(0,K35+C36-10*$D$14)</f>
        <v/>
      </c>
      <c r="L36" s="26">
        <f>MAX(0,L35+D36-10*$D$15)</f>
        <v/>
      </c>
      <c r="M36" s="26">
        <f>C36-F36</f>
        <v/>
      </c>
      <c r="N36" s="26">
        <f>D36+F36</f>
        <v/>
      </c>
    </row>
    <row r="37">
      <c r="A37" s="5" t="inlineStr">
        <is>
          <t>14:20</t>
        </is>
      </c>
      <c r="B37" s="40">
        <f>'S15 Queuing'!$C$47</f>
        <v/>
      </c>
      <c r="C37" s="26">
        <f>B37*$D$12</f>
        <v/>
      </c>
      <c r="D37" s="26">
        <f>B37*(1-$D$12)</f>
        <v/>
      </c>
      <c r="E37" s="26">
        <f>$D$13*C37</f>
        <v/>
      </c>
      <c r="F37" s="18" t="n">
        <v>0</v>
      </c>
      <c r="G37" s="18" t="n">
        <v>0</v>
      </c>
      <c r="H37" s="18" t="n">
        <v>0</v>
      </c>
      <c r="I37" s="46">
        <f>G37-(G36+C37-F37-10*$D$14)</f>
        <v/>
      </c>
      <c r="J37" s="46">
        <f>H37-(H36+D37+F37-10*$D$15)</f>
        <v/>
      </c>
      <c r="K37" s="26">
        <f>MAX(0,K36+C37-10*$D$14)</f>
        <v/>
      </c>
      <c r="L37" s="26">
        <f>MAX(0,L36+D37-10*$D$15)</f>
        <v/>
      </c>
      <c r="M37" s="26">
        <f>C37-F37</f>
        <v/>
      </c>
      <c r="N37" s="26">
        <f>D37+F37</f>
        <v/>
      </c>
    </row>
    <row r="38">
      <c r="A38" s="4" t="inlineStr">
        <is>
          <t>Total</t>
        </is>
      </c>
      <c r="B38" s="33">
        <f>SUM(B20:B37)</f>
        <v/>
      </c>
      <c r="C38" s="33">
        <f>SUM(C20:C37)</f>
        <v/>
      </c>
      <c r="D38" s="33">
        <f>SUM(D20:D37)</f>
        <v/>
      </c>
      <c r="E38" s="33">
        <f>SUM(E20:E37)</f>
        <v/>
      </c>
      <c r="F38" s="33">
        <f>SUM(F20:F37)</f>
        <v/>
      </c>
      <c r="G38" s="33">
        <f>SUM(G20:G37)</f>
        <v/>
      </c>
      <c r="H38" s="33">
        <f>SUM(H20:H37)</f>
        <v/>
      </c>
      <c r="K38" s="33">
        <f>SUM(K20:K37)</f>
        <v/>
      </c>
      <c r="L38" s="33">
        <f>SUM(L20:L37)</f>
        <v/>
      </c>
      <c r="M38" s="33">
        <f>SUM(M20:M37)</f>
        <v/>
      </c>
      <c r="N38" s="33">
        <f>SUM(N20:N37)</f>
        <v/>
      </c>
    </row>
    <row r="39"/>
    <row r="40">
      <c r="A40" s="4" t="inlineStr">
        <is>
          <t>Results</t>
        </is>
      </c>
    </row>
    <row r="41">
      <c r="A41" s="5" t="inlineStr">
        <is>
          <t>Objective: student-minutes waiting + walking (LP optimum)</t>
        </is>
      </c>
      <c r="B41" s="33">
        <f>10*SUM(G20:H37)+$D$16*SUM(F20:F37)</f>
        <v/>
      </c>
    </row>
    <row r="42">
      <c r="A42" s="5" t="inlineStr">
        <is>
          <t>Today (no redirection): student-minutes waiting</t>
        </is>
      </c>
      <c r="B42" s="33">
        <f>10*SUM(K20:L37)</f>
        <v/>
      </c>
    </row>
    <row r="43">
      <c r="A43" s="5" t="inlineStr">
        <is>
          <t>Average per student, LP optimum (min)</t>
        </is>
      </c>
      <c r="B43" s="43">
        <f>B41/B38</f>
        <v/>
      </c>
    </row>
    <row r="44">
      <c r="A44" s="5" t="inlineStr">
        <is>
          <t>Average per student, today (min)</t>
        </is>
      </c>
      <c r="B44" s="43">
        <f>B42/B38</f>
        <v/>
      </c>
    </row>
    <row r="45">
      <c r="A45" s="5" t="inlineStr">
        <is>
          <t>Students redirected to Munch</t>
        </is>
      </c>
      <c r="B45" s="47">
        <f>F38</f>
        <v/>
      </c>
    </row>
    <row r="46">
      <c r="A46" s="5" t="inlineStr">
        <is>
          <t>Share of all students redirected</t>
        </is>
      </c>
      <c r="B46" s="36">
        <f>F38/B38</f>
        <v/>
      </c>
    </row>
    <row r="47">
      <c r="A47" s="5" t="inlineStr">
        <is>
          <t>Munch star-dish portions used (must be ≤ F_B)</t>
        </is>
      </c>
      <c r="B47" s="33">
        <f>N38</f>
        <v/>
      </c>
    </row>
    <row r="48">
      <c r="A48" s="5" t="inlineStr">
        <is>
          <t>Food constraint satisfied?</t>
        </is>
      </c>
      <c r="B48" s="8">
        <f>IF(B47&lt;=$D$17+0.5,"Yes","No")</f>
        <v/>
      </c>
    </row>
    <row r="49">
      <c r="A49" s="5" t="inlineStr">
        <is>
          <t>Smallest constraint slack (must be ≥ 0)</t>
        </is>
      </c>
      <c r="B49" s="27">
        <f>MIN(I20:J37)</f>
        <v/>
      </c>
    </row>
    <row r="50">
      <c r="A50" s="5" t="inlineStr">
        <is>
          <t>Every y(t) within 0 and κ·h·D(t)?</t>
        </is>
      </c>
      <c r="B50" s="8">
        <f>IF(SUMPRODUCT(--(F20:F37&gt;E20:E37+0.01))+COUNTIF(F20:F37,"&lt;0")=0,"Yes","No")</f>
        <v/>
      </c>
    </row>
    <row r="51"/>
    <row r="52"/>
    <row r="53">
      <c r="A53" s="4" t="inlineStr">
        <is>
          <t>Sensitivity: how Munch's star-dish portions limit the plan (LP re-solved for each value)</t>
        </is>
      </c>
    </row>
    <row r="54" ht="44" customHeight="1">
      <c r="A54" s="7" t="inlineStr">
        <is>
          <t>Munch portions F_B</t>
        </is>
      </c>
      <c r="B54" s="7" t="inlineStr">
        <is>
          <t>Student-minutes</t>
        </is>
      </c>
      <c r="C54" s="7" t="inlineStr">
        <is>
          <t>Avg per student (min)</t>
        </is>
      </c>
      <c r="D54" s="7" t="inlineStr">
        <is>
          <t>Redirected</t>
        </is>
      </c>
      <c r="E54" s="7" t="inlineStr">
        <is>
          <t>Shadow price: student-min saved per extra portion</t>
        </is>
      </c>
    </row>
    <row r="55">
      <c r="A55" s="13" t="n">
        <v>650</v>
      </c>
      <c r="B55" s="13" t="n">
        <v>6138</v>
      </c>
      <c r="C55" s="48" t="n">
        <v>2.07</v>
      </c>
      <c r="D55" s="13" t="n">
        <v>49</v>
      </c>
      <c r="E55" s="25" t="n">
        <v>39.5</v>
      </c>
    </row>
    <row r="56">
      <c r="A56" s="13" t="n">
        <v>700</v>
      </c>
      <c r="B56" s="13" t="n">
        <v>4163</v>
      </c>
      <c r="C56" s="48" t="n">
        <v>1.41</v>
      </c>
      <c r="D56" s="13" t="n">
        <v>99</v>
      </c>
      <c r="E56" s="25" t="n">
        <v>39.5</v>
      </c>
    </row>
    <row r="57">
      <c r="A57" s="13" t="n">
        <v>800</v>
      </c>
      <c r="B57" s="13" t="n">
        <v>1115</v>
      </c>
      <c r="C57" s="48" t="n">
        <v>0.38</v>
      </c>
      <c r="D57" s="13" t="n">
        <v>199</v>
      </c>
      <c r="E57" s="25" t="n">
        <v>19.5</v>
      </c>
    </row>
    <row r="58">
      <c r="A58" s="13" t="n">
        <v>900</v>
      </c>
      <c r="B58" s="13" t="n">
        <v>131</v>
      </c>
      <c r="C58" s="48" t="n">
        <v>0.04</v>
      </c>
      <c r="D58" s="13" t="n">
        <v>261</v>
      </c>
      <c r="E58" s="25" t="n">
        <v>0</v>
      </c>
    </row>
    <row r="59">
      <c r="A59" s="13" t="n">
        <v>1000</v>
      </c>
      <c r="B59" s="13" t="n">
        <v>131</v>
      </c>
      <c r="C59" s="48" t="n">
        <v>0.04</v>
      </c>
      <c r="D59" s="13" t="n">
        <v>261</v>
      </c>
      <c r="E59" s="25" t="n">
        <v>0</v>
      </c>
    </row>
    <row r="60">
      <c r="A60" s="13" t="n">
        <v>1200</v>
      </c>
      <c r="B60" s="13" t="n">
        <v>131</v>
      </c>
      <c r="C60" s="48" t="n">
        <v>0.04</v>
      </c>
      <c r="D60" s="13" t="n">
        <v>261</v>
      </c>
      <c r="E60" s="25" t="n">
        <v>0</v>
      </c>
    </row>
    <row r="61" ht="58" customHeight="1">
      <c r="A61" s="3" t="inlineStr">
        <is>
          <t>Reading it: Munch needs about 862 star-dish portions to carry the optimal flow. Below that, food becomes the binding constraint and every extra portion saves the student-minutes shown (the shadow price): routing and food allocation must be planned together. The LP is a fluid model with no randomness, so its optimum is a lower bound on waiting; the simulator adds random arrivals and service, live estimates with a delay, and run-outs (Scenarios, Reconciliation).</t>
        </is>
      </c>
    </row>
    <row r="62"/>
    <row r="63">
      <c r="A63" s="4" t="inlineStr">
        <is>
          <t>Re-solve in Excel</t>
        </is>
      </c>
    </row>
    <row r="64" ht="44" customHeight="1">
      <c r="A64" s="3" t="inlineStr">
        <is>
          <t>Data → Solver. Set objective B41 to Min. By changing F20:H37. Constraints: I20:J37 ≥ 0; F20:F37 ≤ E20:E37; N38 ≤ $D$17; F20:H37 ≥ 0. Method: Simplex LP. If you change any input, re-run Solver: the yellow decision cells hold the optimum for the current Inputs.</t>
        </is>
      </c>
    </row>
  </sheetData>
  <mergeCells count="23">
    <mergeCell ref="A9:N9"/>
    <mergeCell ref="A43"/>
    <mergeCell ref="A12:C12"/>
    <mergeCell ref="A44"/>
    <mergeCell ref="A6:N6"/>
    <mergeCell ref="A48"/>
    <mergeCell ref="A14:C14"/>
    <mergeCell ref="A7:N7"/>
    <mergeCell ref="A17:C17"/>
    <mergeCell ref="A49"/>
    <mergeCell ref="A45"/>
    <mergeCell ref="A13:C13"/>
    <mergeCell ref="A41"/>
    <mergeCell ref="A5:N5"/>
    <mergeCell ref="A15:C15"/>
    <mergeCell ref="A64:F64"/>
    <mergeCell ref="A46"/>
    <mergeCell ref="A8:N8"/>
    <mergeCell ref="A50"/>
    <mergeCell ref="A61:F61"/>
    <mergeCell ref="A42"/>
    <mergeCell ref="A47"/>
    <mergeCell ref="A16:C16"/>
  </mergeCells>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F38"/>
  <sheetViews>
    <sheetView showGridLines="0" workbookViewId="0">
      <selection activeCell="A1" sqref="A1"/>
    </sheetView>
  </sheetViews>
  <sheetFormatPr baseColWidth="8" defaultRowHeight="15"/>
  <cols>
    <col width="46" customWidth="1" min="1" max="1"/>
    <col width="16" customWidth="1" min="2" max="2"/>
    <col width="16" customWidth="1" min="3" max="3"/>
    <col width="16" customWidth="1" min="4" max="4"/>
    <col width="16" customWidth="1" min="5" max="5"/>
    <col width="40" customWidth="1" min="6" max="6"/>
  </cols>
  <sheetData>
    <row r="1">
      <c r="A1" s="1" t="inlineStr">
        <is>
          <t>Linear programming (secondary model): splitting the star dish between the messes to support the student flow</t>
        </is>
      </c>
      <c r="B1" s="2" t="n"/>
      <c r="C1" s="2" t="n"/>
      <c r="D1" s="2" t="n"/>
      <c r="E1" s="2" t="n"/>
      <c r="F1" s="2" t="n"/>
    </row>
    <row r="2">
      <c r="A2" s="11" t="inlineStr">
        <is>
          <t>Sessions 10–11: LP formulation, graphical method (corner points), Solver/simplex</t>
        </is>
      </c>
    </row>
    <row r="3"/>
    <row r="4">
      <c r="A4" s="4" t="inlineStr">
        <is>
          <t>Formulation</t>
        </is>
      </c>
    </row>
    <row r="5">
      <c r="A5" s="5" t="inlineStr">
        <is>
          <t>Decision variables: x1 = star-dish portions ready at Central before the peak, x2 = portions ready at Munch</t>
        </is>
      </c>
    </row>
    <row r="6">
      <c r="A6" s="5" t="inlineStr">
        <is>
          <t>Objective: maximise Σ vᵢ·xᵢ, where vᵢ = students per minute who would meet an empty tray at mess i (its peak arrival rate under the flow plan)</t>
        </is>
      </c>
    </row>
    <row r="7">
      <c r="A7" s="5" t="inlineStr">
        <is>
          <t>Subject to: x1 + x2 ≤ K (portions the kitchen can have ready);  xᵢ ≤ dᵢ (no point sending more than that mess's demand under the flow plan);  x ≥ 0</t>
        </is>
      </c>
    </row>
    <row r="8"/>
    <row r="9">
      <c r="A9" s="4" t="inlineStr">
        <is>
          <t>Data (all linked: change Inputs or the flow plan, not these)</t>
        </is>
      </c>
    </row>
    <row r="10">
      <c r="A10" s="5" t="inlineStr">
        <is>
          <t>K: portions the kitchen can have ready before the peak</t>
        </is>
      </c>
      <c r="B10" s="45">
        <f>'Inputs'!$B$69</f>
        <v/>
      </c>
    </row>
    <row r="11">
      <c r="A11" s="5" t="inlineStr">
        <is>
          <t>d1: Central demand under the flow plan (students × servings)</t>
        </is>
      </c>
      <c r="B11" s="45">
        <f>'LP Student Flow'!$M$38*'Inputs'!$B$67</f>
        <v/>
      </c>
    </row>
    <row r="12">
      <c r="A12" s="5" t="inlineStr">
        <is>
          <t>d2: Munch demand under the flow plan</t>
        </is>
      </c>
      <c r="B12" s="45">
        <f>'LP Student Flow'!$N$38*'Inputs'!$B$67</f>
        <v/>
      </c>
    </row>
    <row r="13">
      <c r="A13" s="5" t="inlineStr">
        <is>
          <t>v1: students/min at Central's peak under the plan</t>
        </is>
      </c>
      <c r="B13" s="40">
        <f>MAX('LP Student Flow'!$M$20:$M$37)/10</f>
        <v/>
      </c>
    </row>
    <row r="14">
      <c r="A14" s="5" t="inlineStr">
        <is>
          <t>v2: students/min at Munch's peak under the plan</t>
        </is>
      </c>
      <c r="B14" s="40">
        <f>MAX('LP Student Flow'!$N$20:$N$37)/10</f>
        <v/>
      </c>
    </row>
    <row r="15"/>
    <row r="16">
      <c r="A16" s="4" t="inlineStr">
        <is>
          <t>Decision cells (Solver changes these)</t>
        </is>
      </c>
    </row>
    <row r="17" ht="30" customHeight="1">
      <c r="A17" s="5" t="inlineStr">
        <is>
          <t>x1 (Central)</t>
        </is>
      </c>
      <c r="B17" s="49">
        <f>IF(B13&gt;=B14,MIN(B11,B10),MAX(0,MIN(B11,B10-MIN(B12,B10))))</f>
        <v/>
      </c>
      <c r="C17" s="3" t="inlineStr">
        <is>
          <t>Filled by the greedy rule that solves this LP exactly (fill the mess with the larger v first, then the other). Solver gives the same answer.</t>
        </is>
      </c>
    </row>
    <row r="18">
      <c r="A18" s="5" t="inlineStr">
        <is>
          <t>x2 (Munch)</t>
        </is>
      </c>
      <c r="B18" s="49">
        <f>IF(B13&gt;=B14,MAX(0,MIN(B12,B10-B17)),MIN(B12,B10))</f>
        <v/>
      </c>
    </row>
    <row r="19">
      <c r="A19" s="5" t="inlineStr">
        <is>
          <t>Objective Σ v·x (student-minutes of run-out exposure avoided per minute)</t>
        </is>
      </c>
      <c r="B19" s="47">
        <f>B13*B17+B14*B18</f>
        <v/>
      </c>
    </row>
    <row r="20"/>
    <row r="21">
      <c r="A21" s="4" t="inlineStr">
        <is>
          <t>Constraints</t>
        </is>
      </c>
    </row>
    <row r="22">
      <c r="A22" s="7" t="inlineStr">
        <is>
          <t>Constraint</t>
        </is>
      </c>
      <c r="B22" s="7" t="inlineStr">
        <is>
          <t>Left side</t>
        </is>
      </c>
      <c r="C22" s="7" t="inlineStr">
        <is>
          <t>Sign</t>
        </is>
      </c>
      <c r="D22" s="7" t="inlineStr">
        <is>
          <t>Right side</t>
        </is>
      </c>
      <c r="E22" s="7" t="inlineStr">
        <is>
          <t>OK?</t>
        </is>
      </c>
    </row>
    <row r="23">
      <c r="A23" s="8" t="inlineStr">
        <is>
          <t>Kitchen batch: x1 + x2 ≤ K</t>
        </is>
      </c>
      <c r="B23" s="33">
        <f>B17+B18</f>
        <v/>
      </c>
      <c r="C23" s="8" t="inlineStr">
        <is>
          <t>≤</t>
        </is>
      </c>
      <c r="D23" s="33">
        <f>B10</f>
        <v/>
      </c>
      <c r="E23" s="8">
        <f>IF(B23&lt;=D23,"OK","Violated")</f>
        <v/>
      </c>
    </row>
    <row r="24">
      <c r="A24" s="8" t="inlineStr">
        <is>
          <t>Central demand: x1 ≤ d1</t>
        </is>
      </c>
      <c r="B24" s="33">
        <f>B17</f>
        <v/>
      </c>
      <c r="C24" s="8" t="inlineStr">
        <is>
          <t>≤</t>
        </is>
      </c>
      <c r="D24" s="33">
        <f>B11</f>
        <v/>
      </c>
      <c r="E24" s="8">
        <f>IF(B24&lt;=D24+0.5,"OK","Violated")</f>
        <v/>
      </c>
    </row>
    <row r="25">
      <c r="A25" s="8" t="inlineStr">
        <is>
          <t>Munch demand: x2 ≤ d2</t>
        </is>
      </c>
      <c r="B25" s="33">
        <f>B18</f>
        <v/>
      </c>
      <c r="C25" s="8" t="inlineStr">
        <is>
          <t>≤</t>
        </is>
      </c>
      <c r="D25" s="33">
        <f>B12</f>
        <v/>
      </c>
      <c r="E25" s="8">
        <f>IF(B25&lt;=D25+0.5,"OK","Violated")</f>
        <v/>
      </c>
    </row>
    <row r="26">
      <c r="A26" s="8" t="inlineStr">
        <is>
          <t>Non-negativity</t>
        </is>
      </c>
      <c r="B26" s="33">
        <f>MIN(B17:B18)</f>
        <v/>
      </c>
      <c r="C26" s="8" t="inlineStr">
        <is>
          <t>≥</t>
        </is>
      </c>
      <c r="D26" s="33" t="inlineStr">
        <is>
          <t>0</t>
        </is>
      </c>
      <c r="E26" s="8">
        <f>IF(B26&gt;=0,"OK","Violated")</f>
        <v/>
      </c>
    </row>
    <row r="27"/>
    <row r="28">
      <c r="A28" s="4" t="inlineStr">
        <is>
          <t>Graphical method: evaluate every corner point of the feasible region</t>
        </is>
      </c>
    </row>
    <row r="29">
      <c r="A29" s="7" t="inlineStr">
        <is>
          <t>Corner point</t>
        </is>
      </c>
      <c r="B29" s="7" t="inlineStr">
        <is>
          <t>x1</t>
        </is>
      </c>
      <c r="C29" s="7" t="inlineStr">
        <is>
          <t>x2</t>
        </is>
      </c>
      <c r="D29" s="7" t="inlineStr">
        <is>
          <t>Feasible?</t>
        </is>
      </c>
      <c r="E29" s="7" t="inlineStr">
        <is>
          <t>Objective</t>
        </is>
      </c>
    </row>
    <row r="30">
      <c r="A30" s="8" t="inlineStr">
        <is>
          <t>Origin</t>
        </is>
      </c>
      <c r="B30" s="33" t="n">
        <v>0</v>
      </c>
      <c r="C30" s="33" t="n">
        <v>0</v>
      </c>
      <c r="D30" s="8">
        <f>IF(AND(B30+C30&lt;=$B$10+0.5,B30&lt;=$B$11+0.5,C30&lt;=$B$12+0.5),"Yes","No")</f>
        <v/>
      </c>
      <c r="E30" s="33">
        <f>$B$13*B30+$B$14*C30</f>
        <v/>
      </c>
    </row>
    <row r="31">
      <c r="A31" s="8" t="inlineStr">
        <is>
          <t>Central at demand, Munch 0</t>
        </is>
      </c>
      <c r="B31" s="33">
        <f>MIN(B11,B10)</f>
        <v/>
      </c>
      <c r="C31" s="33" t="n">
        <v>0</v>
      </c>
      <c r="D31" s="8">
        <f>IF(AND(B31+C31&lt;=$B$10+0.5,B31&lt;=$B$11+0.5,C31&lt;=$B$12+0.5),"Yes","No")</f>
        <v/>
      </c>
      <c r="E31" s="33">
        <f>$B$13*B31+$B$14*C31</f>
        <v/>
      </c>
    </row>
    <row r="32">
      <c r="A32" s="8" t="inlineStr">
        <is>
          <t>Central at demand, rest to Munch</t>
        </is>
      </c>
      <c r="B32" s="33">
        <f>MIN(B11,B10)</f>
        <v/>
      </c>
      <c r="C32" s="33">
        <f>MAX(0,MIN(B12,B10-MIN(B11,B10)))</f>
        <v/>
      </c>
      <c r="D32" s="8">
        <f>IF(AND(B32+C32&lt;=$B$10+0.5,B32&lt;=$B$11+0.5,C32&lt;=$B$12+0.5),"Yes","No")</f>
        <v/>
      </c>
      <c r="E32" s="33">
        <f>$B$13*B32+$B$14*C32</f>
        <v/>
      </c>
    </row>
    <row r="33">
      <c r="A33" s="8" t="inlineStr">
        <is>
          <t>Munch at demand, rest to Central</t>
        </is>
      </c>
      <c r="B33" s="33">
        <f>MAX(0,MIN(B11,B10-MIN(B12,B10)))</f>
        <v/>
      </c>
      <c r="C33" s="33">
        <f>MIN(B12,B10)</f>
        <v/>
      </c>
      <c r="D33" s="8">
        <f>IF(AND(B33+C33&lt;=$B$10+0.5,B33&lt;=$B$11+0.5,C33&lt;=$B$12+0.5),"Yes","No")</f>
        <v/>
      </c>
      <c r="E33" s="33">
        <f>$B$13*B33+$B$14*C33</f>
        <v/>
      </c>
    </row>
    <row r="34">
      <c r="A34" s="8" t="inlineStr">
        <is>
          <t>Munch at demand, Central 0</t>
        </is>
      </c>
      <c r="B34" s="33" t="n">
        <v>0</v>
      </c>
      <c r="C34" s="33">
        <f>MIN(B12,B10)</f>
        <v/>
      </c>
      <c r="D34" s="8">
        <f>IF(AND(B34+C34&lt;=$B$10+0.5,B34&lt;=$B$11+0.5,C34&lt;=$B$12+0.5),"Yes","No")</f>
        <v/>
      </c>
      <c r="E34" s="33">
        <f>$B$13*B34+$B$14*C34</f>
        <v/>
      </c>
    </row>
    <row r="35"/>
    <row r="36">
      <c r="A36" s="4" t="inlineStr">
        <is>
          <t>Optimal corner (graphical method)</t>
        </is>
      </c>
      <c r="B36" s="50">
        <f>INDEX(A30:A34,MATCH(MAX(E30:E34),E30:E34,0))</f>
        <v/>
      </c>
      <c r="C36" s="51" t="n"/>
      <c r="D36" s="51" t="n"/>
      <c r="E36" s="52" t="n"/>
    </row>
    <row r="37"/>
    <row r="38" ht="58" customHeight="1">
      <c r="A38" s="3" t="inlineStr">
        <is>
          <t>How this connects to the primary model: the flow plan (LP Student Flow) decides where students go; this tab then decides where the limited star dish should be before the peak. If K covers both demands, the constraint is slack and both messes are fully stocked. If not, the mess whose queue grows faster gets priority. Refills during service are handled by the Decision Rule (refill clock from the 'running low' call).</t>
        </is>
      </c>
    </row>
  </sheetData>
  <mergeCells count="6">
    <mergeCell ref="A38:F38"/>
    <mergeCell ref="B36:E36"/>
    <mergeCell ref="C17:F18"/>
    <mergeCell ref="A5:F5"/>
    <mergeCell ref="A6:F6"/>
    <mergeCell ref="A7:F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J44"/>
  <sheetViews>
    <sheetView showGridLines="0"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Decision making under uncertainty and risk: payoff matrix, with and without the system</t>
        </is>
      </c>
      <c r="B1" s="2" t="n"/>
      <c r="C1" s="2" t="n"/>
      <c r="D1" s="2" t="n"/>
      <c r="E1" s="2" t="n"/>
      <c r="F1" s="2" t="n"/>
      <c r="G1" s="2" t="n"/>
      <c r="H1" s="2" t="n"/>
      <c r="I1" s="2" t="n"/>
      <c r="J1" s="2" t="n"/>
    </row>
    <row r="2">
      <c r="A2" s="11" t="inlineStr">
        <is>
          <t>Session 7: maximax, maximin, minimax regret, Hurwicz, Laplace, EMV, EVPI · every wait below is simulated, not estimated</t>
        </is>
      </c>
    </row>
    <row r="3"/>
    <row r="4" ht="44" customHeight="1">
      <c r="A4" s="14" t="inlineStr">
        <is>
          <t>Average queue wait per student (minutes). Simulated: python -m messq.scenarios, 20 lunches per row (seeds 0–19, the same students in every scenario); ± = 95% confidence interval. Kinds of day: S1 = 20% fewer students; S2 = 2,960; S3 = 20% more students and the next batch never ready.</t>
        </is>
      </c>
    </row>
    <row r="5"/>
    <row r="6" ht="30" customHeight="1">
      <c r="A6" s="7" t="inlineStr">
        <is>
          <t>Average wait (minutes)  [lower is better]</t>
        </is>
      </c>
      <c r="B6" s="7" t="inlineStr">
        <is>
          <t>S1 Normal day</t>
        </is>
      </c>
      <c r="C6" s="7" t="inlineStr">
        <is>
          <t>S2 Busy day</t>
        </is>
      </c>
      <c r="D6" s="7" t="inlineStr">
        <is>
          <t>S3 Surge + late refills</t>
        </is>
      </c>
      <c r="F6" s="7" t="inlineStr">
        <is>
          <t>S1 Normal day (±95% CI)</t>
        </is>
      </c>
      <c r="G6" s="7" t="inlineStr">
        <is>
          <t>S2 Busy day (±95% CI)</t>
        </is>
      </c>
      <c r="H6" s="7" t="inlineStr">
        <is>
          <t>S3 Surge + late refills (±95% CI)</t>
        </is>
      </c>
    </row>
    <row r="7">
      <c r="A7" s="5" t="inlineStr">
        <is>
          <t>A1 No system (today)</t>
        </is>
      </c>
      <c r="B7" s="48" t="n">
        <v>0.8100000000000001</v>
      </c>
      <c r="C7" s="48" t="n">
        <v>4.31</v>
      </c>
      <c r="D7" s="48" t="n">
        <v>14.82</v>
      </c>
      <c r="F7" s="3" t="inlineStr">
        <is>
          <t>±0.13</t>
        </is>
      </c>
      <c r="G7" s="3" t="inlineStr">
        <is>
          <t>±0.63</t>
        </is>
      </c>
      <c r="H7" s="3" t="inlineStr">
        <is>
          <t>±0.55</t>
        </is>
      </c>
    </row>
    <row r="8">
      <c r="A8" s="5" t="inlineStr">
        <is>
          <t>A2 Door screens, queue information only</t>
        </is>
      </c>
      <c r="B8" s="48" t="n">
        <v>0.37</v>
      </c>
      <c r="C8" s="48" t="n">
        <v>1.19</v>
      </c>
      <c r="D8" s="48" t="n">
        <v>4.96</v>
      </c>
      <c r="F8" s="3" t="inlineStr">
        <is>
          <t>±0.05</t>
        </is>
      </c>
      <c r="G8" s="3" t="inlineStr">
        <is>
          <t>±0.33</t>
        </is>
      </c>
      <c r="H8" s="3" t="inlineStr">
        <is>
          <t>±0.24</t>
        </is>
      </c>
    </row>
    <row r="9">
      <c r="A9" s="5" t="inlineStr">
        <is>
          <t>A3 Door screens + food status (proposal)</t>
        </is>
      </c>
      <c r="B9" s="48" t="n">
        <v>0.38</v>
      </c>
      <c r="C9" s="48" t="n">
        <v>0.8</v>
      </c>
      <c r="D9" s="48" t="n">
        <v>4.13</v>
      </c>
      <c r="F9" s="3" t="inlineStr">
        <is>
          <t>±0.05</t>
        </is>
      </c>
      <c r="G9" s="3" t="inlineStr">
        <is>
          <t>±0.10</t>
        </is>
      </c>
      <c r="H9" s="3" t="inlineStr">
        <is>
          <t>±0.31</t>
        </is>
      </c>
    </row>
    <row r="10">
      <c r="A10" s="5" t="inlineStr">
        <is>
          <t>A4 3rd serving station at Central (no screens)</t>
        </is>
      </c>
      <c r="B10" s="48" t="n">
        <v>0.06</v>
      </c>
      <c r="C10" s="48" t="n">
        <v>0.64</v>
      </c>
      <c r="D10" s="48" t="n">
        <v>7.45</v>
      </c>
      <c r="F10" s="3" t="inlineStr">
        <is>
          <t>±0.02</t>
        </is>
      </c>
      <c r="G10" s="3" t="inlineStr">
        <is>
          <t>±0.38</t>
        </is>
      </c>
      <c r="H10" s="3" t="inlineStr">
        <is>
          <t>±0.45</t>
        </is>
      </c>
    </row>
    <row r="11">
      <c r="A11" s="5" t="inlineStr">
        <is>
          <t>A5 Proposal + 3rd serving station</t>
        </is>
      </c>
      <c r="B11" s="48" t="n">
        <v>0.05</v>
      </c>
      <c r="C11" s="48" t="n">
        <v>0.31</v>
      </c>
      <c r="D11" s="48" t="n">
        <v>3.17</v>
      </c>
      <c r="F11" s="3" t="inlineStr">
        <is>
          <t>±0.01</t>
        </is>
      </c>
      <c r="G11" s="3" t="inlineStr">
        <is>
          <t>±0.16</t>
        </is>
      </c>
      <c r="H11" s="3" t="inlineStr">
        <is>
          <t>±0.26</t>
        </is>
      </c>
    </row>
    <row r="12"/>
    <row r="13">
      <c r="A13" s="7" t="inlineStr">
        <is>
          <t>Probability of each kind of day (Inputs)</t>
        </is>
      </c>
      <c r="B13" s="7" t="inlineStr">
        <is>
          <t>S1 Normal day</t>
        </is>
      </c>
      <c r="C13" s="7" t="inlineStr">
        <is>
          <t>S2 Busy day</t>
        </is>
      </c>
      <c r="D13" s="7" t="inlineStr">
        <is>
          <t>S3 Surge + late refills</t>
        </is>
      </c>
    </row>
    <row r="14">
      <c r="A14" s="5" t="inlineStr">
        <is>
          <t>P(kind of day): from the biometric logs once available</t>
        </is>
      </c>
      <c r="B14" s="41">
        <f>'Inputs'!$B$71</f>
        <v/>
      </c>
      <c r="C14" s="41">
        <f>'Inputs'!$B$72</f>
        <v/>
      </c>
      <c r="D14" s="41">
        <f>'Inputs'!$B$73</f>
        <v/>
      </c>
      <c r="E14" s="29">
        <f>SUM(B14:D14)</f>
        <v/>
      </c>
      <c r="F14" s="3" t="inlineStr">
        <is>
          <t>← must be 100%</t>
        </is>
      </c>
    </row>
    <row r="15">
      <c r="A15" s="5" t="inlineStr">
        <is>
          <t>Students per lunch (busy day)</t>
        </is>
      </c>
      <c r="B15" s="45">
        <f>'Inputs'!$B$6</f>
        <v/>
      </c>
    </row>
    <row r="16"/>
    <row r="17">
      <c r="A17" s="4" t="inlineStr">
        <is>
          <t>Payoff = minutes saved per student compared with today = wait(A1) − wait(alternative)   [higher is better]</t>
        </is>
      </c>
    </row>
    <row r="18" ht="44" customHeight="1">
      <c r="A18" s="7" t="inlineStr">
        <is>
          <t>Alternative</t>
        </is>
      </c>
      <c r="B18" s="7" t="inlineStr">
        <is>
          <t>S1 Normal day</t>
        </is>
      </c>
      <c r="C18" s="7" t="inlineStr">
        <is>
          <t>S2 Busy day</t>
        </is>
      </c>
      <c r="D18" s="7" t="inlineStr">
        <is>
          <t>S3 Surge + late refills</t>
        </is>
      </c>
      <c r="E18" s="7" t="inlineStr">
        <is>
          <t>Maximax (optimistic)</t>
        </is>
      </c>
      <c r="F18" s="7" t="inlineStr">
        <is>
          <t>Maximin (pessimistic)</t>
        </is>
      </c>
      <c r="G18" s="7" t="inlineStr">
        <is>
          <t>Hurwicz</t>
        </is>
      </c>
      <c r="H18" s="7" t="inlineStr">
        <is>
          <t>Laplace (equal likelihood)</t>
        </is>
      </c>
      <c r="I18" s="7" t="inlineStr">
        <is>
          <t>EMV (with probabilities)</t>
        </is>
      </c>
      <c r="J18" s="7" t="inlineStr">
        <is>
          <t>Student-hours saved per lunch (EMV)</t>
        </is>
      </c>
    </row>
    <row r="19">
      <c r="A19" s="5" t="inlineStr">
        <is>
          <t>A1 No system (today)</t>
        </is>
      </c>
      <c r="B19" s="27">
        <f>B$7-B7</f>
        <v/>
      </c>
      <c r="C19" s="27">
        <f>C$7-C7</f>
        <v/>
      </c>
      <c r="D19" s="27">
        <f>D$7-D7</f>
        <v/>
      </c>
      <c r="E19" s="27">
        <f>MAX(B19:D19)</f>
        <v/>
      </c>
      <c r="F19" s="27">
        <f>MIN(B19:D19)</f>
        <v/>
      </c>
      <c r="G19" s="27">
        <f>$B$27*E19+(1-$B$27)*F19</f>
        <v/>
      </c>
      <c r="H19" s="27">
        <f>AVERAGE(B19:D19)</f>
        <v/>
      </c>
      <c r="I19" s="27">
        <f>SUMPRODUCT(B19:D19,$B$14:$D$14)</f>
        <v/>
      </c>
      <c r="J19" s="33">
        <f>I19*$B$15/60</f>
        <v/>
      </c>
    </row>
    <row r="20">
      <c r="A20" s="5" t="inlineStr">
        <is>
          <t>A2 Door screens, queue information only</t>
        </is>
      </c>
      <c r="B20" s="27">
        <f>B$7-B8</f>
        <v/>
      </c>
      <c r="C20" s="27">
        <f>C$7-C8</f>
        <v/>
      </c>
      <c r="D20" s="27">
        <f>D$7-D8</f>
        <v/>
      </c>
      <c r="E20" s="27">
        <f>MAX(B20:D20)</f>
        <v/>
      </c>
      <c r="F20" s="27">
        <f>MIN(B20:D20)</f>
        <v/>
      </c>
      <c r="G20" s="27">
        <f>$B$27*E20+(1-$B$27)*F20</f>
        <v/>
      </c>
      <c r="H20" s="27">
        <f>AVERAGE(B20:D20)</f>
        <v/>
      </c>
      <c r="I20" s="27">
        <f>SUMPRODUCT(B20:D20,$B$14:$D$14)</f>
        <v/>
      </c>
      <c r="J20" s="33">
        <f>I20*$B$15/60</f>
        <v/>
      </c>
    </row>
    <row r="21">
      <c r="A21" s="5" t="inlineStr">
        <is>
          <t>A3 Door screens + food status (proposal)</t>
        </is>
      </c>
      <c r="B21" s="27">
        <f>B$7-B9</f>
        <v/>
      </c>
      <c r="C21" s="27">
        <f>C$7-C9</f>
        <v/>
      </c>
      <c r="D21" s="27">
        <f>D$7-D9</f>
        <v/>
      </c>
      <c r="E21" s="27">
        <f>MAX(B21:D21)</f>
        <v/>
      </c>
      <c r="F21" s="27">
        <f>MIN(B21:D21)</f>
        <v/>
      </c>
      <c r="G21" s="27">
        <f>$B$27*E21+(1-$B$27)*F21</f>
        <v/>
      </c>
      <c r="H21" s="27">
        <f>AVERAGE(B21:D21)</f>
        <v/>
      </c>
      <c r="I21" s="27">
        <f>SUMPRODUCT(B21:D21,$B$14:$D$14)</f>
        <v/>
      </c>
      <c r="J21" s="33">
        <f>I21*$B$15/60</f>
        <v/>
      </c>
    </row>
    <row r="22">
      <c r="A22" s="5" t="inlineStr">
        <is>
          <t>A4 3rd serving station at Central (no screens)</t>
        </is>
      </c>
      <c r="B22" s="27">
        <f>B$7-B10</f>
        <v/>
      </c>
      <c r="C22" s="27">
        <f>C$7-C10</f>
        <v/>
      </c>
      <c r="D22" s="27">
        <f>D$7-D10</f>
        <v/>
      </c>
      <c r="E22" s="27">
        <f>MAX(B22:D22)</f>
        <v/>
      </c>
      <c r="F22" s="27">
        <f>MIN(B22:D22)</f>
        <v/>
      </c>
      <c r="G22" s="27">
        <f>$B$27*E22+(1-$B$27)*F22</f>
        <v/>
      </c>
      <c r="H22" s="27">
        <f>AVERAGE(B22:D22)</f>
        <v/>
      </c>
      <c r="I22" s="27">
        <f>SUMPRODUCT(B22:D22,$B$14:$D$14)</f>
        <v/>
      </c>
      <c r="J22" s="33">
        <f>I22*$B$15/60</f>
        <v/>
      </c>
    </row>
    <row r="23">
      <c r="A23" s="5" t="inlineStr">
        <is>
          <t>A5 Proposal + 3rd serving station</t>
        </is>
      </c>
      <c r="B23" s="27">
        <f>B$7-B11</f>
        <v/>
      </c>
      <c r="C23" s="27">
        <f>C$7-C11</f>
        <v/>
      </c>
      <c r="D23" s="27">
        <f>D$7-D11</f>
        <v/>
      </c>
      <c r="E23" s="27">
        <f>MAX(B23:D23)</f>
        <v/>
      </c>
      <c r="F23" s="27">
        <f>MIN(B23:D23)</f>
        <v/>
      </c>
      <c r="G23" s="27">
        <f>$B$27*E23+(1-$B$27)*F23</f>
        <v/>
      </c>
      <c r="H23" s="27">
        <f>AVERAGE(B23:D23)</f>
        <v/>
      </c>
      <c r="I23" s="27">
        <f>SUMPRODUCT(B23:D23,$B$14:$D$14)</f>
        <v/>
      </c>
      <c r="J23" s="33">
        <f>I23*$B$15/60</f>
        <v/>
      </c>
    </row>
    <row r="24" ht="58" customHeight="1">
      <c r="A24" s="4" t="inlineStr">
        <is>
          <t>Best alternative by criterion</t>
        </is>
      </c>
      <c r="E24" s="50">
        <f>INDEX($A$19:$A$23,MATCH(MAX(E19:E23),E19:E23,0))</f>
        <v/>
      </c>
      <c r="F24" s="50">
        <f>INDEX($A$19:$A$23,MATCH(MAX(F19:F23),F19:F23,0))</f>
        <v/>
      </c>
      <c r="G24" s="50">
        <f>INDEX($A$19:$A$23,MATCH(MAX(G19:G23),G19:G23,0))</f>
        <v/>
      </c>
      <c r="H24" s="50">
        <f>INDEX($A$19:$A$23,MATCH(MAX(H19:H23),H19:H23,0))</f>
        <v/>
      </c>
      <c r="I24" s="50">
        <f>INDEX($A$19:$A$23,MATCH(MAX(I19:I23),I19:I23,0))</f>
        <v/>
      </c>
    </row>
    <row r="25" ht="58" customHeight="1">
      <c r="A25" s="4" t="inlineStr">
        <is>
          <t>Best without an extra station's staff (A1–A3 only)</t>
        </is>
      </c>
      <c r="E25" s="50">
        <f>INDEX($A$19:$A$21,MATCH(MAX(E19:E21),E19:E21,0))</f>
        <v/>
      </c>
      <c r="F25" s="50">
        <f>INDEX($A$19:$A$21,MATCH(MAX(F19:F21),F19:F21,0))</f>
        <v/>
      </c>
      <c r="G25" s="50">
        <f>INDEX($A$19:$A$21,MATCH(MAX(G19:G21),G19:G21,0))</f>
        <v/>
      </c>
      <c r="H25" s="50">
        <f>INDEX($A$19:$A$21,MATCH(MAX(H19:H21),H19:H21,0))</f>
        <v/>
      </c>
      <c r="I25" s="50">
        <f>INDEX($A$19:$A$21,MATCH(MAX(I19:I21),I19:I21,0))</f>
        <v/>
      </c>
    </row>
    <row r="26"/>
    <row r="27">
      <c r="A27" s="5" t="inlineStr">
        <is>
          <t>Hurwicz α (degree of optimism, analyst's choice)</t>
        </is>
      </c>
      <c r="B27" s="25" t="n">
        <v>0.4</v>
      </c>
    </row>
    <row r="28">
      <c r="A28" s="4" t="inlineStr">
        <is>
          <t>Regret (opportunity loss, minutes) = best payoff on that kind of day − this payoff</t>
        </is>
      </c>
    </row>
    <row r="29">
      <c r="A29" s="7" t="inlineStr">
        <is>
          <t>Alternative</t>
        </is>
      </c>
      <c r="B29" s="7" t="inlineStr">
        <is>
          <t>S1 Normal day</t>
        </is>
      </c>
      <c r="C29" s="7" t="inlineStr">
        <is>
          <t>S2 Busy day</t>
        </is>
      </c>
      <c r="D29" s="7" t="inlineStr">
        <is>
          <t>S3 Surge + late refills</t>
        </is>
      </c>
      <c r="E29" s="7" t="inlineStr">
        <is>
          <t>Maximum regret</t>
        </is>
      </c>
      <c r="F29" s="7" t="inlineStr">
        <is>
          <t>Expected regret (EOL)</t>
        </is>
      </c>
    </row>
    <row r="30">
      <c r="A30" s="5" t="inlineStr">
        <is>
          <t>A1 No system (today)</t>
        </is>
      </c>
      <c r="B30" s="27">
        <f>MAX(B$19:B$23)-B19</f>
        <v/>
      </c>
      <c r="C30" s="27">
        <f>MAX(C$19:C$23)-C19</f>
        <v/>
      </c>
      <c r="D30" s="27">
        <f>MAX(D$19:D$23)-D19</f>
        <v/>
      </c>
      <c r="E30" s="27">
        <f>MAX(B30:D30)</f>
        <v/>
      </c>
      <c r="F30" s="27">
        <f>SUMPRODUCT(B30:D30,$B$14:$D$14)</f>
        <v/>
      </c>
    </row>
    <row r="31">
      <c r="A31" s="5" t="inlineStr">
        <is>
          <t>A2 Door screens, queue information only</t>
        </is>
      </c>
      <c r="B31" s="27">
        <f>MAX(B$19:B$23)-B20</f>
        <v/>
      </c>
      <c r="C31" s="27">
        <f>MAX(C$19:C$23)-C20</f>
        <v/>
      </c>
      <c r="D31" s="27">
        <f>MAX(D$19:D$23)-D20</f>
        <v/>
      </c>
      <c r="E31" s="27">
        <f>MAX(B31:D31)</f>
        <v/>
      </c>
      <c r="F31" s="27">
        <f>SUMPRODUCT(B31:D31,$B$14:$D$14)</f>
        <v/>
      </c>
    </row>
    <row r="32">
      <c r="A32" s="5" t="inlineStr">
        <is>
          <t>A3 Door screens + food status (proposal)</t>
        </is>
      </c>
      <c r="B32" s="27">
        <f>MAX(B$19:B$23)-B21</f>
        <v/>
      </c>
      <c r="C32" s="27">
        <f>MAX(C$19:C$23)-C21</f>
        <v/>
      </c>
      <c r="D32" s="27">
        <f>MAX(D$19:D$23)-D21</f>
        <v/>
      </c>
      <c r="E32" s="27">
        <f>MAX(B32:D32)</f>
        <v/>
      </c>
      <c r="F32" s="27">
        <f>SUMPRODUCT(B32:D32,$B$14:$D$14)</f>
        <v/>
      </c>
    </row>
    <row r="33">
      <c r="A33" s="5" t="inlineStr">
        <is>
          <t>A4 3rd serving station at Central (no screens)</t>
        </is>
      </c>
      <c r="B33" s="27">
        <f>MAX(B$19:B$23)-B22</f>
        <v/>
      </c>
      <c r="C33" s="27">
        <f>MAX(C$19:C$23)-C22</f>
        <v/>
      </c>
      <c r="D33" s="27">
        <f>MAX(D$19:D$23)-D22</f>
        <v/>
      </c>
      <c r="E33" s="27">
        <f>MAX(B33:D33)</f>
        <v/>
      </c>
      <c r="F33" s="27">
        <f>SUMPRODUCT(B33:D33,$B$14:$D$14)</f>
        <v/>
      </c>
    </row>
    <row r="34">
      <c r="A34" s="5" t="inlineStr">
        <is>
          <t>A5 Proposal + 3rd serving station</t>
        </is>
      </c>
      <c r="B34" s="27">
        <f>MAX(B$19:B$23)-B23</f>
        <v/>
      </c>
      <c r="C34" s="27">
        <f>MAX(C$19:C$23)-C23</f>
        <v/>
      </c>
      <c r="D34" s="27">
        <f>MAX(D$19:D$23)-D23</f>
        <v/>
      </c>
      <c r="E34" s="27">
        <f>MAX(B34:D34)</f>
        <v/>
      </c>
      <c r="F34" s="27">
        <f>SUMPRODUCT(B34:D34,$B$14:$D$14)</f>
        <v/>
      </c>
    </row>
    <row r="35" ht="44" customHeight="1">
      <c r="A35" s="4" t="inlineStr">
        <is>
          <t>Minimax regret choice</t>
        </is>
      </c>
      <c r="E35" s="50">
        <f>INDEX($A$30:$A$34,MATCH(MIN(E30:E34),E30:E34,0))</f>
        <v/>
      </c>
    </row>
    <row r="36" ht="44" customHeight="1">
      <c r="A36" s="4" t="inlineStr">
        <is>
          <t>Minimum expected regret (= EMV choice)</t>
        </is>
      </c>
      <c r="F36" s="50">
        <f>INDEX($A$30:$A$34,MATCH(MIN(F30:F34),F30:F34,0))</f>
        <v/>
      </c>
    </row>
    <row r="37"/>
    <row r="38">
      <c r="A38" s="4" t="inlineStr">
        <is>
          <t>Value of perfect information (minutes per student)</t>
        </is>
      </c>
    </row>
    <row r="39">
      <c r="A39" s="5" t="inlineStr">
        <is>
          <t>Expected payoff WITH perfect information (best alternative for each kind of day)</t>
        </is>
      </c>
      <c r="B39" s="27">
        <f>B14*MAX(B19:B23)+C14*MAX(C19:C23)+D14*MAX(D19:D23)</f>
        <v/>
      </c>
    </row>
    <row r="40">
      <c r="A40" s="5" t="inlineStr">
        <is>
          <t>Best EMV without perfect information</t>
        </is>
      </c>
      <c r="B40" s="27">
        <f>MAX(I19:I23)</f>
        <v/>
      </c>
    </row>
    <row r="41">
      <c r="A41" s="5" t="inlineStr">
        <is>
          <t>EVPI = extra minutes per student if we knew the kind of day in advance</t>
        </is>
      </c>
      <c r="B41" s="43">
        <f>B39-B40</f>
        <v/>
      </c>
    </row>
    <row r="42">
      <c r="A42" s="5" t="inlineStr">
        <is>
          <t>Check: EVPI equals the minimum expected regret</t>
        </is>
      </c>
      <c r="B42" s="27">
        <f>MIN(F30:F34)</f>
        <v/>
      </c>
    </row>
    <row r="43"/>
    <row r="44" ht="58" customHeight="1">
      <c r="A44" s="3" t="inlineStr">
        <is>
          <t>Reading it: the payoff is waiting time only, so the objective stays explicit. A5 has the lowest wait on every kind of day, so EVPI is 0: knowing the kind of day in advance would not change the choice. Staff cost is not in these minutes: A4 and A5 need a third station's staff every day, while A3 needs two screens and the manager's taps. Without extra staff, the proposal (A3) is the best choice (row 25). On normal days a third station alone does a little better (0.1 vs 0.4 min). A1 and A4 are without the system; A2, A3 and A5 are with it. For a table of waits (lower is better) the criteria would be minimin and minimax; turning waits into minutes saved makes higher better, so the maximax / maximin names apply.</t>
        </is>
      </c>
    </row>
  </sheetData>
  <mergeCells count="2">
    <mergeCell ref="A44:J44"/>
    <mergeCell ref="A4:J4"/>
  </mergeCells>
  <pageMargins left="0.75" right="0.75" top="1" bottom="1" header="0.5" footer="0.5"/>
  <drawing xmlns:r="http://schemas.openxmlformats.org/officeDocument/2006/relationships" r:id="rId1"/>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D30"/>
  <sheetViews>
    <sheetView showGridLines="0" workbookViewId="0">
      <selection activeCell="A1" sqref="A1"/>
    </sheetView>
  </sheetViews>
  <sheetFormatPr baseColWidth="8" defaultRowHeight="15"/>
  <cols>
    <col width="50" customWidth="1" min="1" max="1"/>
    <col width="16" customWidth="1" min="2" max="2"/>
    <col width="16" customWidth="1" min="3" max="3"/>
    <col width="46" customWidth="1" min="4" max="4"/>
  </cols>
  <sheetData>
    <row r="1">
      <c r="A1" s="1" t="inlineStr">
        <is>
          <t>Heuristics: simple rules that give good answers fast</t>
        </is>
      </c>
      <c r="B1" s="2" t="n"/>
      <c r="C1" s="2" t="n"/>
      <c r="D1" s="2" t="n"/>
    </row>
    <row r="2">
      <c r="A2" s="11" t="inlineStr">
        <is>
          <t>Session 18: Heuristics and metaheuristics — concepts and business applications</t>
        </is>
      </c>
    </row>
    <row r="3"/>
    <row r="4">
      <c r="A4" s="4" t="inlineStr">
        <is>
          <t>1. Door-screen switching rule (used in the prototype)</t>
        </is>
      </c>
    </row>
    <row r="5">
      <c r="A5" s="5" t="inlineStr">
        <is>
          <t>Predicted wait if you stay (min)</t>
        </is>
      </c>
      <c r="B5" s="25" t="n">
        <v>6</v>
      </c>
    </row>
    <row r="6">
      <c r="A6" s="5" t="inlineStr">
        <is>
          <t>Predicted wait at the other mess (min)</t>
        </is>
      </c>
      <c r="B6" s="25" t="n">
        <v>2</v>
      </c>
    </row>
    <row r="7">
      <c r="A7" s="5" t="inlineStr">
        <is>
          <t>Walk between doors (min)</t>
        </is>
      </c>
      <c r="B7" s="40">
        <f>'Inputs'!$B$36</f>
        <v/>
      </c>
    </row>
    <row r="8">
      <c r="A8" s="5" t="inlineStr">
        <is>
          <t>Minimum saving to suggest a switch (min)</t>
        </is>
      </c>
      <c r="B8" s="40">
        <f>'Inputs'!$B$76</f>
        <v/>
      </c>
    </row>
    <row r="9">
      <c r="A9" s="5" t="inlineStr">
        <is>
          <t>Saving after the walk (min)</t>
        </is>
      </c>
      <c r="B9" s="26">
        <f>B5-(B6+B7)</f>
        <v/>
      </c>
    </row>
    <row r="10">
      <c r="A10" s="5" t="inlineStr">
        <is>
          <t>Screen says</t>
        </is>
      </c>
      <c r="B10" s="37">
        <f>IF(B9&gt;=B8,"Other mess is faster → walk over",IF(B9&gt;0,"Small saving: stay","Come on in"))</f>
        <v/>
      </c>
      <c r="C10" s="51" t="n"/>
      <c r="D10" s="52" t="n"/>
    </row>
    <row r="11"/>
    <row r="12">
      <c r="A12" s="4" t="inlineStr">
        <is>
          <t>2. When should the manager tap 'running low' (call the kitchen)? A reorder point</t>
        </is>
      </c>
    </row>
    <row r="13">
      <c r="A13" s="5" t="inlineStr">
        <is>
          <t>Star dish served per minute at peak (= Central's serving capacity)</t>
        </is>
      </c>
      <c r="B13" s="40">
        <f>'Inputs'!$B$81</f>
        <v/>
      </c>
    </row>
    <row r="14">
      <c r="A14" s="5" t="inlineStr">
        <is>
          <t>Lead time from the call (worst case: has to be made, then sent)</t>
        </is>
      </c>
      <c r="B14" s="32">
        <f>'Inputs'!$B$18</f>
        <v/>
      </c>
    </row>
    <row r="15">
      <c r="A15" s="5" t="inlineStr">
        <is>
          <t>Lead time from the call (expected: 70% already made)</t>
        </is>
      </c>
      <c r="B15" s="40">
        <f>'Inputs'!$B$90</f>
        <v/>
      </c>
    </row>
    <row r="16" ht="40" customHeight="1">
      <c r="A16" s="5" t="inlineStr">
        <is>
          <t>Reorder point, worst case (portions left when the call must go)</t>
        </is>
      </c>
      <c r="B16" s="35">
        <f>B13*B14</f>
        <v/>
      </c>
      <c r="C16" s="3" t="inlineStr">
        <is>
          <t>The protocol (20 min of food) covers the expected refill but not the worst case (30 min): in that case a gap opens, and the Decision Rule charges it only to students who would reach the empty tray.</t>
        </is>
      </c>
    </row>
    <row r="17">
      <c r="A17" s="5" t="inlineStr">
        <is>
          <t>Reorder point, expected case</t>
        </is>
      </c>
      <c r="B17" s="35">
        <f>B13*B15</f>
        <v/>
      </c>
    </row>
    <row r="18">
      <c r="A18" s="5" t="inlineStr">
        <is>
          <t>Our protocol: tap 'running low' with this many minutes of food left</t>
        </is>
      </c>
      <c r="B18" s="32">
        <f>'Inputs'!$B$66</f>
        <v/>
      </c>
    </row>
    <row r="19">
      <c r="A19" s="5" t="inlineStr">
        <is>
          <t>Portions left at the tap (at peak)</t>
        </is>
      </c>
      <c r="B19" s="30">
        <f>B13*B18</f>
        <v/>
      </c>
    </row>
    <row r="20"/>
    <row r="21">
      <c r="A21" s="4" t="inlineStr">
        <is>
          <t>3. Heuristic vs full model (busy day, 60% follow the screens)</t>
        </is>
      </c>
    </row>
    <row r="22">
      <c r="A22" s="7" t="inlineStr">
        <is>
          <t>Policy</t>
        </is>
      </c>
      <c r="B22" s="7" t="inlineStr">
        <is>
          <t>Average wait (min)</t>
        </is>
      </c>
      <c r="C22" s="7" t="inlineStr">
        <is>
          <t>90th pct wait (min)</t>
        </is>
      </c>
      <c r="D22" s="7" t="inlineStr">
        <is>
          <t>Comment</t>
        </is>
      </c>
    </row>
    <row r="23" ht="30" customHeight="1">
      <c r="A23" s="9" t="inlineStr">
        <is>
          <t>No advice (today)</t>
        </is>
      </c>
      <c r="B23" s="48" t="n">
        <v>4.31</v>
      </c>
      <c r="C23" s="25" t="n">
        <v>13.9</v>
      </c>
      <c r="D23" s="9" t="inlineStr">
        <is>
          <t>Baseline (simulated)</t>
        </is>
      </c>
    </row>
    <row r="24" ht="30" customHeight="1">
      <c r="A24" s="9" t="inlineStr">
        <is>
          <t>Naive heuristic: send people to the shorter queue (≥ 2 min saving)</t>
        </is>
      </c>
      <c r="B24" s="48" t="n">
        <v>0.76</v>
      </c>
      <c r="C24" s="25" t="n">
        <v>2</v>
      </c>
      <c r="D24" s="9" t="inlineStr">
        <is>
          <t>Simple rule; works at the doors because feedback is fast (30 s walk)</t>
        </is>
      </c>
    </row>
    <row r="25" ht="30" customHeight="1">
      <c r="A25" s="9" t="inlineStr">
        <is>
          <t>Equal-wait split, queues only</t>
        </is>
      </c>
      <c r="B25" s="48" t="n">
        <v>1.19</v>
      </c>
      <c r="C25" s="25" t="n">
        <v>3.1</v>
      </c>
      <c r="D25" s="9" t="inlineStr">
        <is>
          <t>Ignores food status</t>
        </is>
      </c>
    </row>
    <row r="26" ht="30" customHeight="1">
      <c r="A26" s="9" t="inlineStr">
        <is>
          <t>Equal-wait split + food status (proposal)</t>
        </is>
      </c>
      <c r="B26" s="48" t="n">
        <v>0.8</v>
      </c>
      <c r="C26" s="25" t="n">
        <v>2.1</v>
      </c>
      <c r="D26" s="9" t="inlineStr">
        <is>
          <t>Bisection search for the split; food delays only for students who would meet an empty tray</t>
        </is>
      </c>
    </row>
    <row r="27" ht="30" customHeight="1">
      <c r="A27" s="9" t="inlineStr">
        <is>
          <t>LP lower bound (fluid model, perfect foresight)</t>
        </is>
      </c>
      <c r="B27" s="42">
        <f>'LP Student Flow'!$B$43</f>
        <v/>
      </c>
      <c r="C27" s="25" t="inlineStr"/>
      <c r="D27" s="9" t="inlineStr">
        <is>
          <t>Not achievable live: no randomness, no estimation delay</t>
        </is>
      </c>
    </row>
    <row r="28"/>
    <row r="29">
      <c r="A29" s="4" t="inlineStr">
        <is>
          <t>4. Metaheuristics (next step)</t>
        </is>
      </c>
    </row>
    <row r="30" ht="44" customHeight="1">
      <c r="A30" s="3" t="inlineStr">
        <is>
          <t>A replenishment schedule that minimises waiting + waste over a whole lunch has no closed-form answer because of the queues. A metaheuristic (simulated annealing or a genetic algorithm) can search over schedules, scoring each candidate by running our simulator: 'simulation-optimisation'.</t>
        </is>
      </c>
    </row>
  </sheetData>
  <mergeCells count="3">
    <mergeCell ref="B10:D10"/>
    <mergeCell ref="C16:D19"/>
    <mergeCell ref="A30:D30"/>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T24"/>
  <sheetViews>
    <sheetView showGridLines="0" workbookViewId="0">
      <selection activeCell="A1" sqref="A1"/>
    </sheetView>
  </sheetViews>
  <sheetFormatPr baseColWidth="8" defaultRowHeight="15"/>
  <cols>
    <col width="36"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2" customWidth="1" min="18" max="18"/>
    <col width="12" customWidth="1" min="19" max="19"/>
    <col width="40" customWidth="1" min="20" max="20"/>
  </cols>
  <sheetData>
    <row r="1">
      <c r="A1" s="1" t="inlineStr">
        <is>
          <t>Decision rule: when the screen outside Central recommends Munch, and when it gives no advice</t>
        </is>
      </c>
      <c r="B1" s="2" t="n"/>
      <c r="C1" s="2" t="n"/>
      <c r="D1" s="2" t="n"/>
      <c r="E1" s="2" t="n"/>
      <c r="F1" s="2" t="n"/>
      <c r="G1" s="2" t="n"/>
      <c r="H1" s="2" t="n"/>
      <c r="I1" s="2" t="n"/>
      <c r="J1" s="2" t="n"/>
      <c r="K1" s="2" t="n"/>
      <c r="L1" s="2" t="n"/>
      <c r="M1" s="2" t="n"/>
      <c r="N1" s="2" t="n"/>
      <c r="O1" s="2" t="n"/>
      <c r="P1" s="2" t="n"/>
      <c r="Q1" s="2" t="n"/>
      <c r="R1" s="2" t="n"/>
      <c r="S1" s="2" t="n"/>
      <c r="T1" s="2" t="n"/>
    </row>
    <row r="2">
      <c r="A2" s="11" t="inlineStr">
        <is>
          <t>The objective stays explicit: minimise each student's expected time to food (queue + walk + any food delay), without overloading the other mess</t>
        </is>
      </c>
    </row>
    <row r="3"/>
    <row r="4">
      <c r="A4" s="4" t="inlineStr">
        <is>
          <t>The rule (the same logic the prototype runs; config/default.toml)</t>
        </is>
      </c>
    </row>
    <row r="5">
      <c r="A5" s="5" t="inlineStr">
        <is>
          <t>1. No advice if the data are stale: a scanner silent for longer than the limit on the Inputs tab.</t>
        </is>
      </c>
    </row>
    <row r="6">
      <c r="A6" s="5" t="inlineStr">
        <is>
          <t>2. No advice if the star dish is out at both messes (no better option).</t>
        </is>
      </c>
    </row>
    <row r="7">
      <c r="A7" s="5" t="inlineStr">
        <is>
          <t>3. Time if you stay = queue wait here + food delay here. Time if you switch = walk + queue wait there + food delay there.</t>
        </is>
      </c>
    </row>
    <row r="8">
      <c r="A8" s="5" t="inlineStr">
        <is>
          <t>4. Food delay for a tray marked 'running low' or 'out': only if you would reach the counter after it empties and before its refill (refill clock runs from the call).</t>
        </is>
      </c>
    </row>
    <row r="9">
      <c r="A9" s="5" t="inlineStr">
        <is>
          <t>5. Recommend switching only if it saves at least the minimum saving + an uncertainty margin, AND the other mess still has spare capacity after the move.</t>
        </is>
      </c>
    </row>
    <row r="10">
      <c r="A10" s="5" t="inlineStr">
        <is>
          <t>6. Never send everyone: move only enough students to equalise utilisation (capacity-weighted), so the other mess doesn't become the new bottleneck.</t>
        </is>
      </c>
    </row>
    <row r="11"/>
    <row r="12"/>
    <row r="13" ht="58" customHeight="1">
      <c r="A13" s="7" t="inlineStr">
        <is>
          <t>Situation</t>
        </is>
      </c>
      <c r="B13" s="7" t="inlineStr">
        <is>
          <t>Wait at Central (min)</t>
        </is>
      </c>
      <c r="C13" s="7" t="inlineStr">
        <is>
          <t>Wait at Munch (min)</t>
        </is>
      </c>
      <c r="D13" s="7" t="inlineStr">
        <is>
          <t>Central star dish</t>
        </is>
      </c>
      <c r="E13" s="7" t="inlineStr">
        <is>
          <t>Min since Central called kitchen</t>
        </is>
      </c>
      <c r="F13" s="7" t="inlineStr">
        <is>
          <t>Munch star dish</t>
        </is>
      </c>
      <c r="G13" s="7" t="inlineStr">
        <is>
          <t>Min since Munch called kitchen</t>
        </is>
      </c>
      <c r="H13" s="7" t="inlineStr">
        <is>
          <t>Arrivals Central (/min)</t>
        </is>
      </c>
      <c r="I13" s="7" t="inlineStr">
        <is>
          <t>Arrivals Munch (/min)</t>
        </is>
      </c>
      <c r="J13" s="7" t="inlineStr">
        <is>
          <t>Min since last scan</t>
        </is>
      </c>
      <c r="K13" s="7" t="inlineStr">
        <is>
          <t>Central refill due in (min)</t>
        </is>
      </c>
      <c r="L13" s="7" t="inlineStr">
        <is>
          <t>Central food delay (min)</t>
        </is>
      </c>
      <c r="M13" s="7" t="inlineStr">
        <is>
          <t>Munch refill due in (min)</t>
        </is>
      </c>
      <c r="N13" s="7" t="inlineStr">
        <is>
          <t>Munch food delay (min)</t>
        </is>
      </c>
      <c r="O13" s="7" t="inlineStr">
        <is>
          <t>Time if you stay</t>
        </is>
      </c>
      <c r="P13" s="7" t="inlineStr">
        <is>
          <t>Time if you switch</t>
        </is>
      </c>
      <c r="Q13" s="7" t="inlineStr">
        <is>
          <t>Saving (min)</t>
        </is>
      </c>
      <c r="R13" s="7" t="inlineStr">
        <is>
          <t>Move /min to equalise</t>
        </is>
      </c>
      <c r="S13" s="7" t="inlineStr">
        <is>
          <t>Munch ρ after the move</t>
        </is>
      </c>
      <c r="T13" s="7" t="inlineStr">
        <is>
          <t>Screen outside Central says</t>
        </is>
      </c>
    </row>
    <row r="14" ht="30" customHeight="1">
      <c r="A14" s="5" t="inlineStr">
        <is>
          <t>Quiet start of lunch</t>
        </is>
      </c>
      <c r="B14" s="25" t="n">
        <v>0.2</v>
      </c>
      <c r="C14" s="25" t="n">
        <v>0.1</v>
      </c>
      <c r="D14" s="28" t="inlineStr">
        <is>
          <t>OK</t>
        </is>
      </c>
      <c r="E14" s="25" t="n">
        <v>0</v>
      </c>
      <c r="F14" s="28" t="inlineStr">
        <is>
          <t>OK</t>
        </is>
      </c>
      <c r="G14" s="25" t="n">
        <v>0</v>
      </c>
      <c r="H14" s="25" t="n">
        <v>5</v>
      </c>
      <c r="I14" s="25" t="n">
        <v>1</v>
      </c>
      <c r="J14" s="25" t="n">
        <v>0.2</v>
      </c>
      <c r="K14" s="26">
        <f>IF(D14="OK","",IF(('Inputs'!$B$65*IF(E14&lt;='Inputs'!$B$19,1,MAX(0,('Inputs'!$B$20-E14)/('Inputs'!$B$20-'Inputs'!$B$19))))+((1-'Inputs'!$B$65)*IF(E14&lt;'Inputs'!$B$18,1,0))=0,0,(('Inputs'!$B$65*IF(E14&lt;='Inputs'!$B$19,1,MAX(0,('Inputs'!$B$20-E14)/('Inputs'!$B$20-'Inputs'!$B$19))))*(IF(E14&lt;'Inputs'!$B$20,(MAX(E14,'Inputs'!$B$19)+'Inputs'!$B$20)/2-E14,0))+((1-'Inputs'!$B$65)*IF(E14&lt;'Inputs'!$B$18,1,0))*('Inputs'!$B$18-E14))/(('Inputs'!$B$65*IF(E14&lt;='Inputs'!$B$19,1,MAX(0,('Inputs'!$B$20-E14)/('Inputs'!$B$20-'Inputs'!$B$19))))+((1-'Inputs'!$B$65)*IF(E14&lt;'Inputs'!$B$18,1,0)))))</f>
        <v/>
      </c>
      <c r="L14" s="26">
        <f>IF(D14="OUT",MAX(0,K14-B14),IF(D14="LOW",IF(AND(B14&gt;=MAX(0,'Inputs'!$B$66-E14),B14&lt;K14),K14-B14,0),0))</f>
        <v/>
      </c>
      <c r="M14" s="26">
        <f>IF(F14="OK","",IF(('Inputs'!$B$65*IF(G14&lt;='Inputs'!$B$19,1,MAX(0,('Inputs'!$B$20-G14)/('Inputs'!$B$20-'Inputs'!$B$19))))+((1-'Inputs'!$B$65)*IF(G14&lt;'Inputs'!$B$18,1,0))=0,0,(('Inputs'!$B$65*IF(G14&lt;='Inputs'!$B$19,1,MAX(0,('Inputs'!$B$20-G14)/('Inputs'!$B$20-'Inputs'!$B$19))))*(IF(G14&lt;'Inputs'!$B$20,(MAX(G14,'Inputs'!$B$19)+'Inputs'!$B$20)/2-G14,0))+((1-'Inputs'!$B$65)*IF(G14&lt;'Inputs'!$B$18,1,0))*('Inputs'!$B$18-G14))/(('Inputs'!$B$65*IF(G14&lt;='Inputs'!$B$19,1,MAX(0,('Inputs'!$B$20-G14)/('Inputs'!$B$20-'Inputs'!$B$19))))+((1-'Inputs'!$B$65)*IF(G14&lt;'Inputs'!$B$18,1,0)))))</f>
        <v/>
      </c>
      <c r="N14" s="26">
        <f>IF(F14="OUT",MAX(0,M14-('Inputs'!$B$36+C14)),IF(F14="LOW",IF(AND(('Inputs'!$B$36+C14)&gt;=MAX(0,'Inputs'!$B$66-G14),('Inputs'!$B$36+C14)&lt;M14),M14-('Inputs'!$B$36+C14),0),0))</f>
        <v/>
      </c>
      <c r="O14" s="26">
        <f>B14+L14</f>
        <v/>
      </c>
      <c r="P14" s="26">
        <f>'Inputs'!$B$36+C14+N14</f>
        <v/>
      </c>
      <c r="Q14" s="26">
        <f>O14-P14</f>
        <v/>
      </c>
      <c r="R14" s="26">
        <f>MAX(0,(H14*'Inputs'!$B$82-I14*'Inputs'!$B$81)/('Inputs'!$B$81+'Inputs'!$B$82))</f>
        <v/>
      </c>
      <c r="S14" s="29">
        <f>(I14+MIN(R14,'Inputs'!$B$35*H14))/'Inputs'!$B$82</f>
        <v/>
      </c>
      <c r="T14" s="50">
        <f>IF(J14&gt;'Inputs'!$B$78,"No advice: scan data stale",IF(AND(D14="OUT",F14="OUT"),"No advice: star dish out at both messes",IF(Q14&lt;'Inputs'!$B$76+'Inputs'!$B$77,"Come on in (saving under "&amp;TEXT('Inputs'!$B$76+'Inputs'!$B$77,"0.0")&amp;" min)",IF(S14&gt;=1,"Come on in: Munch has no spare capacity","Munch is faster → save ~"&amp;TEXT(Q14,"0")&amp;" min"))))</f>
        <v/>
      </c>
    </row>
    <row r="15" ht="30" customHeight="1">
      <c r="A15" s="5" t="inlineStr">
        <is>
          <t>Peak: Central queue, Munch quiet</t>
        </is>
      </c>
      <c r="B15" s="25" t="n">
        <v>9</v>
      </c>
      <c r="C15" s="25" t="n">
        <v>1</v>
      </c>
      <c r="D15" s="28" t="inlineStr">
        <is>
          <t>OK</t>
        </is>
      </c>
      <c r="E15" s="25" t="n">
        <v>0</v>
      </c>
      <c r="F15" s="28" t="inlineStr">
        <is>
          <t>OK</t>
        </is>
      </c>
      <c r="G15" s="25" t="n">
        <v>0</v>
      </c>
      <c r="H15" s="25" t="n">
        <v>29</v>
      </c>
      <c r="I15" s="25" t="n">
        <v>5</v>
      </c>
      <c r="J15" s="25" t="n">
        <v>0.2</v>
      </c>
      <c r="K15" s="26">
        <f>IF(D15="OK","",IF(('Inputs'!$B$65*IF(E15&lt;='Inputs'!$B$19,1,MAX(0,('Inputs'!$B$20-E15)/('Inputs'!$B$20-'Inputs'!$B$19))))+((1-'Inputs'!$B$65)*IF(E15&lt;'Inputs'!$B$18,1,0))=0,0,(('Inputs'!$B$65*IF(E15&lt;='Inputs'!$B$19,1,MAX(0,('Inputs'!$B$20-E15)/('Inputs'!$B$20-'Inputs'!$B$19))))*(IF(E15&lt;'Inputs'!$B$20,(MAX(E15,'Inputs'!$B$19)+'Inputs'!$B$20)/2-E15,0))+((1-'Inputs'!$B$65)*IF(E15&lt;'Inputs'!$B$18,1,0))*('Inputs'!$B$18-E15))/(('Inputs'!$B$65*IF(E15&lt;='Inputs'!$B$19,1,MAX(0,('Inputs'!$B$20-E15)/('Inputs'!$B$20-'Inputs'!$B$19))))+((1-'Inputs'!$B$65)*IF(E15&lt;'Inputs'!$B$18,1,0)))))</f>
        <v/>
      </c>
      <c r="L15" s="26">
        <f>IF(D15="OUT",MAX(0,K15-B15),IF(D15="LOW",IF(AND(B15&gt;=MAX(0,'Inputs'!$B$66-E15),B15&lt;K15),K15-B15,0),0))</f>
        <v/>
      </c>
      <c r="M15" s="26">
        <f>IF(F15="OK","",IF(('Inputs'!$B$65*IF(G15&lt;='Inputs'!$B$19,1,MAX(0,('Inputs'!$B$20-G15)/('Inputs'!$B$20-'Inputs'!$B$19))))+((1-'Inputs'!$B$65)*IF(G15&lt;'Inputs'!$B$18,1,0))=0,0,(('Inputs'!$B$65*IF(G15&lt;='Inputs'!$B$19,1,MAX(0,('Inputs'!$B$20-G15)/('Inputs'!$B$20-'Inputs'!$B$19))))*(IF(G15&lt;'Inputs'!$B$20,(MAX(G15,'Inputs'!$B$19)+'Inputs'!$B$20)/2-G15,0))+((1-'Inputs'!$B$65)*IF(G15&lt;'Inputs'!$B$18,1,0))*('Inputs'!$B$18-G15))/(('Inputs'!$B$65*IF(G15&lt;='Inputs'!$B$19,1,MAX(0,('Inputs'!$B$20-G15)/('Inputs'!$B$20-'Inputs'!$B$19))))+((1-'Inputs'!$B$65)*IF(G15&lt;'Inputs'!$B$18,1,0)))))</f>
        <v/>
      </c>
      <c r="N15" s="26">
        <f>IF(F15="OUT",MAX(0,M15-('Inputs'!$B$36+C15)),IF(F15="LOW",IF(AND(('Inputs'!$B$36+C15)&gt;=MAX(0,'Inputs'!$B$66-G15),('Inputs'!$B$36+C15)&lt;M15),M15-('Inputs'!$B$36+C15),0),0))</f>
        <v/>
      </c>
      <c r="O15" s="26">
        <f>B15+L15</f>
        <v/>
      </c>
      <c r="P15" s="26">
        <f>'Inputs'!$B$36+C15+N15</f>
        <v/>
      </c>
      <c r="Q15" s="26">
        <f>O15-P15</f>
        <v/>
      </c>
      <c r="R15" s="26">
        <f>MAX(0,(H15*'Inputs'!$B$82-I15*'Inputs'!$B$81)/('Inputs'!$B$81+'Inputs'!$B$82))</f>
        <v/>
      </c>
      <c r="S15" s="29">
        <f>(I15+MIN(R15,'Inputs'!$B$35*H15))/'Inputs'!$B$82</f>
        <v/>
      </c>
      <c r="T15" s="50">
        <f>IF(J15&gt;'Inputs'!$B$78,"No advice: scan data stale",IF(AND(D15="OUT",F15="OUT"),"No advice: star dish out at both messes",IF(Q15&lt;'Inputs'!$B$76+'Inputs'!$B$77,"Come on in (saving under "&amp;TEXT('Inputs'!$B$76+'Inputs'!$B$77,"0.0")&amp;" min)",IF(S15&gt;=1,"Come on in: Munch has no spare capacity","Munch is faster → save ~"&amp;TEXT(Q15,"0")&amp;" min"))))</f>
        <v/>
      </c>
    </row>
    <row r="16" ht="30" customHeight="1">
      <c r="A16" s="5" t="inlineStr">
        <is>
          <t>Peak, but Munch is nearly full too</t>
        </is>
      </c>
      <c r="B16" s="25" t="n">
        <v>9</v>
      </c>
      <c r="C16" s="25" t="n">
        <v>6</v>
      </c>
      <c r="D16" s="28" t="inlineStr">
        <is>
          <t>OK</t>
        </is>
      </c>
      <c r="E16" s="25" t="n">
        <v>0</v>
      </c>
      <c r="F16" s="28" t="inlineStr">
        <is>
          <t>OK</t>
        </is>
      </c>
      <c r="G16" s="25" t="n">
        <v>0</v>
      </c>
      <c r="H16" s="25" t="n">
        <v>29</v>
      </c>
      <c r="I16" s="25" t="n">
        <v>19</v>
      </c>
      <c r="J16" s="25" t="n">
        <v>0.2</v>
      </c>
      <c r="K16" s="26">
        <f>IF(D16="OK","",IF(('Inputs'!$B$65*IF(E16&lt;='Inputs'!$B$19,1,MAX(0,('Inputs'!$B$20-E16)/('Inputs'!$B$20-'Inputs'!$B$19))))+((1-'Inputs'!$B$65)*IF(E16&lt;'Inputs'!$B$18,1,0))=0,0,(('Inputs'!$B$65*IF(E16&lt;='Inputs'!$B$19,1,MAX(0,('Inputs'!$B$20-E16)/('Inputs'!$B$20-'Inputs'!$B$19))))*(IF(E16&lt;'Inputs'!$B$20,(MAX(E16,'Inputs'!$B$19)+'Inputs'!$B$20)/2-E16,0))+((1-'Inputs'!$B$65)*IF(E16&lt;'Inputs'!$B$18,1,0))*('Inputs'!$B$18-E16))/(('Inputs'!$B$65*IF(E16&lt;='Inputs'!$B$19,1,MAX(0,('Inputs'!$B$20-E16)/('Inputs'!$B$20-'Inputs'!$B$19))))+((1-'Inputs'!$B$65)*IF(E16&lt;'Inputs'!$B$18,1,0)))))</f>
        <v/>
      </c>
      <c r="L16" s="26">
        <f>IF(D16="OUT",MAX(0,K16-B16),IF(D16="LOW",IF(AND(B16&gt;=MAX(0,'Inputs'!$B$66-E16),B16&lt;K16),K16-B16,0),0))</f>
        <v/>
      </c>
      <c r="M16" s="26">
        <f>IF(F16="OK","",IF(('Inputs'!$B$65*IF(G16&lt;='Inputs'!$B$19,1,MAX(0,('Inputs'!$B$20-G16)/('Inputs'!$B$20-'Inputs'!$B$19))))+((1-'Inputs'!$B$65)*IF(G16&lt;'Inputs'!$B$18,1,0))=0,0,(('Inputs'!$B$65*IF(G16&lt;='Inputs'!$B$19,1,MAX(0,('Inputs'!$B$20-G16)/('Inputs'!$B$20-'Inputs'!$B$19))))*(IF(G16&lt;'Inputs'!$B$20,(MAX(G16,'Inputs'!$B$19)+'Inputs'!$B$20)/2-G16,0))+((1-'Inputs'!$B$65)*IF(G16&lt;'Inputs'!$B$18,1,0))*('Inputs'!$B$18-G16))/(('Inputs'!$B$65*IF(G16&lt;='Inputs'!$B$19,1,MAX(0,('Inputs'!$B$20-G16)/('Inputs'!$B$20-'Inputs'!$B$19))))+((1-'Inputs'!$B$65)*IF(G16&lt;'Inputs'!$B$18,1,0)))))</f>
        <v/>
      </c>
      <c r="N16" s="26">
        <f>IF(F16="OUT",MAX(0,M16-('Inputs'!$B$36+C16)),IF(F16="LOW",IF(AND(('Inputs'!$B$36+C16)&gt;=MAX(0,'Inputs'!$B$66-G16),('Inputs'!$B$36+C16)&lt;M16),M16-('Inputs'!$B$36+C16),0),0))</f>
        <v/>
      </c>
      <c r="O16" s="26">
        <f>B16+L16</f>
        <v/>
      </c>
      <c r="P16" s="26">
        <f>'Inputs'!$B$36+C16+N16</f>
        <v/>
      </c>
      <c r="Q16" s="26">
        <f>O16-P16</f>
        <v/>
      </c>
      <c r="R16" s="26">
        <f>MAX(0,(H16*'Inputs'!$B$82-I16*'Inputs'!$B$81)/('Inputs'!$B$81+'Inputs'!$B$82))</f>
        <v/>
      </c>
      <c r="S16" s="29">
        <f>(I16+MIN(R16,'Inputs'!$B$35*H16))/'Inputs'!$B$82</f>
        <v/>
      </c>
      <c r="T16" s="50">
        <f>IF(J16&gt;'Inputs'!$B$78,"No advice: scan data stale",IF(AND(D16="OUT",F16="OUT"),"No advice: star dish out at both messes",IF(Q16&lt;'Inputs'!$B$76+'Inputs'!$B$77,"Come on in (saving under "&amp;TEXT('Inputs'!$B$76+'Inputs'!$B$77,"0.0")&amp;" min)",IF(S16&gt;=1,"Come on in: Munch has no spare capacity","Munch is faster → save ~"&amp;TEXT(Q16,"0")&amp;" min"))))</f>
        <v/>
      </c>
    </row>
    <row r="17" ht="30" customHeight="1">
      <c r="A17" s="5" t="inlineStr">
        <is>
          <t>Central star dish OUT, kitchen just called</t>
        </is>
      </c>
      <c r="B17" s="25" t="n">
        <v>3</v>
      </c>
      <c r="C17" s="25" t="n">
        <v>1</v>
      </c>
      <c r="D17" s="28" t="inlineStr">
        <is>
          <t>OUT</t>
        </is>
      </c>
      <c r="E17" s="25" t="n">
        <v>0</v>
      </c>
      <c r="F17" s="28" t="inlineStr">
        <is>
          <t>OK</t>
        </is>
      </c>
      <c r="G17" s="25" t="n">
        <v>0</v>
      </c>
      <c r="H17" s="25" t="n">
        <v>25</v>
      </c>
      <c r="I17" s="25" t="n">
        <v>6</v>
      </c>
      <c r="J17" s="25" t="n">
        <v>0.2</v>
      </c>
      <c r="K17" s="26">
        <f>IF(D17="OK","",IF(('Inputs'!$B$65*IF(E17&lt;='Inputs'!$B$19,1,MAX(0,('Inputs'!$B$20-E17)/('Inputs'!$B$20-'Inputs'!$B$19))))+((1-'Inputs'!$B$65)*IF(E17&lt;'Inputs'!$B$18,1,0))=0,0,(('Inputs'!$B$65*IF(E17&lt;='Inputs'!$B$19,1,MAX(0,('Inputs'!$B$20-E17)/('Inputs'!$B$20-'Inputs'!$B$19))))*(IF(E17&lt;'Inputs'!$B$20,(MAX(E17,'Inputs'!$B$19)+'Inputs'!$B$20)/2-E17,0))+((1-'Inputs'!$B$65)*IF(E17&lt;'Inputs'!$B$18,1,0))*('Inputs'!$B$18-E17))/(('Inputs'!$B$65*IF(E17&lt;='Inputs'!$B$19,1,MAX(0,('Inputs'!$B$20-E17)/('Inputs'!$B$20-'Inputs'!$B$19))))+((1-'Inputs'!$B$65)*IF(E17&lt;'Inputs'!$B$18,1,0)))))</f>
        <v/>
      </c>
      <c r="L17" s="26">
        <f>IF(D17="OUT",MAX(0,K17-B17),IF(D17="LOW",IF(AND(B17&gt;=MAX(0,'Inputs'!$B$66-E17),B17&lt;K17),K17-B17,0),0))</f>
        <v/>
      </c>
      <c r="M17" s="26">
        <f>IF(F17="OK","",IF(('Inputs'!$B$65*IF(G17&lt;='Inputs'!$B$19,1,MAX(0,('Inputs'!$B$20-G17)/('Inputs'!$B$20-'Inputs'!$B$19))))+((1-'Inputs'!$B$65)*IF(G17&lt;'Inputs'!$B$18,1,0))=0,0,(('Inputs'!$B$65*IF(G17&lt;='Inputs'!$B$19,1,MAX(0,('Inputs'!$B$20-G17)/('Inputs'!$B$20-'Inputs'!$B$19))))*(IF(G17&lt;'Inputs'!$B$20,(MAX(G17,'Inputs'!$B$19)+'Inputs'!$B$20)/2-G17,0))+((1-'Inputs'!$B$65)*IF(G17&lt;'Inputs'!$B$18,1,0))*('Inputs'!$B$18-G17))/(('Inputs'!$B$65*IF(G17&lt;='Inputs'!$B$19,1,MAX(0,('Inputs'!$B$20-G17)/('Inputs'!$B$20-'Inputs'!$B$19))))+((1-'Inputs'!$B$65)*IF(G17&lt;'Inputs'!$B$18,1,0)))))</f>
        <v/>
      </c>
      <c r="N17" s="26">
        <f>IF(F17="OUT",MAX(0,M17-('Inputs'!$B$36+C17)),IF(F17="LOW",IF(AND(('Inputs'!$B$36+C17)&gt;=MAX(0,'Inputs'!$B$66-G17),('Inputs'!$B$36+C17)&lt;M17),M17-('Inputs'!$B$36+C17),0),0))</f>
        <v/>
      </c>
      <c r="O17" s="26">
        <f>B17+L17</f>
        <v/>
      </c>
      <c r="P17" s="26">
        <f>'Inputs'!$B$36+C17+N17</f>
        <v/>
      </c>
      <c r="Q17" s="26">
        <f>O17-P17</f>
        <v/>
      </c>
      <c r="R17" s="26">
        <f>MAX(0,(H17*'Inputs'!$B$82-I17*'Inputs'!$B$81)/('Inputs'!$B$81+'Inputs'!$B$82))</f>
        <v/>
      </c>
      <c r="S17" s="29">
        <f>(I17+MIN(R17,'Inputs'!$B$35*H17))/'Inputs'!$B$82</f>
        <v/>
      </c>
      <c r="T17" s="50">
        <f>IF(J17&gt;'Inputs'!$B$78,"No advice: scan data stale",IF(AND(D17="OUT",F17="OUT"),"No advice: star dish out at both messes",IF(Q17&lt;'Inputs'!$B$76+'Inputs'!$B$77,"Come on in (saving under "&amp;TEXT('Inputs'!$B$76+'Inputs'!$B$77,"0.0")&amp;" min)",IF(S17&gt;=1,"Come on in: Munch has no spare capacity","Munch is faster → save ~"&amp;TEXT(Q17,"0")&amp;" min"))))</f>
        <v/>
      </c>
    </row>
    <row r="18" ht="30" customHeight="1">
      <c r="A18" s="5" t="inlineStr">
        <is>
          <t>Central star dish OUT, called 16 min ago (late batch)</t>
        </is>
      </c>
      <c r="B18" s="25" t="n">
        <v>3</v>
      </c>
      <c r="C18" s="25" t="n">
        <v>1</v>
      </c>
      <c r="D18" s="28" t="inlineStr">
        <is>
          <t>OUT</t>
        </is>
      </c>
      <c r="E18" s="25" t="n">
        <v>16</v>
      </c>
      <c r="F18" s="28" t="inlineStr">
        <is>
          <t>OK</t>
        </is>
      </c>
      <c r="G18" s="25" t="n">
        <v>0</v>
      </c>
      <c r="H18" s="25" t="n">
        <v>25</v>
      </c>
      <c r="I18" s="25" t="n">
        <v>6</v>
      </c>
      <c r="J18" s="25" t="n">
        <v>0.2</v>
      </c>
      <c r="K18" s="26">
        <f>IF(D18="OK","",IF(('Inputs'!$B$65*IF(E18&lt;='Inputs'!$B$19,1,MAX(0,('Inputs'!$B$20-E18)/('Inputs'!$B$20-'Inputs'!$B$19))))+((1-'Inputs'!$B$65)*IF(E18&lt;'Inputs'!$B$18,1,0))=0,0,(('Inputs'!$B$65*IF(E18&lt;='Inputs'!$B$19,1,MAX(0,('Inputs'!$B$20-E18)/('Inputs'!$B$20-'Inputs'!$B$19))))*(IF(E18&lt;'Inputs'!$B$20,(MAX(E18,'Inputs'!$B$19)+'Inputs'!$B$20)/2-E18,0))+((1-'Inputs'!$B$65)*IF(E18&lt;'Inputs'!$B$18,1,0))*('Inputs'!$B$18-E18))/(('Inputs'!$B$65*IF(E18&lt;='Inputs'!$B$19,1,MAX(0,('Inputs'!$B$20-E18)/('Inputs'!$B$20-'Inputs'!$B$19))))+((1-'Inputs'!$B$65)*IF(E18&lt;'Inputs'!$B$18,1,0)))))</f>
        <v/>
      </c>
      <c r="L18" s="26">
        <f>IF(D18="OUT",MAX(0,K18-B18),IF(D18="LOW",IF(AND(B18&gt;=MAX(0,'Inputs'!$B$66-E18),B18&lt;K18),K18-B18,0),0))</f>
        <v/>
      </c>
      <c r="M18" s="26">
        <f>IF(F18="OK","",IF(('Inputs'!$B$65*IF(G18&lt;='Inputs'!$B$19,1,MAX(0,('Inputs'!$B$20-G18)/('Inputs'!$B$20-'Inputs'!$B$19))))+((1-'Inputs'!$B$65)*IF(G18&lt;'Inputs'!$B$18,1,0))=0,0,(('Inputs'!$B$65*IF(G18&lt;='Inputs'!$B$19,1,MAX(0,('Inputs'!$B$20-G18)/('Inputs'!$B$20-'Inputs'!$B$19))))*(IF(G18&lt;'Inputs'!$B$20,(MAX(G18,'Inputs'!$B$19)+'Inputs'!$B$20)/2-G18,0))+((1-'Inputs'!$B$65)*IF(G18&lt;'Inputs'!$B$18,1,0))*('Inputs'!$B$18-G18))/(('Inputs'!$B$65*IF(G18&lt;='Inputs'!$B$19,1,MAX(0,('Inputs'!$B$20-G18)/('Inputs'!$B$20-'Inputs'!$B$19))))+((1-'Inputs'!$B$65)*IF(G18&lt;'Inputs'!$B$18,1,0)))))</f>
        <v/>
      </c>
      <c r="N18" s="26">
        <f>IF(F18="OUT",MAX(0,M18-('Inputs'!$B$36+C18)),IF(F18="LOW",IF(AND(('Inputs'!$B$36+C18)&gt;=MAX(0,'Inputs'!$B$66-G18),('Inputs'!$B$36+C18)&lt;M18),M18-('Inputs'!$B$36+C18),0),0))</f>
        <v/>
      </c>
      <c r="O18" s="26">
        <f>B18+L18</f>
        <v/>
      </c>
      <c r="P18" s="26">
        <f>'Inputs'!$B$36+C18+N18</f>
        <v/>
      </c>
      <c r="Q18" s="26">
        <f>O18-P18</f>
        <v/>
      </c>
      <c r="R18" s="26">
        <f>MAX(0,(H18*'Inputs'!$B$82-I18*'Inputs'!$B$81)/('Inputs'!$B$81+'Inputs'!$B$82))</f>
        <v/>
      </c>
      <c r="S18" s="29">
        <f>(I18+MIN(R18,'Inputs'!$B$35*H18))/'Inputs'!$B$82</f>
        <v/>
      </c>
      <c r="T18" s="50">
        <f>IF(J18&gt;'Inputs'!$B$78,"No advice: scan data stale",IF(AND(D18="OUT",F18="OUT"),"No advice: star dish out at both messes",IF(Q18&lt;'Inputs'!$B$76+'Inputs'!$B$77,"Come on in (saving under "&amp;TEXT('Inputs'!$B$76+'Inputs'!$B$77,"0.0")&amp;" min)",IF(S18&gt;=1,"Come on in: Munch has no spare capacity","Munch is faster → save ~"&amp;TEXT(Q18,"0")&amp;" min"))))</f>
        <v/>
      </c>
    </row>
    <row r="19" ht="30" customHeight="1">
      <c r="A19" s="5" t="inlineStr">
        <is>
          <t>Central running low, called 2 min ago</t>
        </is>
      </c>
      <c r="B19" s="25" t="n">
        <v>2</v>
      </c>
      <c r="C19" s="25" t="n">
        <v>1</v>
      </c>
      <c r="D19" s="28" t="inlineStr">
        <is>
          <t>LOW</t>
        </is>
      </c>
      <c r="E19" s="25" t="n">
        <v>2</v>
      </c>
      <c r="F19" s="28" t="inlineStr">
        <is>
          <t>OK</t>
        </is>
      </c>
      <c r="G19" s="25" t="n">
        <v>0</v>
      </c>
      <c r="H19" s="25" t="n">
        <v>25</v>
      </c>
      <c r="I19" s="25" t="n">
        <v>6</v>
      </c>
      <c r="J19" s="25" t="n">
        <v>0.2</v>
      </c>
      <c r="K19" s="26">
        <f>IF(D19="OK","",IF(('Inputs'!$B$65*IF(E19&lt;='Inputs'!$B$19,1,MAX(0,('Inputs'!$B$20-E19)/('Inputs'!$B$20-'Inputs'!$B$19))))+((1-'Inputs'!$B$65)*IF(E19&lt;'Inputs'!$B$18,1,0))=0,0,(('Inputs'!$B$65*IF(E19&lt;='Inputs'!$B$19,1,MAX(0,('Inputs'!$B$20-E19)/('Inputs'!$B$20-'Inputs'!$B$19))))*(IF(E19&lt;'Inputs'!$B$20,(MAX(E19,'Inputs'!$B$19)+'Inputs'!$B$20)/2-E19,0))+((1-'Inputs'!$B$65)*IF(E19&lt;'Inputs'!$B$18,1,0))*('Inputs'!$B$18-E19))/(('Inputs'!$B$65*IF(E19&lt;='Inputs'!$B$19,1,MAX(0,('Inputs'!$B$20-E19)/('Inputs'!$B$20-'Inputs'!$B$19))))+((1-'Inputs'!$B$65)*IF(E19&lt;'Inputs'!$B$18,1,0)))))</f>
        <v/>
      </c>
      <c r="L19" s="26">
        <f>IF(D19="OUT",MAX(0,K19-B19),IF(D19="LOW",IF(AND(B19&gt;=MAX(0,'Inputs'!$B$66-E19),B19&lt;K19),K19-B19,0),0))</f>
        <v/>
      </c>
      <c r="M19" s="26">
        <f>IF(F19="OK","",IF(('Inputs'!$B$65*IF(G19&lt;='Inputs'!$B$19,1,MAX(0,('Inputs'!$B$20-G19)/('Inputs'!$B$20-'Inputs'!$B$19))))+((1-'Inputs'!$B$65)*IF(G19&lt;'Inputs'!$B$18,1,0))=0,0,(('Inputs'!$B$65*IF(G19&lt;='Inputs'!$B$19,1,MAX(0,('Inputs'!$B$20-G19)/('Inputs'!$B$20-'Inputs'!$B$19))))*(IF(G19&lt;'Inputs'!$B$20,(MAX(G19,'Inputs'!$B$19)+'Inputs'!$B$20)/2-G19,0))+((1-'Inputs'!$B$65)*IF(G19&lt;'Inputs'!$B$18,1,0))*('Inputs'!$B$18-G19))/(('Inputs'!$B$65*IF(G19&lt;='Inputs'!$B$19,1,MAX(0,('Inputs'!$B$20-G19)/('Inputs'!$B$20-'Inputs'!$B$19))))+((1-'Inputs'!$B$65)*IF(G19&lt;'Inputs'!$B$18,1,0)))))</f>
        <v/>
      </c>
      <c r="N19" s="26">
        <f>IF(F19="OUT",MAX(0,M19-('Inputs'!$B$36+C19)),IF(F19="LOW",IF(AND(('Inputs'!$B$36+C19)&gt;=MAX(0,'Inputs'!$B$66-G19),('Inputs'!$B$36+C19)&lt;M19),M19-('Inputs'!$B$36+C19),0),0))</f>
        <v/>
      </c>
      <c r="O19" s="26">
        <f>B19+L19</f>
        <v/>
      </c>
      <c r="P19" s="26">
        <f>'Inputs'!$B$36+C19+N19</f>
        <v/>
      </c>
      <c r="Q19" s="26">
        <f>O19-P19</f>
        <v/>
      </c>
      <c r="R19" s="26">
        <f>MAX(0,(H19*'Inputs'!$B$82-I19*'Inputs'!$B$81)/('Inputs'!$B$81+'Inputs'!$B$82))</f>
        <v/>
      </c>
      <c r="S19" s="29">
        <f>(I19+MIN(R19,'Inputs'!$B$35*H19))/'Inputs'!$B$82</f>
        <v/>
      </c>
      <c r="T19" s="50">
        <f>IF(J19&gt;'Inputs'!$B$78,"No advice: scan data stale",IF(AND(D19="OUT",F19="OUT"),"No advice: star dish out at both messes",IF(Q19&lt;'Inputs'!$B$76+'Inputs'!$B$77,"Come on in (saving under "&amp;TEXT('Inputs'!$B$76+'Inputs'!$B$77,"0.0")&amp;" min)",IF(S19&gt;=1,"Come on in: Munch has no spare capacity","Munch is faster → save ~"&amp;TEXT(Q19,"0")&amp;" min"))))</f>
        <v/>
      </c>
    </row>
    <row r="20" ht="30" customHeight="1">
      <c r="A20" s="5" t="inlineStr">
        <is>
          <t>Central running low, called 18 min ago, 4-min queue</t>
        </is>
      </c>
      <c r="B20" s="25" t="n">
        <v>4</v>
      </c>
      <c r="C20" s="25" t="n">
        <v>1</v>
      </c>
      <c r="D20" s="28" t="inlineStr">
        <is>
          <t>LOW</t>
        </is>
      </c>
      <c r="E20" s="25" t="n">
        <v>18</v>
      </c>
      <c r="F20" s="28" t="inlineStr">
        <is>
          <t>OK</t>
        </is>
      </c>
      <c r="G20" s="25" t="n">
        <v>0</v>
      </c>
      <c r="H20" s="25" t="n">
        <v>25</v>
      </c>
      <c r="I20" s="25" t="n">
        <v>6</v>
      </c>
      <c r="J20" s="25" t="n">
        <v>0.2</v>
      </c>
      <c r="K20" s="26">
        <f>IF(D20="OK","",IF(('Inputs'!$B$65*IF(E20&lt;='Inputs'!$B$19,1,MAX(0,('Inputs'!$B$20-E20)/('Inputs'!$B$20-'Inputs'!$B$19))))+((1-'Inputs'!$B$65)*IF(E20&lt;'Inputs'!$B$18,1,0))=0,0,(('Inputs'!$B$65*IF(E20&lt;='Inputs'!$B$19,1,MAX(0,('Inputs'!$B$20-E20)/('Inputs'!$B$20-'Inputs'!$B$19))))*(IF(E20&lt;'Inputs'!$B$20,(MAX(E20,'Inputs'!$B$19)+'Inputs'!$B$20)/2-E20,0))+((1-'Inputs'!$B$65)*IF(E20&lt;'Inputs'!$B$18,1,0))*('Inputs'!$B$18-E20))/(('Inputs'!$B$65*IF(E20&lt;='Inputs'!$B$19,1,MAX(0,('Inputs'!$B$20-E20)/('Inputs'!$B$20-'Inputs'!$B$19))))+((1-'Inputs'!$B$65)*IF(E20&lt;'Inputs'!$B$18,1,0)))))</f>
        <v/>
      </c>
      <c r="L20" s="26">
        <f>IF(D20="OUT",MAX(0,K20-B20),IF(D20="LOW",IF(AND(B20&gt;=MAX(0,'Inputs'!$B$66-E20),B20&lt;K20),K20-B20,0),0))</f>
        <v/>
      </c>
      <c r="M20" s="26">
        <f>IF(F20="OK","",IF(('Inputs'!$B$65*IF(G20&lt;='Inputs'!$B$19,1,MAX(0,('Inputs'!$B$20-G20)/('Inputs'!$B$20-'Inputs'!$B$19))))+((1-'Inputs'!$B$65)*IF(G20&lt;'Inputs'!$B$18,1,0))=0,0,(('Inputs'!$B$65*IF(G20&lt;='Inputs'!$B$19,1,MAX(0,('Inputs'!$B$20-G20)/('Inputs'!$B$20-'Inputs'!$B$19))))*(IF(G20&lt;'Inputs'!$B$20,(MAX(G20,'Inputs'!$B$19)+'Inputs'!$B$20)/2-G20,0))+((1-'Inputs'!$B$65)*IF(G20&lt;'Inputs'!$B$18,1,0))*('Inputs'!$B$18-G20))/(('Inputs'!$B$65*IF(G20&lt;='Inputs'!$B$19,1,MAX(0,('Inputs'!$B$20-G20)/('Inputs'!$B$20-'Inputs'!$B$19))))+((1-'Inputs'!$B$65)*IF(G20&lt;'Inputs'!$B$18,1,0)))))</f>
        <v/>
      </c>
      <c r="N20" s="26">
        <f>IF(F20="OUT",MAX(0,M20-('Inputs'!$B$36+C20)),IF(F20="LOW",IF(AND(('Inputs'!$B$36+C20)&gt;=MAX(0,'Inputs'!$B$66-G20),('Inputs'!$B$36+C20)&lt;M20),M20-('Inputs'!$B$36+C20),0),0))</f>
        <v/>
      </c>
      <c r="O20" s="26">
        <f>B20+L20</f>
        <v/>
      </c>
      <c r="P20" s="26">
        <f>'Inputs'!$B$36+C20+N20</f>
        <v/>
      </c>
      <c r="Q20" s="26">
        <f>O20-P20</f>
        <v/>
      </c>
      <c r="R20" s="26">
        <f>MAX(0,(H20*'Inputs'!$B$82-I20*'Inputs'!$B$81)/('Inputs'!$B$81+'Inputs'!$B$82))</f>
        <v/>
      </c>
      <c r="S20" s="29">
        <f>(I20+MIN(R20,'Inputs'!$B$35*H20))/'Inputs'!$B$82</f>
        <v/>
      </c>
      <c r="T20" s="50">
        <f>IF(J20&gt;'Inputs'!$B$78,"No advice: scan data stale",IF(AND(D20="OUT",F20="OUT"),"No advice: star dish out at both messes",IF(Q20&lt;'Inputs'!$B$76+'Inputs'!$B$77,"Come on in (saving under "&amp;TEXT('Inputs'!$B$76+'Inputs'!$B$77,"0.0")&amp;" min)",IF(S20&gt;=1,"Come on in: Munch has no spare capacity","Munch is faster → save ~"&amp;TEXT(Q20,"0")&amp;" min"))))</f>
        <v/>
      </c>
    </row>
    <row r="21" ht="30" customHeight="1">
      <c r="A21" s="5" t="inlineStr">
        <is>
          <t>Central scanner silent for 5 minutes</t>
        </is>
      </c>
      <c r="B21" s="25" t="n">
        <v>9</v>
      </c>
      <c r="C21" s="25" t="n">
        <v>1</v>
      </c>
      <c r="D21" s="28" t="inlineStr">
        <is>
          <t>OK</t>
        </is>
      </c>
      <c r="E21" s="25" t="n">
        <v>0</v>
      </c>
      <c r="F21" s="28" t="inlineStr">
        <is>
          <t>OK</t>
        </is>
      </c>
      <c r="G21" s="25" t="n">
        <v>0</v>
      </c>
      <c r="H21" s="25" t="n">
        <v>29</v>
      </c>
      <c r="I21" s="25" t="n">
        <v>5</v>
      </c>
      <c r="J21" s="25" t="n">
        <v>5</v>
      </c>
      <c r="K21" s="26">
        <f>IF(D21="OK","",IF(('Inputs'!$B$65*IF(E21&lt;='Inputs'!$B$19,1,MAX(0,('Inputs'!$B$20-E21)/('Inputs'!$B$20-'Inputs'!$B$19))))+((1-'Inputs'!$B$65)*IF(E21&lt;'Inputs'!$B$18,1,0))=0,0,(('Inputs'!$B$65*IF(E21&lt;='Inputs'!$B$19,1,MAX(0,('Inputs'!$B$20-E21)/('Inputs'!$B$20-'Inputs'!$B$19))))*(IF(E21&lt;'Inputs'!$B$20,(MAX(E21,'Inputs'!$B$19)+'Inputs'!$B$20)/2-E21,0))+((1-'Inputs'!$B$65)*IF(E21&lt;'Inputs'!$B$18,1,0))*('Inputs'!$B$18-E21))/(('Inputs'!$B$65*IF(E21&lt;='Inputs'!$B$19,1,MAX(0,('Inputs'!$B$20-E21)/('Inputs'!$B$20-'Inputs'!$B$19))))+((1-'Inputs'!$B$65)*IF(E21&lt;'Inputs'!$B$18,1,0)))))</f>
        <v/>
      </c>
      <c r="L21" s="26">
        <f>IF(D21="OUT",MAX(0,K21-B21),IF(D21="LOW",IF(AND(B21&gt;=MAX(0,'Inputs'!$B$66-E21),B21&lt;K21),K21-B21,0),0))</f>
        <v/>
      </c>
      <c r="M21" s="26">
        <f>IF(F21="OK","",IF(('Inputs'!$B$65*IF(G21&lt;='Inputs'!$B$19,1,MAX(0,('Inputs'!$B$20-G21)/('Inputs'!$B$20-'Inputs'!$B$19))))+((1-'Inputs'!$B$65)*IF(G21&lt;'Inputs'!$B$18,1,0))=0,0,(('Inputs'!$B$65*IF(G21&lt;='Inputs'!$B$19,1,MAX(0,('Inputs'!$B$20-G21)/('Inputs'!$B$20-'Inputs'!$B$19))))*(IF(G21&lt;'Inputs'!$B$20,(MAX(G21,'Inputs'!$B$19)+'Inputs'!$B$20)/2-G21,0))+((1-'Inputs'!$B$65)*IF(G21&lt;'Inputs'!$B$18,1,0))*('Inputs'!$B$18-G21))/(('Inputs'!$B$65*IF(G21&lt;='Inputs'!$B$19,1,MAX(0,('Inputs'!$B$20-G21)/('Inputs'!$B$20-'Inputs'!$B$19))))+((1-'Inputs'!$B$65)*IF(G21&lt;'Inputs'!$B$18,1,0)))))</f>
        <v/>
      </c>
      <c r="N21" s="26">
        <f>IF(F21="OUT",MAX(0,M21-('Inputs'!$B$36+C21)),IF(F21="LOW",IF(AND(('Inputs'!$B$36+C21)&gt;=MAX(0,'Inputs'!$B$66-G21),('Inputs'!$B$36+C21)&lt;M21),M21-('Inputs'!$B$36+C21),0),0))</f>
        <v/>
      </c>
      <c r="O21" s="26">
        <f>B21+L21</f>
        <v/>
      </c>
      <c r="P21" s="26">
        <f>'Inputs'!$B$36+C21+N21</f>
        <v/>
      </c>
      <c r="Q21" s="26">
        <f>O21-P21</f>
        <v/>
      </c>
      <c r="R21" s="26">
        <f>MAX(0,(H21*'Inputs'!$B$82-I21*'Inputs'!$B$81)/('Inputs'!$B$81+'Inputs'!$B$82))</f>
        <v/>
      </c>
      <c r="S21" s="29">
        <f>(I21+MIN(R21,'Inputs'!$B$35*H21))/'Inputs'!$B$82</f>
        <v/>
      </c>
      <c r="T21" s="50">
        <f>IF(J21&gt;'Inputs'!$B$78,"No advice: scan data stale",IF(AND(D21="OUT",F21="OUT"),"No advice: star dish out at both messes",IF(Q21&lt;'Inputs'!$B$76+'Inputs'!$B$77,"Come on in (saving under "&amp;TEXT('Inputs'!$B$76+'Inputs'!$B$77,"0.0")&amp;" min)",IF(S21&gt;=1,"Come on in: Munch has no spare capacity","Munch is faster → save ~"&amp;TEXT(Q21,"0")&amp;" min"))))</f>
        <v/>
      </c>
    </row>
    <row r="22" ht="30" customHeight="1">
      <c r="A22" s="5" t="inlineStr">
        <is>
          <t>Star dish out at both messes</t>
        </is>
      </c>
      <c r="B22" s="25" t="n">
        <v>3</v>
      </c>
      <c r="C22" s="25" t="n">
        <v>3</v>
      </c>
      <c r="D22" s="28" t="inlineStr">
        <is>
          <t>OUT</t>
        </is>
      </c>
      <c r="E22" s="25" t="n">
        <v>5</v>
      </c>
      <c r="F22" s="28" t="inlineStr">
        <is>
          <t>OUT</t>
        </is>
      </c>
      <c r="G22" s="25" t="n">
        <v>5</v>
      </c>
      <c r="H22" s="25" t="n">
        <v>20</v>
      </c>
      <c r="I22" s="25" t="n">
        <v>10</v>
      </c>
      <c r="J22" s="25" t="n">
        <v>0.2</v>
      </c>
      <c r="K22" s="26">
        <f>IF(D22="OK","",IF(('Inputs'!$B$65*IF(E22&lt;='Inputs'!$B$19,1,MAX(0,('Inputs'!$B$20-E22)/('Inputs'!$B$20-'Inputs'!$B$19))))+((1-'Inputs'!$B$65)*IF(E22&lt;'Inputs'!$B$18,1,0))=0,0,(('Inputs'!$B$65*IF(E22&lt;='Inputs'!$B$19,1,MAX(0,('Inputs'!$B$20-E22)/('Inputs'!$B$20-'Inputs'!$B$19))))*(IF(E22&lt;'Inputs'!$B$20,(MAX(E22,'Inputs'!$B$19)+'Inputs'!$B$20)/2-E22,0))+((1-'Inputs'!$B$65)*IF(E22&lt;'Inputs'!$B$18,1,0))*('Inputs'!$B$18-E22))/(('Inputs'!$B$65*IF(E22&lt;='Inputs'!$B$19,1,MAX(0,('Inputs'!$B$20-E22)/('Inputs'!$B$20-'Inputs'!$B$19))))+((1-'Inputs'!$B$65)*IF(E22&lt;'Inputs'!$B$18,1,0)))))</f>
        <v/>
      </c>
      <c r="L22" s="26">
        <f>IF(D22="OUT",MAX(0,K22-B22),IF(D22="LOW",IF(AND(B22&gt;=MAX(0,'Inputs'!$B$66-E22),B22&lt;K22),K22-B22,0),0))</f>
        <v/>
      </c>
      <c r="M22" s="26">
        <f>IF(F22="OK","",IF(('Inputs'!$B$65*IF(G22&lt;='Inputs'!$B$19,1,MAX(0,('Inputs'!$B$20-G22)/('Inputs'!$B$20-'Inputs'!$B$19))))+((1-'Inputs'!$B$65)*IF(G22&lt;'Inputs'!$B$18,1,0))=0,0,(('Inputs'!$B$65*IF(G22&lt;='Inputs'!$B$19,1,MAX(0,('Inputs'!$B$20-G22)/('Inputs'!$B$20-'Inputs'!$B$19))))*(IF(G22&lt;'Inputs'!$B$20,(MAX(G22,'Inputs'!$B$19)+'Inputs'!$B$20)/2-G22,0))+((1-'Inputs'!$B$65)*IF(G22&lt;'Inputs'!$B$18,1,0))*('Inputs'!$B$18-G22))/(('Inputs'!$B$65*IF(G22&lt;='Inputs'!$B$19,1,MAX(0,('Inputs'!$B$20-G22)/('Inputs'!$B$20-'Inputs'!$B$19))))+((1-'Inputs'!$B$65)*IF(G22&lt;'Inputs'!$B$18,1,0)))))</f>
        <v/>
      </c>
      <c r="N22" s="26">
        <f>IF(F22="OUT",MAX(0,M22-('Inputs'!$B$36+C22)),IF(F22="LOW",IF(AND(('Inputs'!$B$36+C22)&gt;=MAX(0,'Inputs'!$B$66-G22),('Inputs'!$B$36+C22)&lt;M22),M22-('Inputs'!$B$36+C22),0),0))</f>
        <v/>
      </c>
      <c r="O22" s="26">
        <f>B22+L22</f>
        <v/>
      </c>
      <c r="P22" s="26">
        <f>'Inputs'!$B$36+C22+N22</f>
        <v/>
      </c>
      <c r="Q22" s="26">
        <f>O22-P22</f>
        <v/>
      </c>
      <c r="R22" s="26">
        <f>MAX(0,(H22*'Inputs'!$B$82-I22*'Inputs'!$B$81)/('Inputs'!$B$81+'Inputs'!$B$82))</f>
        <v/>
      </c>
      <c r="S22" s="29">
        <f>(I22+MIN(R22,'Inputs'!$B$35*H22))/'Inputs'!$B$82</f>
        <v/>
      </c>
      <c r="T22" s="50">
        <f>IF(J22&gt;'Inputs'!$B$78,"No advice: scan data stale",IF(AND(D22="OUT",F22="OUT"),"No advice: star dish out at both messes",IF(Q22&lt;'Inputs'!$B$76+'Inputs'!$B$77,"Come on in (saving under "&amp;TEXT('Inputs'!$B$76+'Inputs'!$B$77,"0.0")&amp;" min)",IF(S22&gt;=1,"Come on in: Munch has no spare capacity","Munch is faster → save ~"&amp;TEXT(Q22,"0")&amp;" min"))))</f>
        <v/>
      </c>
    </row>
    <row r="23"/>
    <row r="24" ht="58" customHeight="1">
      <c r="A24" s="3" t="inlineStr">
        <is>
          <t>Blue cells are example situations: change them to test the rule. 'Refill due in' is the expected time still to wait given the minutes since the call and no refill yet: if 15 minutes have passed, the 10–14 minute 'already made' case is ruled out, so only the 30-minute case remains. 'Move /min to equalise' is how many students per minute would make both messes equally busy; the screen asks only that share (never everyone). The simulator applies the same rule through an equal-wait split (bisection), which also accounts for the walk and the queues the moved students create.</t>
        </is>
      </c>
    </row>
  </sheetData>
  <mergeCells count="7">
    <mergeCell ref="A5:T5"/>
    <mergeCell ref="A8:T8"/>
    <mergeCell ref="A6:T6"/>
    <mergeCell ref="A9:T9"/>
    <mergeCell ref="A7:T7"/>
    <mergeCell ref="A24:T24"/>
    <mergeCell ref="A10:T10"/>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O33"/>
  <sheetViews>
    <sheetView showGridLines="0" workbookViewId="0">
      <selection activeCell="A1" sqref="A1"/>
    </sheetView>
  </sheetViews>
  <sheetFormatPr baseColWidth="8" defaultRowHeight="15"/>
  <cols>
    <col width="44" customWidth="1" min="1" max="1"/>
    <col width="14" customWidth="1" min="2" max="2"/>
    <col width="14" customWidth="1" min="3" max="3"/>
    <col width="14" customWidth="1" min="4" max="4"/>
    <col width="14" customWidth="1" min="5" max="5"/>
    <col width="14" customWidth="1" min="6" max="6"/>
    <col width="14" customWidth="1" min="7" max="7"/>
    <col width="12" customWidth="1" min="8" max="8"/>
    <col width="12" customWidth="1" min="9" max="9"/>
    <col width="12" customWidth="1" min="10" max="10"/>
    <col width="12" customWidth="1" min="11" max="11"/>
    <col width="12" customWidth="1" min="12" max="12"/>
    <col width="12" customWidth="1" min="13" max="13"/>
    <col width="13" customWidth="1" min="14" max="14"/>
    <col width="13" customWidth="1" min="15" max="15"/>
  </cols>
  <sheetData>
    <row r="1">
      <c r="A1" s="1" t="inlineStr">
        <is>
          <t>Baseline vs intervention: four scenarios and stress tests (simulated, same students in every scenario)</t>
        </is>
      </c>
      <c r="B1" s="2" t="n"/>
      <c r="C1" s="2" t="n"/>
      <c r="D1" s="2" t="n"/>
      <c r="E1" s="2" t="n"/>
      <c r="F1" s="2" t="n"/>
      <c r="G1" s="2" t="n"/>
      <c r="H1" s="2" t="n"/>
      <c r="I1" s="2" t="n"/>
      <c r="J1" s="2" t="n"/>
      <c r="K1" s="2" t="n"/>
      <c r="L1" s="2" t="n"/>
      <c r="M1" s="2" t="n"/>
      <c r="N1" s="2" t="n"/>
      <c r="O1" s="2" t="n"/>
    </row>
    <row r="2">
      <c r="A2" s="11" t="inlineStr">
        <is>
          <t>Simulated: python -m messq.scenarios, 20 lunches per row (seeds 0–19, the same students in every scenario); ± = 95% confidence interval</t>
        </is>
      </c>
    </row>
    <row r="3"/>
    <row r="4">
      <c r="A4" s="4" t="inlineStr">
        <is>
          <t>1. The four scenarios on a busy day (2,960 students, 60% follow the screens)</t>
        </is>
      </c>
    </row>
    <row r="5" ht="58" customHeight="1">
      <c r="A5" s="7" t="inlineStr">
        <is>
          <t>Scenario</t>
        </is>
      </c>
      <c r="B5" s="7" t="inlineStr">
        <is>
          <t>Avg queue wait (min)</t>
        </is>
      </c>
      <c r="C5" s="7" t="inlineStr">
        <is>
          <t>±95% CI</t>
        </is>
      </c>
      <c r="D5" s="7" t="inlineStr">
        <is>
          <t>90th pct wait (min)</t>
        </is>
      </c>
      <c r="E5" s="7" t="inlineStr">
        <is>
          <t>Avg throughput, door to leaving (min)</t>
        </is>
      </c>
      <c r="F5" s="7" t="inlineStr">
        <is>
          <t>90th pct throughput (min)</t>
        </is>
      </c>
      <c r="G5" s="7" t="inlineStr">
        <is>
          <t>Total incl. walk, decision to leaving (min)</t>
        </is>
      </c>
      <c r="H5" s="7" t="inlineStr">
        <is>
          <t>Central stations busy</t>
        </is>
      </c>
      <c r="I5" s="7" t="inlineStr">
        <is>
          <t>Munch stations busy</t>
        </is>
      </c>
      <c r="J5" s="7" t="inlineStr">
        <is>
          <t>Central peak load (30 min)</t>
        </is>
      </c>
      <c r="K5" s="7" t="inlineStr">
        <is>
          <t>Munch peak load (30 min)</t>
        </is>
      </c>
      <c r="L5" s="7" t="inlineStr">
        <is>
          <t>Run-outs per lunch</t>
        </is>
      </c>
      <c r="M5" s="7" t="inlineStr">
        <is>
          <t>Redirected students</t>
        </is>
      </c>
      <c r="N5" s="7" t="inlineStr">
        <is>
          <t>Followed the advice</t>
        </is>
      </c>
      <c r="O5" s="7" t="inlineStr">
        <is>
          <t>Unsuccessful redirects</t>
        </is>
      </c>
    </row>
    <row r="6">
      <c r="A6" s="5" t="inlineStr">
        <is>
          <t>1 Current system</t>
        </is>
      </c>
      <c r="B6" s="48" t="n">
        <v>4.31</v>
      </c>
      <c r="C6" s="3" t="inlineStr">
        <is>
          <t>±0.63</t>
        </is>
      </c>
      <c r="D6" s="25" t="n">
        <v>13.906</v>
      </c>
      <c r="E6" s="25" t="n">
        <v>23.94</v>
      </c>
      <c r="F6" s="25" t="n">
        <v>33.212</v>
      </c>
      <c r="G6" s="25" t="n">
        <v>23.94</v>
      </c>
      <c r="H6" s="24" t="n">
        <v>0.658</v>
      </c>
      <c r="I6" s="24" t="n">
        <v>0.165</v>
      </c>
      <c r="J6" s="24" t="n">
        <v>1.345</v>
      </c>
      <c r="K6" s="24" t="n">
        <v>0.347</v>
      </c>
      <c r="L6" s="25" t="n">
        <v>0.45</v>
      </c>
      <c r="M6" s="16" t="n">
        <v>0</v>
      </c>
      <c r="N6" s="24" t="inlineStr">
        <is>
          <t>–</t>
        </is>
      </c>
      <c r="O6" s="24" t="inlineStr">
        <is>
          <t>–</t>
        </is>
      </c>
    </row>
    <row r="7">
      <c r="A7" s="5" t="inlineStr">
        <is>
          <t>2 Queue information only</t>
        </is>
      </c>
      <c r="B7" s="48" t="n">
        <v>1.191</v>
      </c>
      <c r="C7" s="3" t="inlineStr">
        <is>
          <t>±0.33</t>
        </is>
      </c>
      <c r="D7" s="25" t="n">
        <v>3.126</v>
      </c>
      <c r="E7" s="25" t="n">
        <v>20.815</v>
      </c>
      <c r="F7" s="25" t="n">
        <v>23.38</v>
      </c>
      <c r="G7" s="25" t="n">
        <v>20.856</v>
      </c>
      <c r="H7" s="24" t="n">
        <v>0.591</v>
      </c>
      <c r="I7" s="24" t="n">
        <v>0.232</v>
      </c>
      <c r="J7" s="24" t="n">
        <v>1.04</v>
      </c>
      <c r="K7" s="24" t="n">
        <v>0.6840000000000001</v>
      </c>
      <c r="L7" s="25" t="n">
        <v>0.45</v>
      </c>
      <c r="M7" s="16" t="n">
        <v>239</v>
      </c>
      <c r="N7" s="24" t="n">
        <v>0.61</v>
      </c>
      <c r="O7" s="24" t="n">
        <v>0.016</v>
      </c>
    </row>
    <row r="8">
      <c r="A8" s="4" t="inlineStr">
        <is>
          <t>3 Queue + food (proposal)</t>
        </is>
      </c>
      <c r="B8" s="48" t="n">
        <v>0.798</v>
      </c>
      <c r="C8" s="3" t="inlineStr">
        <is>
          <t>±0.10</t>
        </is>
      </c>
      <c r="D8" s="25" t="n">
        <v>2.104</v>
      </c>
      <c r="E8" s="25" t="n">
        <v>20.423</v>
      </c>
      <c r="F8" s="25" t="n">
        <v>22.423</v>
      </c>
      <c r="G8" s="25" t="n">
        <v>20.467</v>
      </c>
      <c r="H8" s="24" t="n">
        <v>0.584</v>
      </c>
      <c r="I8" s="24" t="n">
        <v>0.237</v>
      </c>
      <c r="J8" s="24" t="n">
        <v>1.034</v>
      </c>
      <c r="K8" s="24" t="n">
        <v>0.6879999999999999</v>
      </c>
      <c r="L8" s="25" t="n">
        <v>0.35</v>
      </c>
      <c r="M8" s="16" t="n">
        <v>260.95</v>
      </c>
      <c r="N8" s="24" t="n">
        <v>0.612</v>
      </c>
      <c r="O8" s="24" t="n">
        <v>0.015</v>
      </c>
    </row>
    <row r="9">
      <c r="A9" s="5" t="inlineStr">
        <is>
          <t>N Naive: go to the shorter queue</t>
        </is>
      </c>
      <c r="B9" s="48" t="n">
        <v>0.76</v>
      </c>
      <c r="C9" s="3" t="inlineStr">
        <is>
          <t>±0.10</t>
        </is>
      </c>
      <c r="D9" s="25" t="n">
        <v>2.008</v>
      </c>
      <c r="E9" s="25" t="n">
        <v>20.383</v>
      </c>
      <c r="F9" s="25" t="n">
        <v>22.355</v>
      </c>
      <c r="G9" s="25" t="n">
        <v>20.429</v>
      </c>
      <c r="H9" s="24" t="n">
        <v>0.583</v>
      </c>
      <c r="I9" s="24" t="n">
        <v>0.241</v>
      </c>
      <c r="J9" s="24" t="n">
        <v>1.035</v>
      </c>
      <c r="K9" s="24" t="n">
        <v>0.697</v>
      </c>
      <c r="L9" s="25" t="n">
        <v>0.5</v>
      </c>
      <c r="M9" s="16" t="n">
        <v>271.3</v>
      </c>
      <c r="N9" s="24" t="n">
        <v>0.611</v>
      </c>
      <c r="O9" s="24" t="n">
        <v>0.051</v>
      </c>
    </row>
    <row r="10"/>
    <row r="11">
      <c r="A11" s="4" t="inlineStr">
        <is>
          <t>Change vs today (proposal)</t>
        </is>
      </c>
      <c r="B11" s="53">
        <f>B8-B6</f>
        <v/>
      </c>
      <c r="C11" s="54">
        <f>1-B8/B6</f>
        <v/>
      </c>
      <c r="D11" s="55">
        <f>D8-D6</f>
        <v/>
      </c>
      <c r="E11" s="55">
        <f>E8-E6</f>
        <v/>
      </c>
    </row>
    <row r="12" ht="72" customHeight="1">
      <c r="A12" s="3" t="inlineStr">
        <is>
          <t>Definitions. Queue wait = minutes queueing for the scanner, a serving station and a seat (eating, the food line and disposal are activity time, not waiting). Throughput = door to leaving, all four stages. 90th percentile = the wait that 1 in 10 students exceed, per lunch, then averaged. Stations busy = share of 11:30–14:30 the serving stations were in use; peak load = arrivals ÷ capacity in the busiest 30 minutes (above 100% the queue grows). Unsuccessful redirect = a redirected student whose wait + walk exceeded the average wait of students who stayed at the mess they left and arrived within 2 minutes. Scenario 2 = the screens use queues but never hear about food; N = a naive 'go to the shorter queue' rule, shown for the herding point.</t>
        </is>
      </c>
    </row>
    <row r="13"/>
    <row r="14"/>
    <row r="15">
      <c r="A15" s="4" t="inlineStr">
        <is>
          <t>2. Stress tests: does the benefit persist? One input changed at a time</t>
        </is>
      </c>
    </row>
    <row r="16" ht="44" customHeight="1">
      <c r="A16" s="7" t="inlineStr">
        <is>
          <t>Stress test</t>
        </is>
      </c>
      <c r="B16" s="7" t="inlineStr">
        <is>
          <t>1 Current: wait</t>
        </is>
      </c>
      <c r="C16" s="7" t="inlineStr">
        <is>
          <t>2 Queue only: wait</t>
        </is>
      </c>
      <c r="D16" s="7" t="inlineStr">
        <is>
          <t>3 Proposal: wait</t>
        </is>
      </c>
      <c r="E16" s="7" t="inlineStr">
        <is>
          <t>3 Proposal: ±95% CI</t>
        </is>
      </c>
      <c r="F16" s="7" t="inlineStr">
        <is>
          <t>1 Current: p90</t>
        </is>
      </c>
      <c r="G16" s="7" t="inlineStr">
        <is>
          <t>3 Proposal: p90</t>
        </is>
      </c>
      <c r="H16" s="7" t="inlineStr">
        <is>
          <t>Reduction (3 vs 1)</t>
        </is>
      </c>
      <c r="I16" s="7" t="inlineStr">
        <is>
          <t>3 beats 2?</t>
        </is>
      </c>
      <c r="J16" s="7" t="inlineStr">
        <is>
          <t>Run-outs: 1</t>
        </is>
      </c>
      <c r="K16" s="7" t="inlineStr">
        <is>
          <t>Run-outs: 3</t>
        </is>
      </c>
      <c r="L16" s="7" t="inlineStr">
        <is>
          <t>Unsuccessful: 2</t>
        </is>
      </c>
      <c r="M16" s="7" t="inlineStr">
        <is>
          <t>Unsuccessful: 3</t>
        </is>
      </c>
    </row>
    <row r="17">
      <c r="A17" s="56" t="inlineStr">
        <is>
          <t>Demand +20% (3,552 students)</t>
        </is>
      </c>
      <c r="B17" s="48" t="n">
        <v>12.046</v>
      </c>
      <c r="C17" s="48" t="n">
        <v>2.165</v>
      </c>
      <c r="D17" s="48" t="n">
        <v>2.023</v>
      </c>
      <c r="E17" s="57" t="inlineStr">
        <is>
          <t>±0.47</t>
        </is>
      </c>
      <c r="F17" s="25" t="n">
        <v>32.16</v>
      </c>
      <c r="G17" s="25" t="n">
        <v>5.599</v>
      </c>
      <c r="H17" s="29">
        <f>1-D17/B17</f>
        <v/>
      </c>
      <c r="I17" s="8">
        <f>IF(D17+0.472&lt;C17-0.385,"Yes",IF(D17&lt;C17,"Tie (within noise)","No"))</f>
        <v/>
      </c>
      <c r="J17" s="25" t="n">
        <v>1</v>
      </c>
      <c r="K17" s="25" t="n">
        <v>1.05</v>
      </c>
      <c r="L17" s="24" t="n">
        <v>0.08400000000000001</v>
      </c>
      <c r="M17" s="24" t="n">
        <v>0.082</v>
      </c>
    </row>
    <row r="18">
      <c r="A18" s="56" t="inlineStr">
        <is>
          <t>Students rush at the bell (lag 15 +/- 10 min, not 20 +/- 20)</t>
        </is>
      </c>
      <c r="B18" s="48" t="n">
        <v>8.523999999999999</v>
      </c>
      <c r="C18" s="48" t="n">
        <v>2.046</v>
      </c>
      <c r="D18" s="48" t="n">
        <v>1.684</v>
      </c>
      <c r="E18" s="57" t="inlineStr">
        <is>
          <t>±0.14</t>
        </is>
      </c>
      <c r="F18" s="25" t="n">
        <v>22.574</v>
      </c>
      <c r="G18" s="25" t="n">
        <v>4.395</v>
      </c>
      <c r="H18" s="29">
        <f>1-D18/B18</f>
        <v/>
      </c>
      <c r="I18" s="8">
        <f>IF(D18+0.138&lt;C18-0.267,"Yes",IF(D18&lt;C18,"Tie (within noise)","No"))</f>
        <v/>
      </c>
      <c r="J18" s="25" t="n">
        <v>0.55</v>
      </c>
      <c r="K18" s="25" t="n">
        <v>0.75</v>
      </c>
      <c r="L18" s="24" t="n">
        <v>0.023</v>
      </c>
      <c r="M18" s="24" t="n">
        <v>0.029</v>
      </c>
    </row>
    <row r="19">
      <c r="A19" s="56" t="inlineStr">
        <is>
          <t>Heavy lab day: 70% of MIT eat 13:00-14:00</t>
        </is>
      </c>
      <c r="B19" s="48" t="n">
        <v>5.955</v>
      </c>
      <c r="C19" s="48" t="n">
        <v>1.406</v>
      </c>
      <c r="D19" s="48" t="n">
        <v>1.341</v>
      </c>
      <c r="E19" s="57" t="inlineStr">
        <is>
          <t>±0.36</t>
        </is>
      </c>
      <c r="F19" s="25" t="n">
        <v>19.684</v>
      </c>
      <c r="G19" s="25" t="n">
        <v>4.504</v>
      </c>
      <c r="H19" s="29">
        <f>1-D19/B19</f>
        <v/>
      </c>
      <c r="I19" s="8">
        <f>IF(D19+0.362&lt;C19-0.234,"Yes",IF(D19&lt;C19,"Tie (within noise)","No"))</f>
        <v/>
      </c>
      <c r="J19" s="25" t="n">
        <v>0.7</v>
      </c>
      <c r="K19" s="25" t="n">
        <v>1.15</v>
      </c>
      <c r="L19" s="24" t="n">
        <v>0.149</v>
      </c>
      <c r="M19" s="24" t="n">
        <v>0.064</v>
      </c>
    </row>
    <row r="20">
      <c r="A20" s="56" t="inlineStr">
        <is>
          <t>No MIT labs: all MIT eat 12:00-13:00</t>
        </is>
      </c>
      <c r="B20" s="48" t="n">
        <v>8.778</v>
      </c>
      <c r="C20" s="48" t="n">
        <v>1.203</v>
      </c>
      <c r="D20" s="48" t="n">
        <v>0.953</v>
      </c>
      <c r="E20" s="57" t="inlineStr">
        <is>
          <t>±0.17</t>
        </is>
      </c>
      <c r="F20" s="25" t="n">
        <v>17.315</v>
      </c>
      <c r="G20" s="25" t="n">
        <v>2.531</v>
      </c>
      <c r="H20" s="29">
        <f>1-D20/B20</f>
        <v/>
      </c>
      <c r="I20" s="8">
        <f>IF(D20+0.17&lt;C20-0.298,"Yes",IF(D20&lt;C20,"Tie (within noise)","No"))</f>
        <v/>
      </c>
      <c r="J20" s="25" t="n">
        <v>0.5</v>
      </c>
      <c r="K20" s="25" t="n">
        <v>0.75</v>
      </c>
      <c r="L20" s="24" t="n">
        <v>0.064</v>
      </c>
      <c r="M20" s="24" t="n">
        <v>0.04</v>
      </c>
    </row>
    <row r="21">
      <c r="A21" s="56" t="inlineStr">
        <is>
          <t>Stagger: SMI lunch 15 min earlier (11:45-12:45)</t>
        </is>
      </c>
      <c r="B21" s="48" t="n">
        <v>3.275</v>
      </c>
      <c r="C21" s="48" t="n">
        <v>0.694</v>
      </c>
      <c r="D21" s="48" t="n">
        <v>0.5600000000000001</v>
      </c>
      <c r="E21" s="57" t="inlineStr">
        <is>
          <t>±0.07</t>
        </is>
      </c>
      <c r="F21" s="25" t="n">
        <v>12.306</v>
      </c>
      <c r="G21" s="25" t="n">
        <v>1.903</v>
      </c>
      <c r="H21" s="29">
        <f>1-D21/B21</f>
        <v/>
      </c>
      <c r="I21" s="8">
        <f>IF(D21+0.069&lt;C21-0.131,"Yes",IF(D21&lt;C21,"Tie (within noise)","No"))</f>
        <v/>
      </c>
      <c r="J21" s="25" t="n">
        <v>0.5</v>
      </c>
      <c r="K21" s="25" t="n">
        <v>0.35</v>
      </c>
      <c r="L21" s="24" t="n">
        <v>0.008</v>
      </c>
      <c r="M21" s="24" t="n">
        <v>0.065</v>
      </c>
    </row>
    <row r="22">
      <c r="A22" s="56" t="inlineStr">
        <is>
          <t>Stagger: TAPMI lunch 15 min later (13:20-14:15)</t>
        </is>
      </c>
      <c r="B22" s="48" t="n">
        <v>1.654</v>
      </c>
      <c r="C22" s="48" t="n">
        <v>0.851</v>
      </c>
      <c r="D22" s="48" t="n">
        <v>0.548</v>
      </c>
      <c r="E22" s="57" t="inlineStr">
        <is>
          <t>±0.06</t>
        </is>
      </c>
      <c r="F22" s="25" t="n">
        <v>5.023</v>
      </c>
      <c r="G22" s="25" t="n">
        <v>1.467</v>
      </c>
      <c r="H22" s="29">
        <f>1-D22/B22</f>
        <v/>
      </c>
      <c r="I22" s="8">
        <f>IF(D22+0.062&lt;C22-0.176,"Yes",IF(D22&lt;C22,"Tie (within noise)","No"))</f>
        <v/>
      </c>
      <c r="J22" s="25" t="n">
        <v>0.5</v>
      </c>
      <c r="K22" s="25" t="n">
        <v>0.55</v>
      </c>
      <c r="L22" s="24" t="n">
        <v>0.041</v>
      </c>
      <c r="M22" s="24" t="n">
        <v>0.07199999999999999</v>
      </c>
    </row>
    <row r="23">
      <c r="A23" s="56" t="inlineStr">
        <is>
          <t>One bell curve (old assumption: peak 13:05, spread 35)</t>
        </is>
      </c>
      <c r="B23" s="48" t="n">
        <v>5.757</v>
      </c>
      <c r="C23" s="48" t="n">
        <v>1.571</v>
      </c>
      <c r="D23" s="48" t="n">
        <v>0.879</v>
      </c>
      <c r="E23" s="57" t="inlineStr">
        <is>
          <t>±0.23</t>
        </is>
      </c>
      <c r="F23" s="25" t="n">
        <v>14.914</v>
      </c>
      <c r="G23" s="25" t="n">
        <v>2.54</v>
      </c>
      <c r="H23" s="29">
        <f>1-D23/B23</f>
        <v/>
      </c>
      <c r="I23" s="8">
        <f>IF(D23+0.228&lt;C23-0.392,"Yes",IF(D23&lt;C23,"Tie (within noise)","No"))</f>
        <v/>
      </c>
      <c r="J23" s="25" t="n">
        <v>0.55</v>
      </c>
      <c r="K23" s="25" t="n">
        <v>0.95</v>
      </c>
      <c r="L23" s="24" t="n">
        <v>0.073</v>
      </c>
      <c r="M23" s="24" t="n">
        <v>0.094</v>
      </c>
    </row>
    <row r="24">
      <c r="A24" s="56" t="inlineStr">
        <is>
          <t>Only 30% follow the screens</t>
        </is>
      </c>
      <c r="B24" s="48" t="n">
        <v>4.31</v>
      </c>
      <c r="C24" s="48" t="n">
        <v>1.176</v>
      </c>
      <c r="D24" s="48" t="n">
        <v>1.104</v>
      </c>
      <c r="E24" s="57" t="inlineStr">
        <is>
          <t>±0.13</t>
        </is>
      </c>
      <c r="F24" s="25" t="n">
        <v>13.906</v>
      </c>
      <c r="G24" s="25" t="n">
        <v>3.014</v>
      </c>
      <c r="H24" s="29">
        <f>1-D24/B24</f>
        <v/>
      </c>
      <c r="I24" s="8">
        <f>IF(D24+0.134&lt;C24-0.293,"Yes",IF(D24&lt;C24,"Tie (within noise)","No"))</f>
        <v/>
      </c>
      <c r="J24" s="25" t="n">
        <v>0.45</v>
      </c>
      <c r="K24" s="25" t="n">
        <v>0.65</v>
      </c>
      <c r="L24" s="24" t="n">
        <v>0</v>
      </c>
      <c r="M24" s="24" t="n">
        <v>0.001</v>
      </c>
    </row>
    <row r="25">
      <c r="A25" s="56" t="inlineStr">
        <is>
          <t>Everyone follows the screens</t>
        </is>
      </c>
      <c r="B25" s="48" t="n">
        <v>4.31</v>
      </c>
      <c r="C25" s="48" t="n">
        <v>1.159</v>
      </c>
      <c r="D25" s="48" t="n">
        <v>0.756</v>
      </c>
      <c r="E25" s="57" t="inlineStr">
        <is>
          <t>±0.10</t>
        </is>
      </c>
      <c r="F25" s="25" t="n">
        <v>13.906</v>
      </c>
      <c r="G25" s="25" t="n">
        <v>2.004</v>
      </c>
      <c r="H25" s="29">
        <f>1-D25/B25</f>
        <v/>
      </c>
      <c r="I25" s="8">
        <f>IF(D25+0.103&lt;C25-0.335,"Yes",IF(D25&lt;C25,"Tie (within noise)","No"))</f>
        <v/>
      </c>
      <c r="J25" s="25" t="n">
        <v>0.45</v>
      </c>
      <c r="K25" s="25" t="n">
        <v>0.75</v>
      </c>
      <c r="L25" s="24" t="n">
        <v>0.034</v>
      </c>
      <c r="M25" s="24" t="n">
        <v>0.07099999999999999</v>
      </c>
    </row>
    <row r="26">
      <c r="A26" s="56" t="inlineStr">
        <is>
          <t>Slower serving: 8 students/min per station</t>
        </is>
      </c>
      <c r="B26" s="48" t="n">
        <v>12.883</v>
      </c>
      <c r="C26" s="48" t="n">
        <v>1.826</v>
      </c>
      <c r="D26" s="48" t="n">
        <v>1.857</v>
      </c>
      <c r="E26" s="57" t="inlineStr">
        <is>
          <t>±0.16</t>
        </is>
      </c>
      <c r="F26" s="25" t="n">
        <v>33.864</v>
      </c>
      <c r="G26" s="25" t="n">
        <v>4.945</v>
      </c>
      <c r="H26" s="29">
        <f>1-D26/B26</f>
        <v/>
      </c>
      <c r="I26" s="8">
        <f>IF(D26+0.162&lt;C26-0.155,"Yes",IF(D26&lt;C26,"Tie (within noise)","No"))</f>
        <v/>
      </c>
      <c r="J26" s="25" t="n">
        <v>0.05</v>
      </c>
      <c r="K26" s="25" t="n">
        <v>0.35</v>
      </c>
      <c r="L26" s="24" t="n">
        <v>0.065</v>
      </c>
      <c r="M26" s="24" t="n">
        <v>0.055</v>
      </c>
    </row>
    <row r="27">
      <c r="A27" s="56" t="inlineStr">
        <is>
          <t>Faster serving: 12 students/min per station</t>
        </is>
      </c>
      <c r="B27" s="48" t="n">
        <v>1.793</v>
      </c>
      <c r="C27" s="48" t="n">
        <v>1.031</v>
      </c>
      <c r="D27" s="48" t="n">
        <v>0.5570000000000001</v>
      </c>
      <c r="E27" s="57" t="inlineStr">
        <is>
          <t>±0.06</t>
        </is>
      </c>
      <c r="F27" s="25" t="n">
        <v>6.807</v>
      </c>
      <c r="G27" s="25" t="n">
        <v>1.73</v>
      </c>
      <c r="H27" s="29">
        <f>1-D27/B27</f>
        <v/>
      </c>
      <c r="I27" s="8">
        <f>IF(D27+0.056&lt;C27-0.375,"Yes",IF(D27&lt;C27,"Tie (within noise)","No"))</f>
        <v/>
      </c>
      <c r="J27" s="25" t="n">
        <v>0.5</v>
      </c>
      <c r="K27" s="25" t="n">
        <v>0.45</v>
      </c>
      <c r="L27" s="24" t="n">
        <v>0.007</v>
      </c>
      <c r="M27" s="24" t="n">
        <v>0.017</v>
      </c>
    </row>
    <row r="28">
      <c r="A28" s="56" t="inlineStr">
        <is>
          <t>More stock-outs: next batch never ready</t>
        </is>
      </c>
      <c r="B28" s="48" t="n">
        <v>6.524</v>
      </c>
      <c r="C28" s="48" t="n">
        <v>2.558</v>
      </c>
      <c r="D28" s="48" t="n">
        <v>0.9379999999999999</v>
      </c>
      <c r="E28" s="57" t="inlineStr">
        <is>
          <t>±0.12</t>
        </is>
      </c>
      <c r="F28" s="25" t="n">
        <v>20.512</v>
      </c>
      <c r="G28" s="25" t="n">
        <v>2.312</v>
      </c>
      <c r="H28" s="29">
        <f>1-D28/B28</f>
        <v/>
      </c>
      <c r="I28" s="8">
        <f>IF(D28+0.122&lt;C28-0.236,"Yes",IF(D28&lt;C28,"Tie (within noise)","No"))</f>
        <v/>
      </c>
      <c r="J28" s="25" t="n">
        <v>2</v>
      </c>
      <c r="K28" s="25" t="n">
        <v>2.2</v>
      </c>
      <c r="L28" s="24" t="n">
        <v>0.003</v>
      </c>
      <c r="M28" s="24" t="n">
        <v>0.054</v>
      </c>
    </row>
    <row r="29">
      <c r="A29" s="56" t="inlineStr">
        <is>
          <t>No stock-outs: next batch always ready</t>
        </is>
      </c>
      <c r="B29" s="48" t="n">
        <v>3.611</v>
      </c>
      <c r="C29" s="48" t="n">
        <v>0.78</v>
      </c>
      <c r="D29" s="48" t="n">
        <v>0.762</v>
      </c>
      <c r="E29" s="57" t="inlineStr">
        <is>
          <t>±0.09</t>
        </is>
      </c>
      <c r="F29" s="25" t="n">
        <v>11.778</v>
      </c>
      <c r="G29" s="25" t="n">
        <v>2.102</v>
      </c>
      <c r="H29" s="29">
        <f>1-D29/B29</f>
        <v/>
      </c>
      <c r="I29" s="8">
        <f>IF(D29+0.092&lt;C29-0.09,"Yes",IF(D29&lt;C29,"Tie (within noise)","No"))</f>
        <v/>
      </c>
      <c r="J29" s="25" t="n">
        <v>0</v>
      </c>
      <c r="K29" s="25" t="n">
        <v>0</v>
      </c>
      <c r="L29" s="24" t="n">
        <v>0.012</v>
      </c>
      <c r="M29" s="24" t="n">
        <v>0.013</v>
      </c>
    </row>
    <row r="30">
      <c r="A30" s="56" t="inlineStr">
        <is>
          <t>Slower eating: 17-21 min</t>
        </is>
      </c>
      <c r="B30" s="48" t="n">
        <v>4.31</v>
      </c>
      <c r="C30" s="48" t="n">
        <v>1.191</v>
      </c>
      <c r="D30" s="48" t="n">
        <v>0.798</v>
      </c>
      <c r="E30" s="57" t="inlineStr">
        <is>
          <t>±0.10</t>
        </is>
      </c>
      <c r="F30" s="25" t="n">
        <v>13.906</v>
      </c>
      <c r="G30" s="25" t="n">
        <v>2.104</v>
      </c>
      <c r="H30" s="29">
        <f>1-D30/B30</f>
        <v/>
      </c>
      <c r="I30" s="8">
        <f>IF(D30+0.101&lt;C30-0.328,"Yes",IF(D30&lt;C30,"Tie (within noise)","No"))</f>
        <v/>
      </c>
      <c r="J30" s="25" t="n">
        <v>0.45</v>
      </c>
      <c r="K30" s="25" t="n">
        <v>0.35</v>
      </c>
      <c r="L30" s="24" t="n">
        <v>0.016</v>
      </c>
      <c r="M30" s="24" t="n">
        <v>0.015</v>
      </c>
    </row>
    <row r="31">
      <c r="A31" s="4" t="inlineStr">
        <is>
          <t>Smallest reduction across all stress tests</t>
        </is>
      </c>
      <c r="H31" s="58">
        <f>MIN(H17:H30)</f>
        <v/>
      </c>
    </row>
    <row r="32"/>
    <row r="33" ht="58" customHeight="1">
      <c r="A33" s="3" t="inlineStr">
        <is>
          <t>Reading it: the proposal cuts the average wait in every stress test and beats or ties 'queue information only' in every one. With no stock-outs the food signal adds nothing (2 and 3 converge); with more stock-outs it matters most. The timetable matters as much as any operational input: the stagger rows show what moving one department's lunch by 15 minutes does with no screens at all. One limitation: everything here rests on the assumed 10 students/min per station, the rough department sizes and the calibrated arrival lag until the biometric logs and a stopwatch replace them (Data Collection).</t>
        </is>
      </c>
    </row>
  </sheetData>
  <mergeCells count="2">
    <mergeCell ref="A12:O12"/>
    <mergeCell ref="A33:M33"/>
  </mergeCells>
  <pageMargins left="0.75" right="0.75" top="1" bottom="1" header="0.5" footer="0.5"/>
  <drawing xmlns:r="http://schemas.openxmlformats.org/officeDocument/2006/relationships" r:id="rId1"/>
</worksheet>
</file>

<file path=xl/worksheets/sheet14.xml><?xml version="1.0" encoding="utf-8"?>
<worksheet xmlns="http://schemas.openxmlformats.org/spreadsheetml/2006/main">
  <sheetPr>
    <outlinePr summaryBelow="1" summaryRight="1"/>
    <pageSetUpPr/>
  </sheetPr>
  <dimension ref="A1:F14"/>
  <sheetViews>
    <sheetView showGridLines="0" workbookViewId="0">
      <selection activeCell="A1" sqref="A1"/>
    </sheetView>
  </sheetViews>
  <sheetFormatPr baseColWidth="8" defaultRowHeight="15"/>
  <cols>
    <col width="60" customWidth="1" min="1" max="1"/>
    <col width="15" customWidth="1" min="2" max="2"/>
    <col width="15" customWidth="1" min="3" max="3"/>
    <col width="15" customWidth="1" min="4" max="4"/>
    <col width="15" customWidth="1" min="5" max="5"/>
    <col width="46" customWidth="1" min="6" max="6"/>
  </cols>
  <sheetData>
    <row r="1">
      <c r="A1" s="1" t="inlineStr">
        <is>
          <t>Why the spreadsheet (S15) and the simulator give different numbers</t>
        </is>
      </c>
      <c r="B1" s="2" t="n"/>
      <c r="C1" s="2" t="n"/>
      <c r="D1" s="2" t="n"/>
      <c r="E1" s="2" t="n"/>
      <c r="F1" s="2" t="n"/>
    </row>
    <row r="2">
      <c r="A2" s="11" t="inlineStr">
        <is>
          <t>Start the simulator with the spreadsheet's simplifications, then add one real-world feature at a time. Same students in every row.</t>
        </is>
      </c>
    </row>
    <row r="3"/>
    <row r="4">
      <c r="A4" s="7" t="inlineStr">
        <is>
          <t>Model</t>
        </is>
      </c>
      <c r="B4" s="7" t="inlineStr">
        <is>
          <t>Without screens: avg wait</t>
        </is>
      </c>
      <c r="C4" s="7" t="inlineStr">
        <is>
          <t>With screens: avg wait</t>
        </is>
      </c>
      <c r="D4" s="7" t="inlineStr">
        <is>
          <t>Without: 90th pct</t>
        </is>
      </c>
      <c r="E4" s="7" t="inlineStr">
        <is>
          <t>With: 90th pct</t>
        </is>
      </c>
      <c r="F4" s="7" t="inlineStr">
        <is>
          <t>What changes</t>
        </is>
      </c>
    </row>
    <row r="5">
      <c r="A5" s="5" t="inlineStr">
        <is>
          <t>S15 spreadsheet (analytic: M/M/c + fluid queue per 10-min slot)</t>
        </is>
      </c>
      <c r="B5" s="42">
        <f>'S15 Queuing'!$I$51</f>
        <v/>
      </c>
      <c r="C5" s="42">
        <f>'S15 Queuing'!$J$51</f>
        <v/>
      </c>
      <c r="F5" s="14" t="inlineStr">
        <is>
          <t>Deterministic slots; 'with screens' moves the complying share toward equal utilisation with perfect knowledge, every slot</t>
        </is>
      </c>
    </row>
    <row r="6" ht="44" customHeight="1">
      <c r="A6" s="5" t="inlineStr">
        <is>
          <t>Simulator 1 Spreadsheet-like: exponential serving, no run-outs, no scanner or seat limits</t>
        </is>
      </c>
      <c r="B6" s="48" t="n">
        <v>3.77</v>
      </c>
      <c r="C6" s="48" t="n">
        <v>0.84</v>
      </c>
      <c r="D6" s="25" t="n">
        <v>11.6</v>
      </c>
      <c r="E6" s="25" t="n">
        <v>2.2</v>
      </c>
      <c r="F6" s="14" t="inlineStr">
        <is>
          <t>Same assumptions as S15 except that arrivals and service are random and routing uses live estimates (with a delay and the 2-min rule). Without screens it matches S15; with screens it is worse than S15's perfect routing</t>
        </is>
      </c>
    </row>
    <row r="7" ht="30" customHeight="1">
      <c r="A7" s="5" t="inlineStr">
        <is>
          <t>Simulator 2 + realistic serving variability (cv 0.6)</t>
        </is>
      </c>
      <c r="B7" s="48" t="n">
        <v>3.5</v>
      </c>
      <c r="C7" s="48" t="n">
        <v>0.66</v>
      </c>
      <c r="D7" s="25" t="n">
        <v>11.4</v>
      </c>
      <c r="E7" s="25" t="n">
        <v>1.9</v>
      </c>
      <c r="F7" s="14" t="inlineStr">
        <is>
          <t>Real serving is more regular than exponential: slightly shorter queues</t>
        </is>
      </c>
    </row>
    <row r="8" ht="30" customHeight="1">
      <c r="A8" s="5" t="inlineStr">
        <is>
          <t>Simulator 3 + one face scanner per mess (2 s each)</t>
        </is>
      </c>
      <c r="B8" s="48" t="n">
        <v>3.62</v>
      </c>
      <c r="C8" s="48" t="n">
        <v>0.75</v>
      </c>
      <c r="D8" s="25" t="n">
        <v>11.6</v>
      </c>
      <c r="E8" s="25" t="n">
        <v>2</v>
      </c>
      <c r="F8" s="14" t="inlineStr">
        <is>
          <t>A single 2 s scanner rarely limits flow: almost no change</t>
        </is>
      </c>
    </row>
    <row r="9" ht="30" customHeight="1">
      <c r="A9" s="5" t="inlineStr">
        <is>
          <t>Simulator 4 + seat limits</t>
        </is>
      </c>
      <c r="B9" s="48" t="n">
        <v>3.62</v>
      </c>
      <c r="C9" s="48" t="n">
        <v>0.75</v>
      </c>
      <c r="D9" s="25" t="n">
        <v>11.6</v>
      </c>
      <c r="E9" s="25" t="n">
        <v>2</v>
      </c>
      <c r="F9" s="14" t="inlineStr">
        <is>
          <t>Seats rarely fill (eating 14–18 min): no change</t>
        </is>
      </c>
    </row>
    <row r="10" ht="30" customHeight="1">
      <c r="A10" s="5" t="inlineStr">
        <is>
          <t>Simulator 5 + food run-outs and refills (full model)</t>
        </is>
      </c>
      <c r="B10" s="48" t="n">
        <v>4.31</v>
      </c>
      <c r="C10" s="48" t="n">
        <v>0.8</v>
      </c>
      <c r="D10" s="25" t="n">
        <v>13.9</v>
      </c>
      <c r="E10" s="25" t="n">
        <v>2.1</v>
      </c>
      <c r="F10" s="14" t="inlineStr">
        <is>
          <t>Run-outs stop service until the refill: today's waits rise; the screens absorb most of it</t>
        </is>
      </c>
    </row>
    <row r="11">
      <c r="A11" s="5" t="inlineStr">
        <is>
          <t>LP Student Flow: fluid optimum (perfect foresight, no randomness)</t>
        </is>
      </c>
      <c r="B11" s="42">
        <f>'LP Student Flow'!$B$44</f>
        <v/>
      </c>
      <c r="C11" s="42">
        <f>'LP Student Flow'!$B$43</f>
        <v/>
      </c>
      <c r="F11" s="14" t="inlineStr">
        <is>
          <t>A lower bound: the best any routing could do in a smooth-flow world</t>
        </is>
      </c>
    </row>
    <row r="12">
      <c r="A12" s="5" t="inlineStr">
        <is>
          <t>Gap without screens: spreadsheet vs spreadsheet-like simulator (should be small)</t>
        </is>
      </c>
      <c r="B12" s="59">
        <f>B6-B5</f>
        <v/>
      </c>
    </row>
    <row r="13">
      <c r="A13" s="5" t="inlineStr">
        <is>
          <t>Gap as a share of the simulator's figure (the check allows 15%)</t>
        </is>
      </c>
      <c r="B13" s="60">
        <f>B12/B6</f>
        <v/>
      </c>
    </row>
    <row r="14" ht="58" customHeight="1">
      <c r="A14" s="3" t="inlineStr">
        <is>
          <t>Conclusion: the two models agree when they make the same assumptions (first two rows, without screens), within 15%. The spreadsheet is a little higher because it adds the steady-state M/M/c wait in every 10-minute slot; near 100% busy a slot is too short for the queue to reach steady state, and the department surge passes through several such slots. The headline numbers come from the full simulator (last simulator row) because it includes the things the spreadsheet cannot: randomness, live estimation, the scanner, seats and run-outs. The spreadsheet's 'with screens' figure is optimistic because it routes with perfect knowledge; the LP is the theoretical best case. 20 lunches per simulator row.</t>
        </is>
      </c>
    </row>
  </sheetData>
  <mergeCells count="1">
    <mergeCell ref="A14:F14"/>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D22"/>
  <sheetViews>
    <sheetView showGridLines="0" workbookViewId="0">
      <selection activeCell="A1" sqref="A1"/>
    </sheetView>
  </sheetViews>
  <sheetFormatPr baseColWidth="8" defaultRowHeight="15"/>
  <cols>
    <col width="26" customWidth="1" min="1" max="1"/>
    <col width="64" customWidth="1" min="2" max="2"/>
    <col width="40" customWidth="1" min="3" max="3"/>
    <col width="22" customWidth="1" min="4" max="4"/>
  </cols>
  <sheetData>
    <row r="1">
      <c r="A1" s="1" t="inlineStr">
        <is>
          <t>How the simulator works (messq/simulation.py, messq/engine.py)</t>
        </is>
      </c>
      <c r="B1" s="2" t="n"/>
      <c r="C1" s="2" t="n"/>
      <c r="D1" s="2" t="n"/>
    </row>
    <row r="2">
      <c r="A2" s="11" t="inlineStr">
        <is>
          <t>Reproduce every number: python -m messq.scenarios [--payoff | --reconcile] --runs 20</t>
        </is>
      </c>
    </row>
    <row r="3"/>
    <row r="4">
      <c r="A4" s="7" t="inlineStr">
        <is>
          <t>Component</t>
        </is>
      </c>
      <c r="B4" s="7" t="inlineStr">
        <is>
          <t>How it is modelled</t>
        </is>
      </c>
      <c r="C4" s="7" t="inlineStr">
        <is>
          <t>Parameters (Inputs / config)</t>
        </is>
      </c>
      <c r="D4" s="7" t="inlineStr">
        <is>
          <t>Status</t>
        </is>
      </c>
    </row>
    <row r="5" ht="44" customHeight="1">
      <c r="A5" s="8" t="inlineStr">
        <is>
          <t>Time</t>
        </is>
      </c>
      <c r="B5" s="9" t="inlineStr">
        <is>
          <t>Discrete steps of 5 seconds (the scanner poll interval), 11:30–14:30; the run continues until everyone has food</t>
        </is>
      </c>
      <c r="C5" s="9" t="inlineStr">
        <is>
          <t>step_s = 5</t>
        </is>
      </c>
      <c r="D5" s="9" t="inlineStr">
        <is>
          <t>Design</t>
        </is>
      </c>
    </row>
    <row r="6" ht="44" customHeight="1">
      <c r="A6" s="8" t="inlineStr">
        <is>
          <t>Arrivals</t>
        </is>
      </c>
      <c r="B6" s="9" t="inlineStr">
        <is>
          <t>Random (Poisson) arrivals; the rate is the department lunch breaks added up (Arrival Curve tab): each department starts arriving when its break starts, lag Normal(20, 20) min cut off at the end of the break; total = students per lunch</t>
        </is>
      </c>
      <c r="C6" s="9" t="inlineStr">
        <is>
          <t>students, department breaks, lag_m, lag_sd</t>
        </is>
      </c>
      <c r="D6" s="9" t="inlineStr">
        <is>
          <t>Total and timetable measured; sizes rough; lag calibrated</t>
        </is>
      </c>
    </row>
    <row r="7" ht="44" customHeight="1">
      <c r="A7" s="8" t="inlineStr">
        <is>
          <t>Where students head</t>
        </is>
      </c>
      <c r="B7" s="9" t="inlineStr">
        <is>
          <t>Each student heads to Central with probability h (habit), else Munch</t>
        </is>
      </c>
      <c r="C7" s="9" t="inlineStr">
        <is>
          <t>habit share h</t>
        </is>
      </c>
      <c r="D7" s="9" t="inlineStr">
        <is>
          <t>Assumed</t>
        </is>
      </c>
    </row>
    <row r="8" ht="44" customHeight="1">
      <c r="A8" s="8" t="inlineStr">
        <is>
          <t>Advice at the door</t>
        </is>
      </c>
      <c r="B8" s="9" t="inlineStr">
        <is>
          <t>The screen at the mess they reach asks a share of students to walk to the other mess (none in scenario 1)</t>
        </is>
      </c>
      <c r="C8" s="9" t="inlineStr">
        <is>
          <t>Decision Rule; min saving 2 min</t>
        </is>
      </c>
      <c r="D8" s="9" t="inlineStr">
        <is>
          <t>Policy</t>
        </is>
      </c>
    </row>
    <row r="9" ht="44" customHeight="1">
      <c r="A9" s="8" t="inlineStr">
        <is>
          <t>Compliance</t>
        </is>
      </c>
      <c r="B9" s="9" t="inlineStr">
        <is>
          <t>Each advised student follows with probability κ; followers walk 30 s to the other door</t>
        </is>
      </c>
      <c r="C9" s="9" t="inlineStr">
        <is>
          <t>comply κ, walk</t>
        </is>
      </c>
      <c r="D9" s="9" t="inlineStr">
        <is>
          <t>Assumed</t>
        </is>
      </c>
    </row>
    <row r="10" ht="44" customHeight="1">
      <c r="A10" s="8" t="inlineStr">
        <is>
          <t>Stage 1: entrance</t>
        </is>
      </c>
      <c r="B10" s="9" t="inlineStr">
        <is>
          <t>FCFS queue for the face scanner (2 s each, cv 0.3), then collecting a plate (uniform 28–43 s; 30–45 s with the scan). The scan time is what the biometric log records</t>
        </is>
      </c>
      <c r="C10" s="9" t="inlineStr">
        <is>
          <t>scan_s, plate_lo/hi</t>
        </is>
      </c>
      <c r="D10" s="9" t="inlineStr">
        <is>
          <t>Assumed</t>
        </is>
      </c>
    </row>
    <row r="11" ht="44" customHeight="1">
      <c r="A11" s="8" t="inlineStr">
        <is>
          <t>Stage 2: food</t>
        </is>
      </c>
      <c r="B11" s="9" t="inlineStr">
        <is>
          <t>FCFS queue for 2 serving stations; service time gamma with mean 6 s and cv 0.6 (M/G/c); then the rest of food collection (uniform 54–114 s; 1–2 min in all)</t>
        </is>
      </c>
      <c r="C11" s="9" t="inlineStr">
        <is>
          <t>mu, line_lo/hi, service_cv</t>
        </is>
      </c>
      <c r="D11" s="9" t="inlineStr">
        <is>
          <t>Stations measured; times assumed</t>
        </is>
      </c>
    </row>
    <row r="12" ht="44" customHeight="1">
      <c r="A12" s="8" t="inlineStr">
        <is>
          <t>Food stock</t>
        </is>
      </c>
      <c r="B12" s="9" t="inlineStr">
        <is>
          <t>Star dish in batches (Central 900, Munch 500). At the call level the mess calls the kitchen; refill arrives in 10–14 min (70%) or 30 min. At zero stock nobody is served until the refill</t>
        </is>
      </c>
      <c r="C12" s="9" t="inlineStr">
        <is>
          <t>food_batch, refill trigger, ready_p, lead times</t>
        </is>
      </c>
      <c r="D12" s="9" t="inlineStr">
        <is>
          <t>Lead times measured; batches assumed</t>
        </is>
      </c>
    </row>
    <row r="13" ht="44" customHeight="1">
      <c r="A13" s="8" t="inlineStr">
        <is>
          <t>Manager taps</t>
        </is>
      </c>
      <c r="B13" s="9" t="inlineStr">
        <is>
          <t>'Running low' at the call, 'out' at zero, 'refilled' on arrival; each tap made 90% of the time (forgotten taps expire)</t>
        </is>
      </c>
      <c r="C13" s="9" t="inlineStr">
        <is>
          <t>staff_signal_prob 0.9</t>
        </is>
      </c>
      <c r="D13" s="9" t="inlineStr">
        <is>
          <t>Assumed</t>
        </is>
      </c>
    </row>
    <row r="14" ht="44" customHeight="1">
      <c r="A14" s="8" t="inlineStr">
        <is>
          <t>Stage 3: eating</t>
        </is>
      </c>
      <c r="B14" s="9" t="inlineStr">
        <is>
          <t>Take a seat if free (900 / 492), else wait; eat for uniform 14–18 min</t>
        </is>
      </c>
      <c r="C14" s="9" t="inlineStr">
        <is>
          <t>seats, eat_lo/hi</t>
        </is>
      </c>
      <c r="D14" s="9" t="inlineStr">
        <is>
          <t>Seats measured; eating group estimate</t>
        </is>
      </c>
    </row>
    <row r="15" ht="44" customHeight="1">
      <c r="A15" s="8" t="inlineStr">
        <is>
          <t>Stage 4: disposal</t>
        </is>
      </c>
      <c r="B15" s="9" t="inlineStr">
        <is>
          <t>Dispose of plate and leftovers, uniform 1–2 min (the seat is already free)</t>
        </is>
      </c>
      <c r="C15" s="9" t="inlineStr">
        <is>
          <t>disp_lo/hi</t>
        </is>
      </c>
      <c r="D15" s="9" t="inlineStr">
        <is>
          <t>Group estimate</t>
        </is>
      </c>
    </row>
    <row r="16" ht="44" customHeight="1">
      <c r="A16" s="8" t="inlineStr">
        <is>
          <t>What the system sees</t>
        </is>
      </c>
      <c r="B16" s="9" t="inlineStr">
        <is>
          <t>Only scans and the manager's taps. Arrival rate from the last 5 min of scans; queue by a fluid model; wait by M/M/c + fluid growth + food delay</t>
        </is>
      </c>
      <c r="C16" s="9" t="inlineStr">
        <is>
          <t>rate window 5 min, horizon 5 min</t>
        </is>
      </c>
      <c r="D16" s="9" t="inlineStr">
        <is>
          <t>Design</t>
        </is>
      </c>
    </row>
    <row r="17" ht="44" customHeight="1">
      <c r="A17" s="8" t="inlineStr">
        <is>
          <t>Routing</t>
        </is>
      </c>
      <c r="B17" s="9" t="inlineStr">
        <is>
          <t>Equal-wait (Wardrop) split found by bisection; at each door ask (h − p)/(h·κ) of students to switch, only if it saves ≥ 2 min after the walk</t>
        </is>
      </c>
      <c r="C17" s="9" t="inlineStr">
        <is>
          <t>min_save</t>
        </is>
      </c>
      <c r="D17" s="9" t="inlineStr">
        <is>
          <t>Design</t>
        </is>
      </c>
    </row>
    <row r="18" ht="44" customHeight="1">
      <c r="A18" s="8" t="inlineStr">
        <is>
          <t>Food in the advice</t>
        </is>
      </c>
      <c r="B18" s="9" t="inlineStr">
        <is>
          <t>Star dish out = outage; other trays and 'running low' add delay only for students who would reach an empty tray; refill clock from the call</t>
        </is>
      </c>
      <c r="C18" s="9" t="inlineStr">
        <is>
          <t>tray weights, low_left</t>
        </is>
      </c>
      <c r="D18" s="9" t="inlineStr">
        <is>
          <t>Design (weights: group judgement)</t>
        </is>
      </c>
    </row>
    <row r="19" ht="44" customHeight="1">
      <c r="A19" s="8" t="inlineStr">
        <is>
          <t>Measures</t>
        </is>
      </c>
      <c r="B19" s="9" t="inlineStr">
        <is>
          <t>Per student: queue wait (scanner + station + seat), throughput (door to leaving), total incl. walk. Per lunch: mean and 90th percentile</t>
        </is>
      </c>
      <c r="C19" s="9" t="inlineStr">
        <is>
          <t>—</t>
        </is>
      </c>
      <c r="D19" s="9" t="inlineStr">
        <is>
          <t>Design</t>
        </is>
      </c>
    </row>
    <row r="20" ht="44" customHeight="1">
      <c r="A20" s="8" t="inlineStr">
        <is>
          <t>Runs</t>
        </is>
      </c>
      <c r="B20" s="9" t="inlineStr">
        <is>
          <t>20 lunches per scenario, seeds 0–19; the same seeds in every scenario (paired comparison). ± = 1.96 × sd ÷ √20 across lunches</t>
        </is>
      </c>
      <c r="C20" s="9" t="inlineStr">
        <is>
          <t>--runs</t>
        </is>
      </c>
      <c r="D20" s="9" t="inlineStr">
        <is>
          <t>Design</t>
        </is>
      </c>
    </row>
    <row r="21"/>
    <row r="22" ht="44" customHeight="1">
      <c r="A22" s="3" t="inlineStr">
        <is>
          <t>Validation so far: the simulated normal visit and peak throughput fall in the group's 17–35 min range (Checks), the no-screen 90th percentile wait is close to the ~15 min observed, and the spreadsheet-like simulator reproduces S15 without screens (Reconciliation). Not yet validated: the arrival curve, the habit split and the service rate (Data Collection).</t>
        </is>
      </c>
    </row>
  </sheetData>
  <mergeCells count="1">
    <mergeCell ref="A22:D22"/>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M46"/>
  <sheetViews>
    <sheetView showGridLines="0" workbookViewId="0">
      <selection activeCell="A1" sqref="A1"/>
    </sheetView>
  </sheetViews>
  <sheetFormatPr baseColWidth="8" defaultRowHeight="15"/>
  <cols>
    <col width="22"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s>
  <sheetData>
    <row r="1">
      <c r="A1" s="1" t="inlineStr">
        <is>
          <t>Stage 2: collect the minimum data to prove (or disprove) the bottleneck</t>
        </is>
      </c>
      <c r="B1" s="2" t="n"/>
      <c r="C1" s="2" t="n"/>
      <c r="D1" s="2" t="n"/>
      <c r="E1" s="2" t="n"/>
      <c r="F1" s="2" t="n"/>
      <c r="G1" s="2" t="n"/>
      <c r="H1" s="2" t="n"/>
      <c r="I1" s="2" t="n"/>
      <c r="J1" s="2" t="n"/>
      <c r="K1" s="2" t="n"/>
      <c r="L1" s="2" t="n"/>
      <c r="M1" s="2" t="n"/>
    </row>
    <row r="2">
      <c r="A2" s="11" t="inlineStr">
        <is>
          <t>Fill the blue grid from logs or a manual pilot at BOTH messes over the same lunch. The diagnosis below updates itself.</t>
        </is>
      </c>
    </row>
    <row r="3"/>
    <row r="4">
      <c r="A4" s="7" t="inlineStr">
        <is>
          <t>Data</t>
        </is>
      </c>
      <c r="B4" s="7" t="inlineStr">
        <is>
          <t>How to capture it</t>
        </is>
      </c>
      <c r="C4" s="7" t="inlineStr">
        <is>
          <t>Why it matters</t>
        </is>
      </c>
      <c r="D4" s="7" t="inlineStr">
        <is>
          <t>Who / when</t>
        </is>
      </c>
    </row>
    <row r="5" ht="30" customHeight="1">
      <c r="A5" s="8" t="inlineStr">
        <is>
          <t>Arrivals per 10 min</t>
        </is>
      </c>
      <c r="B5" s="9" t="inlineStr">
        <is>
          <t>Biometric logs (aggregated), or a tally counter at each door</t>
        </is>
      </c>
      <c r="C5" s="9" t="inlineStr">
        <is>
          <t>Demand distribution and the habit split</t>
        </is>
      </c>
      <c r="D5" s="9" t="inlineStr">
        <is>
          <t>IT logs / 2 volunteers per mess</t>
        </is>
      </c>
    </row>
    <row r="6" ht="30" customHeight="1">
      <c r="A6" s="8" t="inlineStr">
        <is>
          <t>Queue length</t>
        </is>
      </c>
      <c r="B6" s="9" t="inlineStr">
        <is>
          <t>Count people queueing at the stations every 10 min</t>
        </is>
      </c>
      <c r="C6" s="9" t="inlineStr">
        <is>
          <t>Validates congestion</t>
        </is>
      </c>
      <c r="D6" s="9" t="inlineStr">
        <is>
          <t>1 volunteer per mess</t>
        </is>
      </c>
    </row>
    <row r="7" ht="30" customHeight="1">
      <c r="A7" s="8" t="inlineStr">
        <is>
          <t>Sampled waiting time</t>
        </is>
      </c>
      <c r="B7" s="9" t="inlineStr">
        <is>
          <t>Note time joining the queue and reaching the station for ~20 students per hour</t>
        </is>
      </c>
      <c r="C7" s="9" t="inlineStr">
        <is>
          <t>Measures actual delay</t>
        </is>
      </c>
      <c r="D7" s="9" t="inlineStr">
        <is>
          <t>1 volunteer per mess</t>
        </is>
      </c>
    </row>
    <row r="8" ht="30" customHeight="1">
      <c r="A8" s="8" t="inlineStr">
        <is>
          <t>Service rate</t>
        </is>
      </c>
      <c r="B8" s="9" t="inlineStr">
        <is>
          <t>Count plates completed per station per minute while there is a queue</t>
        </is>
      </c>
      <c r="C8" s="9" t="inlineStr">
        <is>
          <t>Usable capacity (μ)</t>
        </is>
      </c>
      <c r="D8" s="9" t="inlineStr">
        <is>
          <t>Stopwatch, 3 × 5 min at peak</t>
        </is>
      </c>
    </row>
    <row r="9" ht="30" customHeight="1">
      <c r="A9" s="8" t="inlineStr">
        <is>
          <t>Food availability</t>
        </is>
      </c>
      <c r="B9" s="9" t="inlineStr">
        <is>
          <t>Time-stamped 'running low' / 'out' / 'refilled' taps (or notes)</t>
        </is>
      </c>
      <c r="C9" s="9" t="inlineStr">
        <is>
          <t>Tests whether food drives routing</t>
        </is>
      </c>
      <c r="D9" s="9" t="inlineStr">
        <is>
          <t>Mess manager</t>
        </is>
      </c>
    </row>
    <row r="10" ht="30" customHeight="1">
      <c r="A10" s="8" t="inlineStr">
        <is>
          <t>Replenishment time</t>
        </is>
      </c>
      <c r="B10" s="9" t="inlineStr">
        <is>
          <t>Time of the call and time the refill arrives</t>
        </is>
      </c>
      <c r="C10" s="9" t="inlineStr">
        <is>
          <t>Lead time (30 vs 10–14 min)</t>
        </is>
      </c>
      <c r="D10" s="9" t="inlineStr">
        <is>
          <t>Mess manager</t>
        </is>
      </c>
    </row>
    <row r="11" ht="30" customHeight="1">
      <c r="A11" s="8" t="inlineStr">
        <is>
          <t>Destination preference</t>
        </is>
      </c>
      <c r="B11" s="9" t="inlineStr">
        <is>
          <t>Short neutral survey at the door: 'why this mess today?'</t>
        </is>
      </c>
      <c r="C11" s="9" t="inlineStr">
        <is>
          <t>Tests the bias hypotheses (S4)</t>
        </is>
      </c>
      <c r="D11" s="9" t="inlineStr">
        <is>
          <t>Survey, 50+ students</t>
        </is>
      </c>
    </row>
    <row r="12" ht="40" customHeight="1">
      <c r="A12" s="3" t="inlineStr">
        <is>
          <t>Measure arrivals and service capacity separately: a mess can be quiet because demand is low, because it cannot serve faster, or because its food is less attractive. Each points to a different intervention. If live logs are not available, run a structured manual pilot and label its limits.</t>
        </is>
      </c>
    </row>
    <row r="13"/>
    <row r="14"/>
    <row r="15" ht="58" customHeight="1">
      <c r="A15" s="7" t="inlineStr">
        <is>
          <t>Slot</t>
        </is>
      </c>
      <c r="B15" s="7" t="inlineStr">
        <is>
          <t>Central: arrivals</t>
        </is>
      </c>
      <c r="C15" s="7" t="inlineStr">
        <is>
          <t>Central: served</t>
        </is>
      </c>
      <c r="D15" s="7" t="inlineStr">
        <is>
          <t>Central: queue at slot start</t>
        </is>
      </c>
      <c r="E15" s="7" t="inlineStr">
        <is>
          <t>Central: sampled avg wait (min)</t>
        </is>
      </c>
      <c r="F15" s="7" t="inlineStr">
        <is>
          <t>Munch: arrivals</t>
        </is>
      </c>
      <c r="G15" s="7" t="inlineStr">
        <is>
          <t>Munch: served</t>
        </is>
      </c>
      <c r="H15" s="7" t="inlineStr">
        <is>
          <t>Munch: queue at slot start</t>
        </is>
      </c>
      <c r="I15" s="7" t="inlineStr">
        <is>
          <t>Munch: sampled avg wait (min)</t>
        </is>
      </c>
      <c r="J15" s="7" t="inlineStr">
        <is>
          <t>Central share of arrivals</t>
        </is>
      </c>
      <c r="K15" s="7" t="inlineStr">
        <is>
          <t>Central ρ (assumed μ)</t>
        </is>
      </c>
      <c r="L15" s="7" t="inlineStr">
        <is>
          <t>Munch ρ (assumed μ)</t>
        </is>
      </c>
    </row>
    <row r="16">
      <c r="A16" s="3" t="inlineStr">
        <is>
          <t>Example (not counted)</t>
        </is>
      </c>
      <c r="B16" s="3" t="n">
        <v>240</v>
      </c>
      <c r="C16" s="3" t="n">
        <v>200</v>
      </c>
      <c r="D16" s="3" t="n">
        <v>35</v>
      </c>
      <c r="E16" s="3" t="n">
        <v>6.5</v>
      </c>
      <c r="F16" s="3" t="n">
        <v>40</v>
      </c>
      <c r="G16" s="3" t="n">
        <v>40</v>
      </c>
      <c r="H16" s="3" t="n">
        <v>0</v>
      </c>
      <c r="I16" s="3" t="n">
        <v>0.3</v>
      </c>
    </row>
    <row r="17">
      <c r="A17" s="5" t="inlineStr">
        <is>
          <t>11:30</t>
        </is>
      </c>
      <c r="B17" s="17" t="n"/>
      <c r="C17" s="17" t="n"/>
      <c r="D17" s="17" t="n"/>
      <c r="E17" s="18" t="n"/>
      <c r="F17" s="17" t="n"/>
      <c r="G17" s="17" t="n"/>
      <c r="H17" s="17" t="n"/>
      <c r="I17" s="18" t="n"/>
      <c r="J17" s="29">
        <f>IF(COUNT(B17,F17)&lt;2,"",B17/MAX(1,B17+F17))</f>
        <v/>
      </c>
      <c r="K17" s="29">
        <f>IF(COUNT(B17)=0,"",B17/10/'Inputs'!$B$81)</f>
        <v/>
      </c>
      <c r="L17" s="29">
        <f>IF(COUNT(F17)=0,"",F17/10/'Inputs'!$B$82)</f>
        <v/>
      </c>
    </row>
    <row r="18">
      <c r="A18" s="5" t="inlineStr">
        <is>
          <t>11:40</t>
        </is>
      </c>
      <c r="B18" s="17" t="n"/>
      <c r="C18" s="17" t="n"/>
      <c r="D18" s="17" t="n"/>
      <c r="E18" s="18" t="n"/>
      <c r="F18" s="17" t="n"/>
      <c r="G18" s="17" t="n"/>
      <c r="H18" s="17" t="n"/>
      <c r="I18" s="18" t="n"/>
      <c r="J18" s="29">
        <f>IF(COUNT(B18,F18)&lt;2,"",B18/MAX(1,B18+F18))</f>
        <v/>
      </c>
      <c r="K18" s="29">
        <f>IF(COUNT(B18)=0,"",B18/10/'Inputs'!$B$81)</f>
        <v/>
      </c>
      <c r="L18" s="29">
        <f>IF(COUNT(F18)=0,"",F18/10/'Inputs'!$B$82)</f>
        <v/>
      </c>
    </row>
    <row r="19">
      <c r="A19" s="5" t="inlineStr">
        <is>
          <t>11:50</t>
        </is>
      </c>
      <c r="B19" s="17" t="n"/>
      <c r="C19" s="17" t="n"/>
      <c r="D19" s="17" t="n"/>
      <c r="E19" s="18" t="n"/>
      <c r="F19" s="17" t="n"/>
      <c r="G19" s="17" t="n"/>
      <c r="H19" s="17" t="n"/>
      <c r="I19" s="18" t="n"/>
      <c r="J19" s="29">
        <f>IF(COUNT(B19,F19)&lt;2,"",B19/MAX(1,B19+F19))</f>
        <v/>
      </c>
      <c r="K19" s="29">
        <f>IF(COUNT(B19)=0,"",B19/10/'Inputs'!$B$81)</f>
        <v/>
      </c>
      <c r="L19" s="29">
        <f>IF(COUNT(F19)=0,"",F19/10/'Inputs'!$B$82)</f>
        <v/>
      </c>
    </row>
    <row r="20">
      <c r="A20" s="5" t="inlineStr">
        <is>
          <t>12:00</t>
        </is>
      </c>
      <c r="B20" s="17" t="n"/>
      <c r="C20" s="17" t="n"/>
      <c r="D20" s="17" t="n"/>
      <c r="E20" s="18" t="n"/>
      <c r="F20" s="17" t="n"/>
      <c r="G20" s="17" t="n"/>
      <c r="H20" s="17" t="n"/>
      <c r="I20" s="18" t="n"/>
      <c r="J20" s="29">
        <f>IF(COUNT(B20,F20)&lt;2,"",B20/MAX(1,B20+F20))</f>
        <v/>
      </c>
      <c r="K20" s="29">
        <f>IF(COUNT(B20)=0,"",B20/10/'Inputs'!$B$81)</f>
        <v/>
      </c>
      <c r="L20" s="29">
        <f>IF(COUNT(F20)=0,"",F20/10/'Inputs'!$B$82)</f>
        <v/>
      </c>
    </row>
    <row r="21">
      <c r="A21" s="5" t="inlineStr">
        <is>
          <t>12:10</t>
        </is>
      </c>
      <c r="B21" s="17" t="n"/>
      <c r="C21" s="17" t="n"/>
      <c r="D21" s="17" t="n"/>
      <c r="E21" s="18" t="n"/>
      <c r="F21" s="17" t="n"/>
      <c r="G21" s="17" t="n"/>
      <c r="H21" s="17" t="n"/>
      <c r="I21" s="18" t="n"/>
      <c r="J21" s="29">
        <f>IF(COUNT(B21,F21)&lt;2,"",B21/MAX(1,B21+F21))</f>
        <v/>
      </c>
      <c r="K21" s="29">
        <f>IF(COUNT(B21)=0,"",B21/10/'Inputs'!$B$81)</f>
        <v/>
      </c>
      <c r="L21" s="29">
        <f>IF(COUNT(F21)=0,"",F21/10/'Inputs'!$B$82)</f>
        <v/>
      </c>
    </row>
    <row r="22">
      <c r="A22" s="5" t="inlineStr">
        <is>
          <t>12:20</t>
        </is>
      </c>
      <c r="B22" s="17" t="n"/>
      <c r="C22" s="17" t="n"/>
      <c r="D22" s="17" t="n"/>
      <c r="E22" s="18" t="n"/>
      <c r="F22" s="17" t="n"/>
      <c r="G22" s="17" t="n"/>
      <c r="H22" s="17" t="n"/>
      <c r="I22" s="18" t="n"/>
      <c r="J22" s="29">
        <f>IF(COUNT(B22,F22)&lt;2,"",B22/MAX(1,B22+F22))</f>
        <v/>
      </c>
      <c r="K22" s="29">
        <f>IF(COUNT(B22)=0,"",B22/10/'Inputs'!$B$81)</f>
        <v/>
      </c>
      <c r="L22" s="29">
        <f>IF(COUNT(F22)=0,"",F22/10/'Inputs'!$B$82)</f>
        <v/>
      </c>
    </row>
    <row r="23">
      <c r="A23" s="5" t="inlineStr">
        <is>
          <t>12:30</t>
        </is>
      </c>
      <c r="B23" s="17" t="n"/>
      <c r="C23" s="17" t="n"/>
      <c r="D23" s="17" t="n"/>
      <c r="E23" s="18" t="n"/>
      <c r="F23" s="17" t="n"/>
      <c r="G23" s="17" t="n"/>
      <c r="H23" s="17" t="n"/>
      <c r="I23" s="18" t="n"/>
      <c r="J23" s="29">
        <f>IF(COUNT(B23,F23)&lt;2,"",B23/MAX(1,B23+F23))</f>
        <v/>
      </c>
      <c r="K23" s="29">
        <f>IF(COUNT(B23)=0,"",B23/10/'Inputs'!$B$81)</f>
        <v/>
      </c>
      <c r="L23" s="29">
        <f>IF(COUNT(F23)=0,"",F23/10/'Inputs'!$B$82)</f>
        <v/>
      </c>
    </row>
    <row r="24">
      <c r="A24" s="5" t="inlineStr">
        <is>
          <t>12:40</t>
        </is>
      </c>
      <c r="B24" s="17" t="n"/>
      <c r="C24" s="17" t="n"/>
      <c r="D24" s="17" t="n"/>
      <c r="E24" s="18" t="n"/>
      <c r="F24" s="17" t="n"/>
      <c r="G24" s="17" t="n"/>
      <c r="H24" s="17" t="n"/>
      <c r="I24" s="18" t="n"/>
      <c r="J24" s="29">
        <f>IF(COUNT(B24,F24)&lt;2,"",B24/MAX(1,B24+F24))</f>
        <v/>
      </c>
      <c r="K24" s="29">
        <f>IF(COUNT(B24)=0,"",B24/10/'Inputs'!$B$81)</f>
        <v/>
      </c>
      <c r="L24" s="29">
        <f>IF(COUNT(F24)=0,"",F24/10/'Inputs'!$B$82)</f>
        <v/>
      </c>
    </row>
    <row r="25">
      <c r="A25" s="5" t="inlineStr">
        <is>
          <t>12:50</t>
        </is>
      </c>
      <c r="B25" s="17" t="n"/>
      <c r="C25" s="17" t="n"/>
      <c r="D25" s="17" t="n"/>
      <c r="E25" s="18" t="n"/>
      <c r="F25" s="17" t="n"/>
      <c r="G25" s="17" t="n"/>
      <c r="H25" s="17" t="n"/>
      <c r="I25" s="18" t="n"/>
      <c r="J25" s="29">
        <f>IF(COUNT(B25,F25)&lt;2,"",B25/MAX(1,B25+F25))</f>
        <v/>
      </c>
      <c r="K25" s="29">
        <f>IF(COUNT(B25)=0,"",B25/10/'Inputs'!$B$81)</f>
        <v/>
      </c>
      <c r="L25" s="29">
        <f>IF(COUNT(F25)=0,"",F25/10/'Inputs'!$B$82)</f>
        <v/>
      </c>
    </row>
    <row r="26">
      <c r="A26" s="5" t="inlineStr">
        <is>
          <t>13:00</t>
        </is>
      </c>
      <c r="B26" s="17" t="n"/>
      <c r="C26" s="17" t="n"/>
      <c r="D26" s="17" t="n"/>
      <c r="E26" s="18" t="n"/>
      <c r="F26" s="17" t="n"/>
      <c r="G26" s="17" t="n"/>
      <c r="H26" s="17" t="n"/>
      <c r="I26" s="18" t="n"/>
      <c r="J26" s="29">
        <f>IF(COUNT(B26,F26)&lt;2,"",B26/MAX(1,B26+F26))</f>
        <v/>
      </c>
      <c r="K26" s="29">
        <f>IF(COUNT(B26)=0,"",B26/10/'Inputs'!$B$81)</f>
        <v/>
      </c>
      <c r="L26" s="29">
        <f>IF(COUNT(F26)=0,"",F26/10/'Inputs'!$B$82)</f>
        <v/>
      </c>
    </row>
    <row r="27">
      <c r="A27" s="5" t="inlineStr">
        <is>
          <t>13:10</t>
        </is>
      </c>
      <c r="B27" s="17" t="n"/>
      <c r="C27" s="17" t="n"/>
      <c r="D27" s="17" t="n"/>
      <c r="E27" s="18" t="n"/>
      <c r="F27" s="17" t="n"/>
      <c r="G27" s="17" t="n"/>
      <c r="H27" s="17" t="n"/>
      <c r="I27" s="18" t="n"/>
      <c r="J27" s="29">
        <f>IF(COUNT(B27,F27)&lt;2,"",B27/MAX(1,B27+F27))</f>
        <v/>
      </c>
      <c r="K27" s="29">
        <f>IF(COUNT(B27)=0,"",B27/10/'Inputs'!$B$81)</f>
        <v/>
      </c>
      <c r="L27" s="29">
        <f>IF(COUNT(F27)=0,"",F27/10/'Inputs'!$B$82)</f>
        <v/>
      </c>
    </row>
    <row r="28">
      <c r="A28" s="5" t="inlineStr">
        <is>
          <t>13:20</t>
        </is>
      </c>
      <c r="B28" s="17" t="n"/>
      <c r="C28" s="17" t="n"/>
      <c r="D28" s="17" t="n"/>
      <c r="E28" s="18" t="n"/>
      <c r="F28" s="17" t="n"/>
      <c r="G28" s="17" t="n"/>
      <c r="H28" s="17" t="n"/>
      <c r="I28" s="18" t="n"/>
      <c r="J28" s="29">
        <f>IF(COUNT(B28,F28)&lt;2,"",B28/MAX(1,B28+F28))</f>
        <v/>
      </c>
      <c r="K28" s="29">
        <f>IF(COUNT(B28)=0,"",B28/10/'Inputs'!$B$81)</f>
        <v/>
      </c>
      <c r="L28" s="29">
        <f>IF(COUNT(F28)=0,"",F28/10/'Inputs'!$B$82)</f>
        <v/>
      </c>
    </row>
    <row r="29">
      <c r="A29" s="5" t="inlineStr">
        <is>
          <t>13:30</t>
        </is>
      </c>
      <c r="B29" s="17" t="n"/>
      <c r="C29" s="17" t="n"/>
      <c r="D29" s="17" t="n"/>
      <c r="E29" s="18" t="n"/>
      <c r="F29" s="17" t="n"/>
      <c r="G29" s="17" t="n"/>
      <c r="H29" s="17" t="n"/>
      <c r="I29" s="18" t="n"/>
      <c r="J29" s="29">
        <f>IF(COUNT(B29,F29)&lt;2,"",B29/MAX(1,B29+F29))</f>
        <v/>
      </c>
      <c r="K29" s="29">
        <f>IF(COUNT(B29)=0,"",B29/10/'Inputs'!$B$81)</f>
        <v/>
      </c>
      <c r="L29" s="29">
        <f>IF(COUNT(F29)=0,"",F29/10/'Inputs'!$B$82)</f>
        <v/>
      </c>
    </row>
    <row r="30">
      <c r="A30" s="5" t="inlineStr">
        <is>
          <t>13:40</t>
        </is>
      </c>
      <c r="B30" s="17" t="n"/>
      <c r="C30" s="17" t="n"/>
      <c r="D30" s="17" t="n"/>
      <c r="E30" s="18" t="n"/>
      <c r="F30" s="17" t="n"/>
      <c r="G30" s="17" t="n"/>
      <c r="H30" s="17" t="n"/>
      <c r="I30" s="18" t="n"/>
      <c r="J30" s="29">
        <f>IF(COUNT(B30,F30)&lt;2,"",B30/MAX(1,B30+F30))</f>
        <v/>
      </c>
      <c r="K30" s="29">
        <f>IF(COUNT(B30)=0,"",B30/10/'Inputs'!$B$81)</f>
        <v/>
      </c>
      <c r="L30" s="29">
        <f>IF(COUNT(F30)=0,"",F30/10/'Inputs'!$B$82)</f>
        <v/>
      </c>
    </row>
    <row r="31">
      <c r="A31" s="5" t="inlineStr">
        <is>
          <t>13:50</t>
        </is>
      </c>
      <c r="B31" s="17" t="n"/>
      <c r="C31" s="17" t="n"/>
      <c r="D31" s="17" t="n"/>
      <c r="E31" s="18" t="n"/>
      <c r="F31" s="17" t="n"/>
      <c r="G31" s="17" t="n"/>
      <c r="H31" s="17" t="n"/>
      <c r="I31" s="18" t="n"/>
      <c r="J31" s="29">
        <f>IF(COUNT(B31,F31)&lt;2,"",B31/MAX(1,B31+F31))</f>
        <v/>
      </c>
      <c r="K31" s="29">
        <f>IF(COUNT(B31)=0,"",B31/10/'Inputs'!$B$81)</f>
        <v/>
      </c>
      <c r="L31" s="29">
        <f>IF(COUNT(F31)=0,"",F31/10/'Inputs'!$B$82)</f>
        <v/>
      </c>
    </row>
    <row r="32">
      <c r="A32" s="5" t="inlineStr">
        <is>
          <t>14:00</t>
        </is>
      </c>
      <c r="B32" s="17" t="n"/>
      <c r="C32" s="17" t="n"/>
      <c r="D32" s="17" t="n"/>
      <c r="E32" s="18" t="n"/>
      <c r="F32" s="17" t="n"/>
      <c r="G32" s="17" t="n"/>
      <c r="H32" s="17" t="n"/>
      <c r="I32" s="18" t="n"/>
      <c r="J32" s="29">
        <f>IF(COUNT(B32,F32)&lt;2,"",B32/MAX(1,B32+F32))</f>
        <v/>
      </c>
      <c r="K32" s="29">
        <f>IF(COUNT(B32)=0,"",B32/10/'Inputs'!$B$81)</f>
        <v/>
      </c>
      <c r="L32" s="29">
        <f>IF(COUNT(F32)=0,"",F32/10/'Inputs'!$B$82)</f>
        <v/>
      </c>
    </row>
    <row r="33">
      <c r="A33" s="5" t="inlineStr">
        <is>
          <t>14:10</t>
        </is>
      </c>
      <c r="B33" s="17" t="n"/>
      <c r="C33" s="17" t="n"/>
      <c r="D33" s="17" t="n"/>
      <c r="E33" s="18" t="n"/>
      <c r="F33" s="17" t="n"/>
      <c r="G33" s="17" t="n"/>
      <c r="H33" s="17" t="n"/>
      <c r="I33" s="18" t="n"/>
      <c r="J33" s="29">
        <f>IF(COUNT(B33,F33)&lt;2,"",B33/MAX(1,B33+F33))</f>
        <v/>
      </c>
      <c r="K33" s="29">
        <f>IF(COUNT(B33)=0,"",B33/10/'Inputs'!$B$81)</f>
        <v/>
      </c>
      <c r="L33" s="29">
        <f>IF(COUNT(F33)=0,"",F33/10/'Inputs'!$B$82)</f>
        <v/>
      </c>
    </row>
    <row r="34">
      <c r="A34" s="5" t="inlineStr">
        <is>
          <t>14:20</t>
        </is>
      </c>
      <c r="B34" s="17" t="n"/>
      <c r="C34" s="17" t="n"/>
      <c r="D34" s="17" t="n"/>
      <c r="E34" s="18" t="n"/>
      <c r="F34" s="17" t="n"/>
      <c r="G34" s="17" t="n"/>
      <c r="H34" s="17" t="n"/>
      <c r="I34" s="18" t="n"/>
      <c r="J34" s="29">
        <f>IF(COUNT(B34,F34)&lt;2,"",B34/MAX(1,B34+F34))</f>
        <v/>
      </c>
      <c r="K34" s="29">
        <f>IF(COUNT(B34)=0,"",B34/10/'Inputs'!$B$81)</f>
        <v/>
      </c>
      <c r="L34" s="29">
        <f>IF(COUNT(F34)=0,"",F34/10/'Inputs'!$B$82)</f>
        <v/>
      </c>
    </row>
    <row r="35"/>
    <row r="36">
      <c r="A36" s="4" t="inlineStr">
        <is>
          <t>Automatic diagnosis (blank until data are entered)</t>
        </is>
      </c>
    </row>
    <row r="37">
      <c r="A37" s="5" t="inlineStr">
        <is>
          <t>Slots with data</t>
        </is>
      </c>
      <c r="G37" s="30">
        <f>COUNT(B17:B34)</f>
        <v/>
      </c>
      <c r="H37" s="51" t="n"/>
      <c r="I37" s="51" t="n"/>
      <c r="J37" s="51" t="n"/>
      <c r="K37" s="51" t="n"/>
      <c r="L37" s="52" t="n"/>
    </row>
    <row r="38">
      <c r="A38" s="5" t="inlineStr">
        <is>
          <t>Central share of all arrivals (measured habit split)</t>
        </is>
      </c>
      <c r="G38" s="29">
        <f>IF(B37=0,"",SUM(B17:B34)/MAX(1,SUM(B17:B34)+SUM(F17:F34)))</f>
        <v/>
      </c>
      <c r="H38" s="51" t="n"/>
      <c r="I38" s="51" t="n"/>
      <c r="J38" s="51" t="n"/>
      <c r="K38" s="51" t="n"/>
      <c r="L38" s="52" t="n"/>
    </row>
    <row r="39">
      <c r="A39" s="5" t="inlineStr">
        <is>
          <t>Central's share of the seats (900 ÷ 1,400) for comparison</t>
        </is>
      </c>
      <c r="G39" s="29">
        <f>'Inputs'!$B$9/('Inputs'!$B$9+'Inputs'!$B$10)</f>
        <v/>
      </c>
      <c r="H39" s="51" t="n"/>
      <c r="I39" s="51" t="n"/>
      <c r="J39" s="51" t="n"/>
      <c r="K39" s="51" t="n"/>
      <c r="L39" s="52" t="n"/>
    </row>
    <row r="40">
      <c r="A40" s="5" t="inlineStr">
        <is>
          <t>Peak Central ρ (busiest slot)</t>
        </is>
      </c>
      <c r="G40" s="29">
        <f>IF(B37=0,"",MAX(K17:K34))</f>
        <v/>
      </c>
      <c r="H40" s="51" t="n"/>
      <c r="I40" s="51" t="n"/>
      <c r="J40" s="51" t="n"/>
      <c r="K40" s="51" t="n"/>
      <c r="L40" s="52" t="n"/>
    </row>
    <row r="41">
      <c r="A41" s="5" t="inlineStr">
        <is>
          <t>Peak Munch ρ in the same lunch</t>
        </is>
      </c>
      <c r="G41" s="29">
        <f>IF(B37=0,"",MAX(L17:L34))</f>
        <v/>
      </c>
      <c r="H41" s="51" t="n"/>
      <c r="I41" s="51" t="n"/>
      <c r="J41" s="51" t="n"/>
      <c r="K41" s="51" t="n"/>
      <c r="L41" s="52" t="n"/>
    </row>
    <row r="42">
      <c r="A42" s="5" t="inlineStr">
        <is>
          <t>Measured service rate at Central (served ÷ stations ÷ 10, busiest slot with a queue)</t>
        </is>
      </c>
      <c r="G42" s="26">
        <f>IF(B37=0,"",SUMPRODUCT(MAX((D17:D34&gt;0)*C17:C34))/'Inputs'!$B$11/10)</f>
        <v/>
      </c>
      <c r="H42" s="51" t="n"/>
      <c r="I42" s="51" t="n"/>
      <c r="J42" s="51" t="n"/>
      <c r="K42" s="51" t="n"/>
      <c r="L42" s="52" t="n"/>
    </row>
    <row r="43">
      <c r="A43" s="5" t="inlineStr">
        <is>
          <t>Is Central disproportionately busy?</t>
        </is>
      </c>
      <c r="G43" s="37">
        <f>IF(B37=0,"",IF(AND(B38&gt;B39,B40&gt;='Inputs'!$B$75),"Yes: more than its seat share and above target utilisation","No: revise the diagnosis"))</f>
        <v/>
      </c>
      <c r="H43" s="51" t="n"/>
      <c r="I43" s="51" t="n"/>
      <c r="J43" s="51" t="n"/>
      <c r="K43" s="51" t="n"/>
      <c r="L43" s="52" t="n"/>
    </row>
    <row r="44">
      <c r="A44" s="5" t="inlineStr">
        <is>
          <t>Does Munch have usable spare capacity at Central's peak?</t>
        </is>
      </c>
      <c r="G44" s="37">
        <f>IF(B37=0,"",IF(B41&lt;0.7,"Yes: below 70% busy","No: redistribution would just move the queue"))</f>
        <v/>
      </c>
      <c r="H44" s="51" t="n"/>
      <c r="I44" s="51" t="n"/>
      <c r="J44" s="51" t="n"/>
      <c r="K44" s="51" t="n"/>
      <c r="L44" s="52" t="n"/>
    </row>
    <row r="45"/>
    <row r="46" ht="30" customHeight="1">
      <c r="A46" s="3" t="inlineStr">
        <is>
          <t>If the answers are 'No', don't force the original hypothesis: update the Inputs (habit split, service rate) and let the scenarios show what the evidence implies. Changing course on evidence is a strength in an MDS project.</t>
        </is>
      </c>
    </row>
  </sheetData>
  <mergeCells count="18">
    <mergeCell ref="A38:F38"/>
    <mergeCell ref="A41:F41"/>
    <mergeCell ref="G41:L41"/>
    <mergeCell ref="A42:F42"/>
    <mergeCell ref="G37:L37"/>
    <mergeCell ref="A12:D12"/>
    <mergeCell ref="G42:L42"/>
    <mergeCell ref="A44:F44"/>
    <mergeCell ref="A37:F37"/>
    <mergeCell ref="G40:L40"/>
    <mergeCell ref="G44:L44"/>
    <mergeCell ref="A46:L46"/>
    <mergeCell ref="G39:L39"/>
    <mergeCell ref="A40:F40"/>
    <mergeCell ref="G43:L43"/>
    <mergeCell ref="A39:F39"/>
    <mergeCell ref="G38:L38"/>
    <mergeCell ref="A43:F43"/>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D27"/>
  <sheetViews>
    <sheetView showGridLines="0" workbookViewId="0">
      <selection activeCell="A1" sqref="A1"/>
    </sheetView>
  </sheetViews>
  <sheetFormatPr baseColWidth="8" defaultRowHeight="15"/>
  <cols>
    <col width="64" customWidth="1" min="1" max="1"/>
    <col width="18" customWidth="1" min="2" max="2"/>
    <col width="12" customWidth="1" min="3" max="3"/>
    <col width="50" customWidth="1" min="4" max="4"/>
  </cols>
  <sheetData>
    <row r="1">
      <c r="A1" s="1" t="inlineStr">
        <is>
          <t>Validation checks: every one should say OK</t>
        </is>
      </c>
      <c r="B1" s="2" t="n"/>
      <c r="C1" s="2" t="n"/>
      <c r="D1" s="2" t="n"/>
    </row>
    <row r="2">
      <c r="A2" s="11" t="inlineStr">
        <is>
          <t>Recalculate (F9) after changing inputs; a CHECK means something needs a look</t>
        </is>
      </c>
    </row>
    <row r="3"/>
    <row r="4">
      <c r="A4" s="7" t="inlineStr">
        <is>
          <t>Check</t>
        </is>
      </c>
      <c r="B4" s="7" t="inlineStr">
        <is>
          <t>Value</t>
        </is>
      </c>
      <c r="C4" s="7" t="inlineStr">
        <is>
          <t>Result</t>
        </is>
      </c>
      <c r="D4" s="7" t="inlineStr">
        <is>
          <t>What it tests</t>
        </is>
      </c>
    </row>
    <row r="5">
      <c r="A5" s="5" t="inlineStr">
        <is>
          <t>Every numeric input is a number (no text such as '14-15')</t>
        </is>
      </c>
      <c r="B5" s="42">
        <f>COUNT('Inputs'!$B$5:$B$78)</f>
        <v/>
      </c>
      <c r="C5" s="37">
        <f>IF(B5=66,"OK","CHECK")</f>
        <v/>
      </c>
      <c r="D5" s="3" t="inlineStr">
        <is>
          <t>66 numeric inputs expected</t>
        </is>
      </c>
    </row>
    <row r="6">
      <c r="A6" s="5" t="inlineStr">
        <is>
          <t>No formula errors in S15 Queuing</t>
        </is>
      </c>
      <c r="B6" s="42">
        <f>SUMPRODUCT(--ISERROR('S15 Queuing'!$A$30:$AN$47))</f>
        <v/>
      </c>
      <c r="C6" s="37">
        <f>IF(B6=0,"OK","CHECK")</f>
        <v/>
      </c>
      <c r="D6" s="3" t="inlineStr">
        <is>
          <t>The earlier errors came from a text input ('14-15')</t>
        </is>
      </c>
    </row>
    <row r="7">
      <c r="A7" s="5" t="inlineStr">
        <is>
          <t>No formula errors in LP Student Flow</t>
        </is>
      </c>
      <c r="B7" s="42">
        <f>SUMPRODUCT(--ISERROR('LP Student Flow'!$A$19:$N$40))</f>
        <v/>
      </c>
      <c r="C7" s="37">
        <f>IF(B7=0,"OK","CHECK")</f>
        <v/>
      </c>
      <c r="D7" s="3" t="inlineStr"/>
    </row>
    <row r="8">
      <c r="A8" s="5" t="inlineStr">
        <is>
          <t>No formula errors in Decision Rule</t>
        </is>
      </c>
      <c r="B8" s="42">
        <f>SUMPRODUCT(--ISERROR('Decision Rule'!$A$14:$T$22))</f>
        <v/>
      </c>
      <c r="C8" s="37">
        <f>IF(B8=0,"OK","CHECK")</f>
        <v/>
      </c>
      <c r="D8" s="3" t="inlineStr"/>
    </row>
    <row r="9">
      <c r="A9" s="5" t="inlineStr">
        <is>
          <t>Arrival curve shares sum to 100%</t>
        </is>
      </c>
      <c r="B9" s="42">
        <f>SUM('S15 Queuing'!$B$30:$B$47)</f>
        <v/>
      </c>
      <c r="C9" s="37">
        <f>IF(ABS(B9-1)&lt;0.0001,"OK","CHECK")</f>
        <v/>
      </c>
      <c r="D9" s="3" t="inlineStr">
        <is>
          <t>Demand balance</t>
        </is>
      </c>
    </row>
    <row r="10">
      <c r="A10" s="5" t="inlineStr">
        <is>
          <t>S15 arrivals add up to students per lunch</t>
        </is>
      </c>
      <c r="B10" s="42">
        <f>SUM('S15 Queuing'!$C$30:$C$47)-'Inputs'!$B$6</f>
        <v/>
      </c>
      <c r="C10" s="37">
        <f>IF(ABS(B10)&lt;0.5,"OK","CHECK")</f>
        <v/>
      </c>
      <c r="D10" s="3" t="inlineStr">
        <is>
          <t>Demand balance</t>
        </is>
      </c>
    </row>
    <row r="11">
      <c r="A11" s="5" t="inlineStr">
        <is>
          <t>Habit share and compliance are between 0 and 1</t>
        </is>
      </c>
      <c r="B11" s="42">
        <f>AND('Inputs'!$B$34&gt;=0,'Inputs'!$B$34&lt;=1,'Inputs'!$B$35&gt;=0,'Inputs'!$B$35&lt;=1)</f>
        <v/>
      </c>
      <c r="C11" s="37">
        <f>IF(B11,"OK","CHECK")</f>
        <v/>
      </c>
      <c r="D11" s="3" t="inlineStr"/>
    </row>
    <row r="12">
      <c r="A12" s="5" t="inlineStr">
        <is>
          <t>Kinds of day sum to 100%</t>
        </is>
      </c>
      <c r="B12" s="42">
        <f>'Inputs'!$B$71+'Inputs'!$B$72+'Inputs'!$B$73</f>
        <v/>
      </c>
      <c r="C12" s="37">
        <f>IF(ABS(B12-1)&lt;0.0001,"OK","CHECK")</f>
        <v/>
      </c>
      <c r="D12" s="3" t="inlineStr">
        <is>
          <t>Payoff matrix probabilities</t>
        </is>
      </c>
    </row>
    <row r="13">
      <c r="A13" s="5" t="inlineStr">
        <is>
          <t>LP: every constraint holds (smallest slack ≥ 0)</t>
        </is>
      </c>
      <c r="B13" s="42">
        <f>'LP Student Flow'!$B$49</f>
        <v/>
      </c>
      <c r="C13" s="37">
        <f>IF(B13&gt;=-0.01,"OK","CHECK (re-run Solver)")</f>
        <v/>
      </c>
      <c r="D13" s="3" t="inlineStr">
        <is>
          <t>Fluid queue recursions</t>
        </is>
      </c>
    </row>
    <row r="14">
      <c r="A14" s="5" t="inlineStr">
        <is>
          <t>LP: redirects within compliance limits</t>
        </is>
      </c>
      <c r="B14" s="42">
        <f>'LP Student Flow'!$B$50</f>
        <v/>
      </c>
      <c r="C14" s="37">
        <f>IF(B14="Yes","OK","CHECK (re-run Solver)")</f>
        <v/>
      </c>
      <c r="D14" s="3" t="inlineStr">
        <is>
          <t>0 ≤ y ≤ κ·h·D</t>
        </is>
      </c>
    </row>
    <row r="15">
      <c r="A15" s="5" t="inlineStr">
        <is>
          <t>LP: Munch's food constraint holds</t>
        </is>
      </c>
      <c r="B15" s="42">
        <f>'LP Student Flow'!$B$48</f>
        <v/>
      </c>
      <c r="C15" s="37">
        <f>IF(B15="Yes","OK","CHECK (re-run Solver)")</f>
        <v/>
      </c>
      <c r="D15" s="3" t="inlineStr">
        <is>
          <t>Food as the operational constraint</t>
        </is>
      </c>
    </row>
    <row r="16">
      <c r="A16" s="5" t="inlineStr">
        <is>
          <t>LP improves on today</t>
        </is>
      </c>
      <c r="B16" s="42">
        <f>'LP Student Flow'!$B$43-'LP Student Flow'!$B$44</f>
        <v/>
      </c>
      <c r="C16" s="37">
        <f>IF(B16&lt;0,"OK","CHECK")</f>
        <v/>
      </c>
      <c r="D16" s="3" t="inlineStr"/>
    </row>
    <row r="17">
      <c r="A17" s="5" t="inlineStr">
        <is>
          <t>Response: a faster serving rate lowers the M/M/c wait (λ = 17/min, c = 2)</t>
        </is>
      </c>
      <c r="B17" s="42">
        <f>IF(17/(2*(1.1*'Inputs'!$B$26))&lt;1,((17/(1.1*'Inputs'!$B$26))^2/2*2/(2-17/(1.1*'Inputs'!$B$26)))/(1+17/(1.1*'Inputs'!$B$26)+(17/(1.1*'Inputs'!$B$26))^2/2*2/(2-17/(1.1*'Inputs'!$B$26)))/(2*(1.1*'Inputs'!$B$26)-17),99)-IF(17/(2*'Inputs'!$B$26)&lt;1,((17/'Inputs'!$B$26)^2/2*2/(2-17/'Inputs'!$B$26))/(1+17/'Inputs'!$B$26+(17/'Inputs'!$B$26)^2/2*2/(2-17/'Inputs'!$B$26))/(2*'Inputs'!$B$26-17),99)</f>
        <v/>
      </c>
      <c r="C17" s="37">
        <f>IF(B17&lt;0,"OK","CHECK")</f>
        <v/>
      </c>
      <c r="D17" s="3" t="inlineStr">
        <is>
          <t>Outputs move in the right direction</t>
        </is>
      </c>
    </row>
    <row r="18">
      <c r="A18" s="5" t="inlineStr">
        <is>
          <t>With screens, Munch's peak utilisation stays below 100% (S15)</t>
        </is>
      </c>
      <c r="B18" s="42">
        <f>'S15 Queuing'!$H$53</f>
        <v/>
      </c>
      <c r="C18" s="37">
        <f>IF(B18&lt;1,"OK","CHECK")</f>
        <v/>
      </c>
      <c r="D18" s="3" t="inlineStr">
        <is>
          <t>Redistribution must not overload Munch</t>
        </is>
      </c>
    </row>
    <row r="19">
      <c r="A19" s="5" t="inlineStr">
        <is>
          <t>Throughput with no queues is within the measured range</t>
        </is>
      </c>
      <c r="B19" s="42">
        <f>'Inputs'!$B$89</f>
        <v/>
      </c>
      <c r="C19" s="37">
        <f>IF(AND(B19&gt;='Inputs'!$B$16-1,B19&lt;='Inputs'!$B$17),"OK","CHECK")</f>
        <v/>
      </c>
      <c r="D19" s="3" t="inlineStr">
        <is>
          <t>17–35 min (group); quiet visit ~18</t>
        </is>
      </c>
    </row>
    <row r="20">
      <c r="A20" s="5" t="inlineStr">
        <is>
          <t>Simulated throughput for students who met no queue (today)</t>
        </is>
      </c>
      <c r="B20" s="48" t="n">
        <v>19.8</v>
      </c>
      <c r="C20" s="37">
        <f>IF(AND(B20&gt;='Inputs'!$B$16-1,B20&lt;='Inputs'!$B$17),"OK","CHECK")</f>
        <v/>
      </c>
      <c r="D20" s="3" t="inlineStr">
        <is>
          <t>Simulator calibration</t>
        </is>
      </c>
    </row>
    <row r="21">
      <c r="A21" s="5" t="inlineStr">
        <is>
          <t>Simulated throughput at the peak (today)</t>
        </is>
      </c>
      <c r="B21" s="48" t="n">
        <v>25.6</v>
      </c>
      <c r="C21" s="37">
        <f>IF(AND(B21&gt;='Inputs'!$B$16,B21&lt;='Inputs'!$B$17+3),"OK","CHECK")</f>
        <v/>
      </c>
      <c r="D21" s="3" t="inlineStr">
        <is>
          <t>Group: up to ~25 min in a surge</t>
        </is>
      </c>
    </row>
    <row r="22">
      <c r="A22" s="5" t="inlineStr">
        <is>
          <t>Spreadsheet vs spreadsheet-like simulator, without screens</t>
        </is>
      </c>
      <c r="B22" s="42">
        <f>'Reconciliation'!$B$12</f>
        <v/>
      </c>
      <c r="C22" s="37">
        <f>IF(ABS(B22)&lt;=0.15*'Reconciliation'!$B$6,"OK","CHECK")</f>
        <v/>
      </c>
      <c r="D22" s="3" t="inlineStr">
        <is>
          <t>The two models agree within 15% under the same assumptions</t>
        </is>
      </c>
    </row>
    <row r="23">
      <c r="A23" s="5" t="inlineStr">
        <is>
          <t>Payoff matrix: no errors</t>
        </is>
      </c>
      <c r="B23" s="42">
        <f>SUMPRODUCT(--ISERROR('S7 Payoff Matrix'!$A$6:$J$42))</f>
        <v/>
      </c>
      <c r="C23" s="37">
        <f>IF(B23=0,"OK","CHECK")</f>
        <v/>
      </c>
      <c r="D23" s="3" t="inlineStr"/>
    </row>
    <row r="24">
      <c r="A24" s="5" t="inlineStr">
        <is>
          <t>Arrival Curve: no errors</t>
        </is>
      </c>
      <c r="B24" s="42">
        <f>SUMPRODUCT(--ISERROR('Arrival Curve'!$A$3:$N$40))</f>
        <v/>
      </c>
      <c r="C24" s="37">
        <f>IF(B24=0,"OK","CHECK")</f>
        <v/>
      </c>
      <c r="D24" s="3" t="inlineStr"/>
    </row>
    <row r="25">
      <c r="A25" s="5" t="inlineStr">
        <is>
          <t>Department cohorts add up to students per lunch</t>
        </is>
      </c>
      <c r="B25" s="42">
        <f>'Arrival Curve'!$B$14-'Inputs'!$B$6</f>
        <v/>
      </c>
      <c r="C25" s="37">
        <f>IF(ABS(B25)&lt;0.5,"OK","CHECK")</f>
        <v/>
      </c>
      <c r="D25" s="3" t="inlineStr">
        <is>
          <t>Rough sizes scaled to the plates served</t>
        </is>
      </c>
    </row>
    <row r="26"/>
    <row r="27">
      <c r="A27" s="4" t="inlineStr">
        <is>
          <t>All checks</t>
        </is>
      </c>
      <c r="C27" s="37">
        <f>IF(COUNTIF(C5:C25,"OK")=21,"ALL OK","CHECK")</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2026-10-25T17:35:35Z</dcterms:created>
  <dcterms:modified xmlns:dcterms="http://purl.org/dc/terms/" xmlns:xsi="http://www.w3.org/2001/XMLSchema-instance" xsi:type="dcterms:W3CDTF">2026-10-25T17:35:35Z</dcterms:modified>
</cp:coreProperties>
</file>