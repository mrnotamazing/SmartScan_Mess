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Assumptions" sheetId="2" state="visible" r:id="rId4"/>
    <sheet name="Variables" sheetId="3" state="visible" r:id="rId5"/>
    <sheet name="Q1 Scanner" sheetId="4" state="visible" r:id="rId6"/>
    <sheet name="Q2 Serving stations" sheetId="5" state="visible" r:id="rId7"/>
    <sheet name="Q3 Seats &amp; disposal" sheetId="6" state="visible" r:id="rId8"/>
    <sheet name="Littles Law" sheetId="7" state="visible" r:id="rId9"/>
    <sheet name="Capacity" sheetId="8" state="visible" r:id="rId10"/>
    <sheet name="Load Balancing" sheetId="9" state="visible" r:id="rId11"/>
    <sheet name="Sim Data" sheetId="10" state="visible" r:id="rId12"/>
    <sheet name="Checks" sheetId="11" state="visible" r:id="rId13"/>
  </sheets>
  <definedNames>
    <definedName function="false" hidden="true" localSheetId="6" name="_xlnm._FilterDatabase" vbProcedure="false">'Littles Law'!$A$10:$I$82</definedName>
    <definedName function="false" hidden="true" localSheetId="3" name="_xlnm._FilterDatabase" vbProcedure="false">'Q1 Scanner'!$A$27:$P$99</definedName>
    <definedName function="false" hidden="true" localSheetId="4" name="_xlnm._FilterDatabase" vbProcedure="false">'Q2 Serving stations'!$A$27:$P$99</definedName>
    <definedName function="false" hidden="true" localSheetId="5" name="_xlnm._FilterDatabase" vbProcedure="false">'Q3 Seats &amp; disposal'!$A$20:$L$92</definedName>
    <definedName function="false" hidden="true" localSheetId="9" name="_xlnm._FilterDatabase" vbProcedure="false">'Sim Data'!$A$4:$I$364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<sst xmlns="http://schemas.openxmlformats.org/spreadsheetml/2006/main" count="3231" uniqueCount="574">
  <si>
    <t xml:space="preserve">Smart Mess: queues, capacity and load balancing</t>
  </si>
  <si>
    <t xml:space="preserve">Central CT and Munch Mess · lunch 11:30–14:30 · MDS project, Group WGB3</t>
  </si>
  <si>
    <t xml:space="preserve">What this workbook shows</t>
  </si>
  <si>
    <t xml:space="preserve">Where the lunch queue forms, how much each part of the mess can handle, and how Smart Scan spreads students between the two messes. Three questions, one tab each, all built on the same simulated lunches.</t>
  </si>
  <si>
    <t xml:space="preserve">All figures are simulated: 20 simulated lunches per scenario from the Smart Mess model, using the inputs on the Assumptions tab. They show how the system behaves under those assumptions; they are not measurements.</t>
  </si>
  <si>
    <t xml:space="preserve">How to walk through it</t>
  </si>
  <si>
    <t xml:space="preserve">Tab</t>
  </si>
  <si>
    <t xml:space="preserve">What it answers</t>
  </si>
  <si>
    <t xml:space="preserve">Concept</t>
  </si>
  <si>
    <t xml:space="preserve">Assumptions</t>
  </si>
  <si>
    <t xml:space="preserve">What we assumed: students, timings, seats, stations, compliance</t>
  </si>
  <si>
    <t xml:space="preserve">Inputs</t>
  </si>
  <si>
    <t xml:space="preserve">Variables</t>
  </si>
  <si>
    <t xml:space="preserve">What each symbol means, with its value in a real slot (λ = …, ρ = …)</t>
  </si>
  <si>
    <t xml:space="preserve">Notation</t>
  </si>
  <si>
    <t xml:space="preserve">Q1 Scanner</t>
  </si>
  <si>
    <t xml:space="preserve">Can one face scanner keep up?</t>
  </si>
  <si>
    <t xml:space="preserve">1 · Queue management (M/M/1)</t>
  </si>
  <si>
    <t xml:space="preserve">Q2 Serving stations</t>
  </si>
  <si>
    <t xml:space="preserve">Where does the line form, and when is it unstable?</t>
  </si>
  <si>
    <t xml:space="preserve">1 · Queue management (M/M/c)</t>
  </si>
  <si>
    <t xml:space="preserve">Q3 Seats &amp; disposal</t>
  </si>
  <si>
    <t xml:space="preserve">Do the seats or the bins ever hold students up?</t>
  </si>
  <si>
    <t xml:space="preserve">1 · Queue management (M/G/c)</t>
  </si>
  <si>
    <t xml:space="preserve">Littles Law</t>
  </si>
  <si>
    <t xml:space="preserve">When is the mess steady, filling or emptying?</t>
  </si>
  <si>
    <t xml:space="preserve">1 · Little's Law</t>
  </si>
  <si>
    <t xml:space="preserve">Capacity</t>
  </si>
  <si>
    <t xml:space="preserve">Seat turnover, capacity of each stage, the bottleneck</t>
  </si>
  <si>
    <t xml:space="preserve">2 · Capacity management</t>
  </si>
  <si>
    <t xml:space="preserve">Load Balancing</t>
  </si>
  <si>
    <t xml:space="preserve">When we send students to the other mess, and why a fixed rule fails</t>
  </si>
  <si>
    <t xml:space="preserve">3 · Load balancing</t>
  </si>
  <si>
    <t xml:space="preserve">Sim Data</t>
  </si>
  <si>
    <t xml:space="preserve">The simulated numbers every tab reads from</t>
  </si>
  <si>
    <t xml:space="preserve">Data</t>
  </si>
  <si>
    <t xml:space="preserve">Checks</t>
  </si>
  <si>
    <t xml:space="preserve">Do the numbers add up?</t>
  </si>
  <si>
    <t xml:space="preserve">Validation</t>
  </si>
  <si>
    <t xml:space="preserve">Headline results</t>
  </si>
  <si>
    <t xml:space="preserve">Bottleneck at both messes</t>
  </si>
  <si>
    <t xml:space="preserve">Central's serving stations at the 13:10 surge (today)</t>
  </si>
  <si>
    <t xml:space="preserve">Slots over capacity at Central: today → with screens</t>
  </si>
  <si>
    <t xml:space="preserve">Seat turnover at Central</t>
  </si>
  <si>
    <t xml:space="preserve">Peak seats in use: Central / Munch</t>
  </si>
  <si>
    <t xml:space="preserve">Average wait: today → freshers-at-Munch rule → Smart Scan</t>
  </si>
  <si>
    <t xml:space="preserve">All checks</t>
  </si>
  <si>
    <t xml:space="preserve">Colour key</t>
  </si>
  <si>
    <t xml:space="preserve">Blue text</t>
  </si>
  <si>
    <t xml:space="preserve">an input you can change</t>
  </si>
  <si>
    <t xml:space="preserve">Shaded yellow</t>
  </si>
  <si>
    <t xml:space="preserve">an assumption not yet measured</t>
  </si>
  <si>
    <t xml:space="preserve">Shaded grey</t>
  </si>
  <si>
    <t xml:space="preserve">simulated data</t>
  </si>
  <si>
    <t xml:space="preserve">Green text</t>
  </si>
  <si>
    <t xml:space="preserve">a value pulled from another tab</t>
  </si>
  <si>
    <t xml:space="preserve">Shaded green</t>
  </si>
  <si>
    <t xml:space="preserve">a key result</t>
  </si>
  <si>
    <t xml:space="preserve">Red / amber rows</t>
  </si>
  <si>
    <t xml:space="preserve">over capacity / near capacity</t>
  </si>
  <si>
    <t xml:space="preserve">To refresh the data: python tools/queue_capacity_data.py, then python tools/build_queue_capacity_workbook.py</t>
  </si>
  <si>
    <t xml:space="preserve">Every input behind the simulated lunches, and where it comes from. Blue = input; shaded yellow = not measured yet.</t>
  </si>
  <si>
    <t xml:space="preserve">Assumption</t>
  </si>
  <si>
    <t xml:space="preserve">Value</t>
  </si>
  <si>
    <t xml:space="preserve">Unit</t>
  </si>
  <si>
    <t xml:space="preserve">Status</t>
  </si>
  <si>
    <t xml:space="preserve">Source / note</t>
  </si>
  <si>
    <t xml:space="preserve">Demand</t>
  </si>
  <si>
    <t xml:space="preserve">Students per lunch (both messes)</t>
  </si>
  <si>
    <t xml:space="preserve">students</t>
  </si>
  <si>
    <t xml:space="preserve">Measured</t>
  </si>
  <si>
    <t xml:space="preserve">Plates served (Phase 1)</t>
  </si>
  <si>
    <t xml:space="preserve">Share who eat at Central by habit (no screens)</t>
  </si>
  <si>
    <t xml:space="preserve">share</t>
  </si>
  <si>
    <t xml:space="preserve">Group: ~2,360 Central, ~600 Munch</t>
  </si>
  <si>
    <t xml:space="preserve">Lunch window</t>
  </si>
  <si>
    <t xml:space="preserve">minutes</t>
  </si>
  <si>
    <t xml:space="preserve">11:30–14:30</t>
  </si>
  <si>
    <t xml:space="preserve">Total time in the mess: low (quiet)</t>
  </si>
  <si>
    <t xml:space="preserve">Group estimate</t>
  </si>
  <si>
    <t xml:space="preserve">Group: 17–35 min door to leaving, depending on the rush</t>
  </si>
  <si>
    <t xml:space="preserve">Total time in the mess: high (rush)</t>
  </si>
  <si>
    <t xml:space="preserve">As above</t>
  </si>
  <si>
    <t xml:space="preserve">Arrival lag after a department's lunch break starts: mean</t>
  </si>
  <si>
    <t xml:space="preserve">Calibrated</t>
  </si>
  <si>
    <t xml:space="preserve">Fits the 17–35 min visit and ~15 min peak delay; department breaks from the group's timetable</t>
  </si>
  <si>
    <t xml:space="preserve">Arrival lag: spread</t>
  </si>
  <si>
    <t xml:space="preserve">Stage 1 · Scan &amp; collect plate (30–45 s)</t>
  </si>
  <si>
    <t xml:space="preserve">Face scanners per mess</t>
  </si>
  <si>
    <t xml:space="preserve">scanners</t>
  </si>
  <si>
    <t xml:space="preserve">Group observation</t>
  </si>
  <si>
    <t xml:space="preserve">Time per face scan</t>
  </si>
  <si>
    <t xml:space="preserve">seconds</t>
  </si>
  <si>
    <t xml:space="preserve">Assumed</t>
  </si>
  <si>
    <t xml:space="preserve">Stopwatch at the scanner</t>
  </si>
  <si>
    <t xml:space="preserve">Collect a plate after the scan (28–43 s)</t>
  </si>
  <si>
    <t xml:space="preserve">Group: scan + plate takes 30–45 s</t>
  </si>
  <si>
    <t xml:space="preserve">Stage 2 · Collect food (1–2 min, plus the queue)</t>
  </si>
  <si>
    <t xml:space="preserve">Serving stations per mess</t>
  </si>
  <si>
    <t xml:space="preserve">stations</t>
  </si>
  <si>
    <t xml:space="preserve">Service rate per station</t>
  </si>
  <si>
    <t xml:space="preserve">students/min</t>
  </si>
  <si>
    <t xml:space="preserve">≈6 s per student; stopwatch 20–30 students</t>
  </si>
  <si>
    <t xml:space="preserve">Variability of serving time (coefficient of variation)</t>
  </si>
  <si>
    <t xml:space="preserve">ratio</t>
  </si>
  <si>
    <t xml:space="preserve">1.0 would be exponential, as M/M/c assumes</t>
  </si>
  <si>
    <t xml:space="preserve">Rest of food collection after the station (54–114 s)</t>
  </si>
  <si>
    <t xml:space="preserve">Group: collecting food takes 1–2 min without a queue (serving ≈ 6 s + the rest); the queue adds up to ~15 min in the rush</t>
  </si>
  <si>
    <t xml:space="preserve">Stage 3 · Eat (14–18 min)</t>
  </si>
  <si>
    <t xml:space="preserve">Seats: Central CT</t>
  </si>
  <si>
    <t xml:space="preserve">seats</t>
  </si>
  <si>
    <t xml:space="preserve">CT manager</t>
  </si>
  <si>
    <t xml:space="preserve">Seats: Munch Mess</t>
  </si>
  <si>
    <t xml:space="preserve">Eating time: low</t>
  </si>
  <si>
    <t xml:space="preserve">Group: 14–18 min</t>
  </si>
  <si>
    <t xml:space="preserve">Eating time: high</t>
  </si>
  <si>
    <t xml:space="preserve">Seat changeover (next diner sits after the last leaves)</t>
  </si>
  <si>
    <t xml:space="preserve">Students clear their own plate; no table cleaning delays between diners as such. Used in the seat-turnover formulas</t>
  </si>
  <si>
    <t xml:space="preserve">Stage 4 · Dispose of plate (1–2 min)</t>
  </si>
  <si>
    <t xml:space="preserve">Disposal: low</t>
  </si>
  <si>
    <t xml:space="preserve">Group: 2 min at most</t>
  </si>
  <si>
    <t xml:space="preserve">Disposal: high</t>
  </si>
  <si>
    <t xml:space="preserve">Load balancing (door screens)</t>
  </si>
  <si>
    <t xml:space="preserve">Share who follow a screen's advice</t>
  </si>
  <si>
    <t xml:space="preserve">Imaginary adoption rate to measure impact; the pilot measures the real one</t>
  </si>
  <si>
    <t xml:space="preserve">Walk between the two mess doors</t>
  </si>
  <si>
    <t xml:space="preserve">Timed</t>
  </si>
  <si>
    <t xml:space="preserve">30 s</t>
  </si>
  <si>
    <t xml:space="preserve">Minimum saving before a screen suggests switching</t>
  </si>
  <si>
    <t xml:space="preserve">Rule-based routing</t>
  </si>
  <si>
    <t xml:space="preserve">Our design choice</t>
  </si>
  <si>
    <t xml:space="preserve">Freshers as a share of every department (for the fixed freshers-at-Munch rule)</t>
  </si>
  <si>
    <t xml:space="preserve">First year of a four-year course; the messes first split students this way</t>
  </si>
  <si>
    <t xml:space="preserve">Simulation</t>
  </si>
  <si>
    <t xml:space="preserve">Simulated lunches averaged per scenario</t>
  </si>
  <si>
    <t xml:space="preserve">lunches</t>
  </si>
  <si>
    <t xml:space="preserve">Design</t>
  </si>
  <si>
    <t xml:space="preserve">Seeds 0–19; the same students in every scenario</t>
  </si>
  <si>
    <t xml:space="preserve">Time-slot length in the tables</t>
  </si>
  <si>
    <t xml:space="preserve">18 slots from 11:30</t>
  </si>
  <si>
    <t xml:space="preserve">Department lunch breaks (they shape the surge; sizes are rough, scaled to the plates served)</t>
  </si>
  <si>
    <t xml:space="preserve">Department</t>
  </si>
  <si>
    <t xml:space="preserve">Students (scaled)</t>
  </si>
  <si>
    <t xml:space="preserve">Break starts</t>
  </si>
  <si>
    <t xml:space="preserve">Break ends</t>
  </si>
  <si>
    <t xml:space="preserve">MIT</t>
  </si>
  <si>
    <t xml:space="preserve">12:00</t>
  </si>
  <si>
    <t xml:space="preserve">13:00</t>
  </si>
  <si>
    <t xml:space="preserve">Timetable from the group</t>
  </si>
  <si>
    <t xml:space="preserve">MIT (lab day)</t>
  </si>
  <si>
    <t xml:space="preserve">14:00</t>
  </si>
  <si>
    <t xml:space="preserve">Timetable from the group; MIT eats here on lab days (45% assumed)</t>
  </si>
  <si>
    <t xml:space="preserve">TAPMI</t>
  </si>
  <si>
    <t xml:space="preserve">13:05</t>
  </si>
  <si>
    <t xml:space="preserve">DOC/MICFE</t>
  </si>
  <si>
    <t xml:space="preserve">12:30</t>
  </si>
  <si>
    <t xml:space="preserve">13:30</t>
  </si>
  <si>
    <t xml:space="preserve">SMI</t>
  </si>
  <si>
    <t xml:space="preserve">DLHS/MILHS</t>
  </si>
  <si>
    <t xml:space="preserve">12:40</t>
  </si>
  <si>
    <t xml:space="preserve">13:40</t>
  </si>
  <si>
    <t xml:space="preserve">MLS</t>
  </si>
  <si>
    <t xml:space="preserve">12:50</t>
  </si>
  <si>
    <t xml:space="preserve">13:50</t>
  </si>
  <si>
    <t xml:space="preserve">MIRM</t>
  </si>
  <si>
    <t xml:space="preserve">Timetable from the group; timing assumed</t>
  </si>
  <si>
    <t xml:space="preserve">What every symbol means, how it is calculated, and its value in a real slot of the simulated lunch</t>
  </si>
  <si>
    <t xml:space="preserve">1. Serving stations at Central, 12:10–12:20 today (M/M/c, stable)</t>
  </si>
  <si>
    <t xml:space="preserve">A worked example: every symbol below is calculated live from the simulated 12:10 slot, the first busy slot of the lunch.</t>
  </si>
  <si>
    <t xml:space="preserve">Symbol</t>
  </si>
  <si>
    <t xml:space="preserve">Name</t>
  </si>
  <si>
    <t xml:space="preserve">What it means at the mess</t>
  </si>
  <si>
    <t xml:space="preserve">Formula</t>
  </si>
  <si>
    <t xml:space="preserve">Reads as</t>
  </si>
  <si>
    <t xml:space="preserve">λ</t>
  </si>
  <si>
    <t xml:space="preserve">Arrival rate</t>
  </si>
  <si>
    <t xml:space="preserve">Students joining Central's serving line per minute in this slot</t>
  </si>
  <si>
    <t xml:space="preserve">counted in the simulation</t>
  </si>
  <si>
    <t xml:space="preserve">Ws</t>
  </si>
  <si>
    <t xml:space="preserve">Service time</t>
  </si>
  <si>
    <t xml:space="preserve">Average time one student spends being served at a station</t>
  </si>
  <si>
    <t xml:space="preserve">measured in the simulation</t>
  </si>
  <si>
    <t xml:space="preserve">min</t>
  </si>
  <si>
    <t xml:space="preserve">μ</t>
  </si>
  <si>
    <t xml:space="preserve">Students one station can serve per minute</t>
  </si>
  <si>
    <t xml:space="preserve">μ = 1 ÷ Ws</t>
  </si>
  <si>
    <t xml:space="preserve">c</t>
  </si>
  <si>
    <t xml:space="preserve">Servers</t>
  </si>
  <si>
    <t xml:space="preserve">Serving stations at Central</t>
  </si>
  <si>
    <t xml:space="preserve">measured</t>
  </si>
  <si>
    <t xml:space="preserve">a</t>
  </si>
  <si>
    <t xml:space="preserve">Offered load</t>
  </si>
  <si>
    <t xml:space="preserve">Work arriving, in 'stations' worth of serving</t>
  </si>
  <si>
    <t xml:space="preserve">a = λ ÷ μ</t>
  </si>
  <si>
    <t xml:space="preserve">ρ</t>
  </si>
  <si>
    <t xml:space="preserve">Utilisation</t>
  </si>
  <si>
    <t xml:space="preserve">Share of the time each station is busy</t>
  </si>
  <si>
    <t xml:space="preserve">ρ = λ ÷ (c·μ)</t>
  </si>
  <si>
    <t xml:space="preserve">Stable?</t>
  </si>
  <si>
    <t xml:space="preserve">Stability test</t>
  </si>
  <si>
    <t xml:space="preserve">Can the stations keep up, so the line settles to a steady size?</t>
  </si>
  <si>
    <t xml:space="preserve">stable if ρ &lt; 1</t>
  </si>
  <si>
    <t xml:space="preserve">P0</t>
  </si>
  <si>
    <t xml:space="preserve">Probability empty</t>
  </si>
  <si>
    <t xml:space="preserve">Chance nobody is waiting or being served</t>
  </si>
  <si>
    <t xml:space="preserve">[Σ aᵏ/k! (k &lt; c) + aᶜ/(c!(1−ρ))]⁻¹</t>
  </si>
  <si>
    <t xml:space="preserve">C</t>
  </si>
  <si>
    <t xml:space="preserve">Probability of waiting (Erlang C)</t>
  </si>
  <si>
    <t xml:space="preserve">Chance an arriving student has to wait at all</t>
  </si>
  <si>
    <t xml:space="preserve">C = aᶜ/(c!(1−ρ)) × P0</t>
  </si>
  <si>
    <t xml:space="preserve">Wq</t>
  </si>
  <si>
    <t xml:space="preserve">Wait in the line</t>
  </si>
  <si>
    <t xml:space="preserve">Average minutes from joining the line to reaching a station</t>
  </si>
  <si>
    <t xml:space="preserve">Wq = C ÷ (c·μ − λ)</t>
  </si>
  <si>
    <t xml:space="preserve">Wq cv</t>
  </si>
  <si>
    <t xml:space="preserve">Wait, corrected for regular serving</t>
  </si>
  <si>
    <t xml:space="preserve">Serving times vary less than M/M/c assumes (cv 0.6), so the real wait is shorter</t>
  </si>
  <si>
    <t xml:space="preserve">Wq × (1 + cv²) ÷ 2</t>
  </si>
  <si>
    <t xml:space="preserve">W</t>
  </si>
  <si>
    <t xml:space="preserve">Time at the stage</t>
  </si>
  <si>
    <t xml:space="preserve">Wait plus being served</t>
  </si>
  <si>
    <t xml:space="preserve">W = Wq + Ws</t>
  </si>
  <si>
    <t xml:space="preserve">Lq</t>
  </si>
  <si>
    <t xml:space="preserve">Students in the line</t>
  </si>
  <si>
    <t xml:space="preserve">Average number standing in the line</t>
  </si>
  <si>
    <t xml:space="preserve">Lq = λ × Wq (Little's Law)</t>
  </si>
  <si>
    <t xml:space="preserve">Ls</t>
  </si>
  <si>
    <t xml:space="preserve">Students being served</t>
  </si>
  <si>
    <t xml:space="preserve">Average number at the stations</t>
  </si>
  <si>
    <t xml:space="preserve">Ls = λ × Ws</t>
  </si>
  <si>
    <t xml:space="preserve">L</t>
  </si>
  <si>
    <t xml:space="preserve">Students at the stage</t>
  </si>
  <si>
    <t xml:space="preserve">Everyone at the serving stage</t>
  </si>
  <si>
    <t xml:space="preserve">L = λ × W (Little's Law)</t>
  </si>
  <si>
    <t xml:space="preserve">Wq sim</t>
  </si>
  <si>
    <t xml:space="preserve">Simulated wait</t>
  </si>
  <si>
    <t xml:space="preserve">What the simulated students actually waited</t>
  </si>
  <si>
    <t xml:space="preserve">from the simulation</t>
  </si>
  <si>
    <t xml:space="preserve">Lq sim</t>
  </si>
  <si>
    <t xml:space="preserve">Simulated line length</t>
  </si>
  <si>
    <t xml:space="preserve">Average number the simulation had waiting</t>
  </si>
  <si>
    <t xml:space="preserve">Little</t>
  </si>
  <si>
    <t xml:space="preserve">Little's Law check</t>
  </si>
  <si>
    <t xml:space="preserve">Simulated line length ÷ (λ × simulated wait). Close to 1 means steady</t>
  </si>
  <si>
    <t xml:space="preserve">Lq sim ÷ (λ × Wq sim)</t>
  </si>
  <si>
    <t xml:space="preserve">2. Serving stations at Central, 13:10–13:20 today (overloaded)</t>
  </si>
  <si>
    <t xml:space="preserve">When ρ ≥ 1 the textbook formulas stop applying: the line grows every minute until arrivals fall.</t>
  </si>
  <si>
    <t xml:space="preserve">Students joining Central's line per minute at the 13:10 surge</t>
  </si>
  <si>
    <t xml:space="preserve">c·μ</t>
  </si>
  <si>
    <t xml:space="preserve">Most the two stations can serve per minute</t>
  </si>
  <si>
    <t xml:space="preserve">c × μ</t>
  </si>
  <si>
    <t xml:space="preserve">Above 100% the stations cannot keep up</t>
  </si>
  <si>
    <t xml:space="preserve">Growth</t>
  </si>
  <si>
    <t xml:space="preserve">Line growth</t>
  </si>
  <si>
    <t xml:space="preserve">Extra students added to the line during these 10 minutes</t>
  </si>
  <si>
    <t xml:space="preserve">(λ − c·μ) × 10</t>
  </si>
  <si>
    <t xml:space="preserve">Steady-state wait</t>
  </si>
  <si>
    <t xml:space="preserve">Not defined: with ρ ≥ 1 the line has no steady size</t>
  </si>
  <si>
    <t xml:space="preserve">only if ρ &lt; 1</t>
  </si>
  <si>
    <t xml:space="preserve">3. Biometric scanner at Central, 13:10–13:20 today (M/M/1)</t>
  </si>
  <si>
    <t xml:space="preserve">One scanner per mess: the simplest queue, a single server.</t>
  </si>
  <si>
    <t xml:space="preserve">Students reaching the face scanner per minute</t>
  </si>
  <si>
    <t xml:space="preserve">Scan rate</t>
  </si>
  <si>
    <t xml:space="preserve">Students one scanner can handle per minute</t>
  </si>
  <si>
    <t xml:space="preserve">μ = 60 ÷ seconds per scan</t>
  </si>
  <si>
    <t xml:space="preserve">Share of the time the scanner is busy</t>
  </si>
  <si>
    <t xml:space="preserve">ρ = λ ÷ μ</t>
  </si>
  <si>
    <t xml:space="preserve">Wait (M/M/1)</t>
  </si>
  <si>
    <t xml:space="preserve">Textbook wait outside the door</t>
  </si>
  <si>
    <t xml:space="preserve">Wq = ρ ÷ (μ − λ)</t>
  </si>
  <si>
    <t xml:space="preserve">cv</t>
  </si>
  <si>
    <t xml:space="preserve">Scan-time variability</t>
  </si>
  <si>
    <t xml:space="preserve">Real scans are regular, unlike the exponential times M/M/1 assumes</t>
  </si>
  <si>
    <t xml:space="preserve">assumed</t>
  </si>
  <si>
    <t xml:space="preserve">Wq M/G/1</t>
  </si>
  <si>
    <t xml:space="preserve">Corrected wait</t>
  </si>
  <si>
    <t xml:space="preserve">Pollaczek–Khinchine correction for regular service</t>
  </si>
  <si>
    <t xml:space="preserve">What the simulated students waited at the scanner</t>
  </si>
  <si>
    <t xml:space="preserve">4. Seats at Munch Mess (capacity)</t>
  </si>
  <si>
    <t xml:space="preserve">Little's Law also measures capacity: the seats can absorb N ÷ T students a minute.</t>
  </si>
  <si>
    <t xml:space="preserve">N</t>
  </si>
  <si>
    <t xml:space="preserve">Seats</t>
  </si>
  <si>
    <t xml:space="preserve">Seats at Munch Mess</t>
  </si>
  <si>
    <t xml:space="preserve">T</t>
  </si>
  <si>
    <t xml:space="preserve">Seat turnover time</t>
  </si>
  <si>
    <t xml:space="preserve">Minutes one diner holds a seat, plus changeover</t>
  </si>
  <si>
    <t xml:space="preserve">eating time + changeover</t>
  </si>
  <si>
    <t xml:space="preserve">Turns</t>
  </si>
  <si>
    <t xml:space="preserve">Turnover rate</t>
  </si>
  <si>
    <t xml:space="preserve">Diners one seat serves per hour</t>
  </si>
  <si>
    <t xml:space="preserve">60 ÷ T</t>
  </si>
  <si>
    <t xml:space="preserve">per hour</t>
  </si>
  <si>
    <t xml:space="preserve">λmax</t>
  </si>
  <si>
    <t xml:space="preserve">Seating capacity</t>
  </si>
  <si>
    <t xml:space="preserve">Most students per minute the seats can take (Little's Law rearranged)</t>
  </si>
  <si>
    <t xml:space="preserve">λmax = N ÷ T</t>
  </si>
  <si>
    <t xml:space="preserve">Which model fits which process</t>
  </si>
  <si>
    <t xml:space="preserve">Process</t>
  </si>
  <si>
    <t xml:space="preserve">Model</t>
  </si>
  <si>
    <t xml:space="preserve">Why</t>
  </si>
  <si>
    <t xml:space="preserve">Biometric scan</t>
  </si>
  <si>
    <t xml:space="preserve">M/M/1</t>
  </si>
  <si>
    <t xml:space="preserve">One scanner per mess; students queue outside the door. Scans are regular, so the M/G/1 correction is closer</t>
  </si>
  <si>
    <t xml:space="preserve">Serving stations</t>
  </si>
  <si>
    <t xml:space="preserve">M/M/c, c = 2</t>
  </si>
  <si>
    <t xml:space="preserve">Two stations fed from one line; this is where the queue forms</t>
  </si>
  <si>
    <t xml:space="preserve">M/G/c, c = seats</t>
  </si>
  <si>
    <t xml:space="preserve">Each seat is a server and a meal is its service; with 900 and 492 seats nobody waits</t>
  </si>
  <si>
    <t xml:space="preserve">Disposal</t>
  </si>
  <si>
    <t xml:space="preserve">M/G/∞</t>
  </si>
  <si>
    <t xml:space="preserve">Several bins and no waiting, so only L = λ × W applies</t>
  </si>
  <si>
    <t xml:space="preserve">Whole visit</t>
  </si>
  <si>
    <t xml:space="preserve">Little's Law</t>
  </si>
  <si>
    <t xml:space="preserve">People inside = arrivals per minute × minutes inside</t>
  </si>
  <si>
    <t xml:space="preserve">Biometric scan: M/M/1</t>
  </si>
  <si>
    <t xml:space="preserve">M/M/1, one face scanner per mess. Arrivals, waits and line lengths are simulated; utilisation, stability and the textbook waits are formulas.</t>
  </si>
  <si>
    <t xml:space="preserve">Summary</t>
  </si>
  <si>
    <t xml:space="preserve">Scenario</t>
  </si>
  <si>
    <t xml:space="preserve">Mess</t>
  </si>
  <si>
    <t xml:space="preserve">Peak ρ</t>
  </si>
  <si>
    <t xml:space="preserve">Slots over</t>
  </si>
  <si>
    <t xml:space="preserve">Slots near</t>
  </si>
  <si>
    <t xml:space="preserve">Worst wait</t>
  </si>
  <si>
    <t xml:space="preserve">Avg wait</t>
  </si>
  <si>
    <t xml:space="preserve">Today (no screens)</t>
  </si>
  <si>
    <t xml:space="preserve">Central CT</t>
  </si>
  <si>
    <t xml:space="preserve">Munch Mess</t>
  </si>
  <si>
    <t xml:space="preserve">With Smart Scan screens</t>
  </si>
  <si>
    <t xml:space="preserve">Slots over = ρ ≥ 100% · slots near = 85–100% · waits in minutes (simulated)</t>
  </si>
  <si>
    <t xml:space="preserve">Takeaway: One scanner per mess handles about 30 students a minute. It keeps up all lunch, though Central's scanner gets close (about 98% busy) in the 13:10 surge. Real scans are steadier than M/M/1 assumes, so the corrected wait sits closer to the simulation. Anyone queueing here is still outside the door, so the live system cannot see them yet.</t>
  </si>
  <si>
    <t xml:space="preserve">In the table below: red = over capacity (the line keeps growing), amber = near capacity (waits rise steeply).</t>
  </si>
  <si>
    <t xml:space="preserve">Slot by slot (filter by scenario or mess)</t>
  </si>
  <si>
    <t xml:space="preserve">Slot</t>
  </si>
  <si>
    <t xml:space="preserve">λ (/min)</t>
  </si>
  <si>
    <t xml:space="preserve">Service time (min)</t>
  </si>
  <si>
    <t xml:space="preserve">μ (/min)</t>
  </si>
  <si>
    <t xml:space="preserve">Wq textbook (min)</t>
  </si>
  <si>
    <t xml:space="preserve">Wq corrected for cv (min)</t>
  </si>
  <si>
    <t xml:space="preserve">Wq simulated (min)</t>
  </si>
  <si>
    <t xml:space="preserve">Lq simulated</t>
  </si>
  <si>
    <t xml:space="preserve">λ × Wq simulated</t>
  </si>
  <si>
    <t xml:space="preserve">Little's Law: Lq ÷ λWq</t>
  </si>
  <si>
    <t xml:space="preserve">What it means</t>
  </si>
  <si>
    <t xml:space="preserve">11:30</t>
  </si>
  <si>
    <t xml:space="preserve">11:40</t>
  </si>
  <si>
    <t xml:space="preserve">11:50</t>
  </si>
  <si>
    <t xml:space="preserve">12:10</t>
  </si>
  <si>
    <t xml:space="preserve">12:20</t>
  </si>
  <si>
    <t xml:space="preserve">13:10</t>
  </si>
  <si>
    <t xml:space="preserve">13:20</t>
  </si>
  <si>
    <t xml:space="preserve">14:10</t>
  </si>
  <si>
    <t xml:space="preserve">14:20</t>
  </si>
  <si>
    <t xml:space="preserve">Utilisation by slot (chart data)</t>
  </si>
  <si>
    <t xml:space="preserve">Central CT, today</t>
  </si>
  <si>
    <t xml:space="preserve">Munch Mess, today</t>
  </si>
  <si>
    <t xml:space="preserve">Central CT, with screens</t>
  </si>
  <si>
    <t xml:space="preserve">Munch Mess, with screens</t>
  </si>
  <si>
    <t xml:space="preserve">Capacity (ρ = 100%)</t>
  </si>
  <si>
    <t xml:space="preserve">Serving stations: M/M/c</t>
  </si>
  <si>
    <t xml:space="preserve">M/M/c, two serving stations per mess. Arrivals, waits and line lengths are simulated; utilisation, stability and the textbook waits are formulas.</t>
  </si>
  <si>
    <t xml:space="preserve">Takeaway: This is the bottleneck. Two stations serve 20 students a minute. Today Central runs at up to 147% in the 13:10 surge, so the line grows every minute and there is no steady state until the surge passes. With the screens Central peaks at 106% for a short while and Munch takes the overflow (peak 79%). The screens only ask students to walk when it saves at least 2 minutes, and only 60% follow.</t>
  </si>
  <si>
    <t xml:space="preserve">Seats and disposal</t>
  </si>
  <si>
    <t xml:space="preserve">Each seat is a server and one meal is its service (M/G/c with c = seats); disposal never queues (M/G/∞).</t>
  </si>
  <si>
    <t xml:space="preserve">Peak seat ρ</t>
  </si>
  <si>
    <t xml:space="preserve">Peak seats in use</t>
  </si>
  <si>
    <t xml:space="preserve">Average eating time (min)</t>
  </si>
  <si>
    <t xml:space="preserve">Takeaway: Seats are never the constraint. Even in the surge, arrivals × eating time stays far below the 900 seats at Central and 492 at Munch, so nobody waits for a seat. Little's Law fits well in the middle of the lunch; at the edges it drifts because a meal (about 16 minutes) is longer than a 10-minute slot. Disposal never queues.</t>
  </si>
  <si>
    <t xml:space="preserve">Slot by slot</t>
  </si>
  <si>
    <t xml:space="preserve">λ sitting down (/min)</t>
  </si>
  <si>
    <t xml:space="preserve">Eating time W (min)</t>
  </si>
  <si>
    <t xml:space="preserve">Seats c</t>
  </si>
  <si>
    <t xml:space="preserve">ρ = λW ÷ c</t>
  </si>
  <si>
    <t xml:space="preserve">Seats in use (simulated)</t>
  </si>
  <si>
    <t xml:space="preserve">Seats in use (λ × W)</t>
  </si>
  <si>
    <t xml:space="preserve">Little's Law ratio</t>
  </si>
  <si>
    <t xml:space="preserve">People at the bins (λ × W)</t>
  </si>
  <si>
    <t xml:space="preserve">Little's Law on the whole visit</t>
  </si>
  <si>
    <t xml:space="preserve">L = λ × W: people inside equal arrivals per minute times minutes inside, whenever the mess is steady.</t>
  </si>
  <si>
    <t xml:space="preserve">Takeaway: Slot by slot the mess is never perfectly steady, because arrivals follow the department lunch breaks. When L ÷ λW is well below 1 the mess is filling (the 12:00 and 13:00 surges); above 1, people from a busy slot are still inside while arrivals have dropped. Over the whole lunch the two sides agree (Checks). The queue tabs apply the same test to each process: where ρ ≥ 1 the line keeps growing and no steady state exists.</t>
  </si>
  <si>
    <t xml:space="preserve">λ arriving (/min)</t>
  </si>
  <si>
    <t xml:space="preserve">Visit time W (min)</t>
  </si>
  <si>
    <t xml:space="preserve">People inside (simulated L)</t>
  </si>
  <si>
    <t xml:space="preserve">λ × W</t>
  </si>
  <si>
    <t xml:space="preserve">L ÷ λW</t>
  </si>
  <si>
    <t xml:space="preserve">Central CT today: people inside vs λ × W (chart data)</t>
  </si>
  <si>
    <t xml:space="preserve">People inside (simulated)</t>
  </si>
  <si>
    <t xml:space="preserve">Seat turnover, the capacity of each stage, and the bottleneck. Times are simulated averages for today (no screens).</t>
  </si>
  <si>
    <t xml:space="preserve">Measure</t>
  </si>
  <si>
    <t xml:space="preserve">How it is calculated</t>
  </si>
  <si>
    <t xml:space="preserve">1. Time at each stage, per student (simulated, today)</t>
  </si>
  <si>
    <t xml:space="preserve">Stage 1 · Scan &amp; collect plate (minutes)</t>
  </si>
  <si>
    <t xml:space="preserve">Group: 30–45 s, plus any queue at the scanner</t>
  </si>
  <si>
    <t xml:space="preserve">Stage 2 · Collect food (minutes)</t>
  </si>
  <si>
    <t xml:space="preserve">Group: 1–2 min, plus the queue (up to ~15 min in the rush)</t>
  </si>
  <si>
    <t xml:space="preserve">Stage 3 · Eat (minutes)</t>
  </si>
  <si>
    <t xml:space="preserve">Stage 4 · Dispose of plate (minutes)</t>
  </si>
  <si>
    <t xml:space="preserve">Group: 1–2 min</t>
  </si>
  <si>
    <t xml:space="preserve">Total time in the mess, door to leaving (minutes)</t>
  </si>
  <si>
    <t xml:space="preserve">Group: 17–35 min</t>
  </si>
  <si>
    <t xml:space="preserve">Detail: queues and service times</t>
  </si>
  <si>
    <t xml:space="preserve">Average scan time (seconds)</t>
  </si>
  <si>
    <t xml:space="preserve">Mean time at the face scanner, excluding the queue</t>
  </si>
  <si>
    <t xml:space="preserve">Average wait for the scanner (minutes)</t>
  </si>
  <si>
    <t xml:space="preserve">Queue</t>
  </si>
  <si>
    <t xml:space="preserve">Average wait at the serving station (minutes)</t>
  </si>
  <si>
    <t xml:space="preserve">Queue for the 2 stations</t>
  </si>
  <si>
    <t xml:space="preserve">Average serving time (minutes)</t>
  </si>
  <si>
    <t xml:space="preserve">At the station</t>
  </si>
  <si>
    <t xml:space="preserve">Average time at the kitchen / serving station (wait + serving, minutes)</t>
  </si>
  <si>
    <t xml:space="preserve">Queue + service</t>
  </si>
  <si>
    <t xml:space="preserve">Average lunch (eating) time at the table (minutes)</t>
  </si>
  <si>
    <t xml:space="preserve">Seat held from sitting down to getting up</t>
  </si>
  <si>
    <t xml:space="preserve">2. Seat turnover</t>
  </si>
  <si>
    <t xml:space="preserve">Measured (Munch recounted: 492)</t>
  </si>
  <si>
    <t xml:space="preserve">Seat turnover time T (minutes per diner)</t>
  </si>
  <si>
    <t xml:space="preserve">Eating time + changeover (0.2 min)</t>
  </si>
  <si>
    <t xml:space="preserve">Seat turnover rate (diners per seat per hour)</t>
  </si>
  <si>
    <t xml:space="preserve">Seating capacity (students per minute)</t>
  </si>
  <si>
    <t xml:space="preserve">Seats ÷ T (Little's Law: λmax = L ÷ W)</t>
  </si>
  <si>
    <t xml:space="preserve">Seating capacity over the lunch window (students)</t>
  </si>
  <si>
    <t xml:space="preserve">Seats × 180 ÷ T</t>
  </si>
  <si>
    <t xml:space="preserve">Students served this lunch (simulated)</t>
  </si>
  <si>
    <t xml:space="preserve">Actual turns per seat this lunch</t>
  </si>
  <si>
    <t xml:space="preserve">Students served ÷ seats</t>
  </si>
  <si>
    <t xml:space="preserve">Peak seats in use (simulated)</t>
  </si>
  <si>
    <t xml:space="preserve">Peak seat utilisation</t>
  </si>
  <si>
    <t xml:space="preserve">Peak in use ÷ seats</t>
  </si>
  <si>
    <t xml:space="preserve">3. Capacity of each stage (students per minute) and the bottleneck</t>
  </si>
  <si>
    <t xml:space="preserve">Scanner capacity</t>
  </si>
  <si>
    <t xml:space="preserve">Scanners × 60 ÷ seconds per scan</t>
  </si>
  <si>
    <t xml:space="preserve">Serving-station capacity</t>
  </si>
  <si>
    <t xml:space="preserve">Stations × μ</t>
  </si>
  <si>
    <t xml:space="preserve">From section 2</t>
  </si>
  <si>
    <t xml:space="preserve">Disposal capacity</t>
  </si>
  <si>
    <t xml:space="preserve">no limit</t>
  </si>
  <si>
    <t xml:space="preserve">No queue: several bins, 1–2 min each</t>
  </si>
  <si>
    <t xml:space="preserve">Bottleneck (smallest capacity)</t>
  </si>
  <si>
    <t xml:space="preserve">The stage with the smallest capacity</t>
  </si>
  <si>
    <t xml:space="preserve">Design capacity per lunch (bottleneck × window, students)</t>
  </si>
  <si>
    <t xml:space="preserve">Best possible output</t>
  </si>
  <si>
    <t xml:space="preserve">Stock-out minutes this lunch (simulated)</t>
  </si>
  <si>
    <t xml:space="preserve">Stations idle while the star dish is out</t>
  </si>
  <si>
    <t xml:space="preserve">Effective capacity per lunch (students)</t>
  </si>
  <si>
    <t xml:space="preserve">Design × share of time food is available</t>
  </si>
  <si>
    <t xml:space="preserve">Utilisation = actual ÷ design</t>
  </si>
  <si>
    <t xml:space="preserve">OM definition</t>
  </si>
  <si>
    <t xml:space="preserve">Efficiency = actual ÷ effective</t>
  </si>
  <si>
    <t xml:space="preserve">Peak 10-min arrival rate at the serving stations (today, /min)</t>
  </si>
  <si>
    <t xml:space="preserve">Peak arrivals ÷ serving capacity</t>
  </si>
  <si>
    <t xml:space="preserve">Above 100% the line grows</t>
  </si>
  <si>
    <t xml:space="preserve">Takeaway: A seat turns over about every 16.2 minutes, roughly 3.7 diners an hour, so the seats could take about 56 students a minute at Central and 30 at Munch. The serving stations (20 a minute per mess) are the bottleneck at both messes, below the scanner (30) and the seats. Total capacity is not the problem: at the peak Central gets far more than its 20 a minute while Munch runs well under, so the answer is balancing the load, not adding seats.</t>
  </si>
  <si>
    <t xml:space="preserve">Load balancing</t>
  </si>
  <si>
    <t xml:space="preserve">How Smart Scan decides when to send a student to the other mess, and why a fixed 'department X eats at mess Y' rule does not work.</t>
  </si>
  <si>
    <t xml:space="preserve">1. How the routing works (every 5 seconds)</t>
  </si>
  <si>
    <t xml:space="preserve">1.  Scans in: every face scan arrives with a timestamp and the mess (no face data, only id + time + mess).</t>
  </si>
  <si>
    <t xml:space="preserve">2.  Arrival rate: λ̂ for each mess = scans in the last 5 minutes ÷ 5.</t>
  </si>
  <si>
    <t xml:space="preserve">3.  Queue estimate: fluid model. Backlog B grows by (λ̂ − c·μ) per minute when arrivals exceed the 2 stations' capacity, and drains otherwise.</t>
  </si>
  <si>
    <t xml:space="preserve">4.  Predicted wait at each mess for someone arriving now = B ÷ (c·μ) + M/M/c wait + food delay (a star dish out = nobody served until the refill).</t>
  </si>
  <si>
    <t xml:space="preserve">5.  Equal-wait split: find the share p of arrivals for Central at which both predicted waits are equal (Wardrop equilibrium, by bisection).</t>
  </si>
  <si>
    <t xml:space="preserve">6.  Door advice: at the busier mess's door, ask a share (h − p) ÷ (h × κ) of students to switch (h = habit share, κ = share who follow).</t>
  </si>
  <si>
    <t xml:space="preserve">7.  Threshold: only advise a switch if it saves at least the minimum saving after the 30 s walk; otherwise 'come in, this is still your fastest'.</t>
  </si>
  <si>
    <t xml:space="preserve">8.  Feedback: the advice changes arrivals, which changes the next scans and the next estimate, so it never sends everyone to one mess (no herding).</t>
  </si>
  <si>
    <t xml:space="preserve">2. Try the rule (change the blue cells)</t>
  </si>
  <si>
    <t xml:space="preserve">Predicted wait if you stay at Central (min)</t>
  </si>
  <si>
    <t xml:space="preserve">Predicted wait at Munch (min)</t>
  </si>
  <si>
    <t xml:space="preserve">Walk between doors (min)</t>
  </si>
  <si>
    <t xml:space="preserve">Minimum saving to suggest a switch (min)</t>
  </si>
  <si>
    <t xml:space="preserve">Habit share h for Central</t>
  </si>
  <si>
    <t xml:space="preserve">Equal-wait share p for Central (from the engine)</t>
  </si>
  <si>
    <t xml:space="preserve">Share who follow κ</t>
  </si>
  <si>
    <t xml:space="preserve">Saving after the walk (min)</t>
  </si>
  <si>
    <t xml:space="preserve">Share of arrivals at Central's door asked to switch</t>
  </si>
  <si>
    <t xml:space="preserve">What the screen outside Central says</t>
  </si>
  <si>
    <t xml:space="preserve">3. What the screens decided at moments of one simulated lunch (seed 0, with screens)</t>
  </si>
  <si>
    <t xml:space="preserve">Time</t>
  </si>
  <si>
    <t xml:space="preserve">Central: arrivals /min</t>
  </si>
  <si>
    <t xml:space="preserve">Central: predicted wait (min)</t>
  </si>
  <si>
    <t xml:space="preserve">Munch: arrivals /min</t>
  </si>
  <si>
    <t xml:space="preserve">Munch: predicted wait (min)</t>
  </si>
  <si>
    <t xml:space="preserve">Equal-wait share for Central</t>
  </si>
  <si>
    <t xml:space="preserve">Central door: share asked to switch</t>
  </si>
  <si>
    <t xml:space="preserve">Saving (min)</t>
  </si>
  <si>
    <t xml:space="preserve">Screen outside Central</t>
  </si>
  <si>
    <t xml:space="preserve">Come on in</t>
  </si>
  <si>
    <t xml:space="preserve">Munch is faster right now →</t>
  </si>
  <si>
    <t xml:space="preserve">13:15</t>
  </si>
  <si>
    <t xml:space="preserve">13:35</t>
  </si>
  <si>
    <t xml:space="preserve">4. When routing happens: students asked to switch per 10-min slot (with screens; simulated average)</t>
  </si>
  <si>
    <t xml:space="preserve">Students deciding</t>
  </si>
  <si>
    <t xml:space="preserve">Asked to switch</t>
  </si>
  <si>
    <t xml:space="preserve">Actually switched</t>
  </si>
  <si>
    <t xml:space="preserve">Share asked</t>
  </si>
  <si>
    <t xml:space="preserve">Departments on lunch break</t>
  </si>
  <si>
    <t xml:space="preserve">MIT, SMI</t>
  </si>
  <si>
    <t xml:space="preserve">MIT, DOC/MICFE, SMI, MIRM</t>
  </si>
  <si>
    <t xml:space="preserve">MIT, DOC/MICFE, SMI, DLHS/MILHS, MIRM</t>
  </si>
  <si>
    <t xml:space="preserve">MIT, DOC/MICFE, SMI, DLHS/MILHS, MLS, MIRM</t>
  </si>
  <si>
    <t xml:space="preserve">MIT (lab day), TAPMI, DOC/MICFE, DLHS/MILHS, MLS, MIRM</t>
  </si>
  <si>
    <t xml:space="preserve">MIT (lab day), TAPMI, DLHS/MILHS, MLS</t>
  </si>
  <si>
    <t xml:space="preserve">MIT (lab day), TAPMI, MLS</t>
  </si>
  <si>
    <t xml:space="preserve">MIT (lab day), TAPMI</t>
  </si>
  <si>
    <t xml:space="preserve">Total</t>
  </si>
  <si>
    <t xml:space="preserve">Takeaway: The screens stay quiet while both messes are quick and only ask students to walk when Central's predicted wait beats Munch's by more than the minimum saving, which happens mostly in the 13:10–13:30 surge. Nobody is assigned; each student sees advice based on the queue at that moment.</t>
  </si>
  <si>
    <t xml:space="preserve">5. Static rules vs dynamic routing (average day, simulated)</t>
  </si>
  <si>
    <t xml:space="preserve">Rule</t>
  </si>
  <si>
    <t xml:space="preserve">Average wait (min)</t>
  </si>
  <si>
    <t xml:space="preserve">90th pct wait (min)</t>
  </si>
  <si>
    <t xml:space="preserve">Students waiting &gt; 10 min</t>
  </si>
  <si>
    <t xml:space="preserve">Share eating at Munch</t>
  </si>
  <si>
    <t xml:space="preserve">Students moved from their usual mess</t>
  </si>
  <si>
    <t xml:space="preserve">Munch stock-outs per lunch</t>
  </si>
  <si>
    <t xml:space="preserve">Peak queue: Central</t>
  </si>
  <si>
    <t xml:space="preserve">Peak queue: Munch</t>
  </si>
  <si>
    <t xml:space="preserve">Short name</t>
  </si>
  <si>
    <t xml:space="preserve">Today: habit 80/20, no screens</t>
  </si>
  <si>
    <t xml:space="preserve">Today</t>
  </si>
  <si>
    <t xml:space="preserve">Static: freshers to Munch (25% of every department) (enforced: all obey)</t>
  </si>
  <si>
    <t xml:space="preserve">Freshers rule</t>
  </si>
  <si>
    <t xml:space="preserve">Static: fixed 40% to Munch (enforced: all obey)</t>
  </si>
  <si>
    <t xml:space="preserve">Fixed 40% (forced)</t>
  </si>
  <si>
    <t xml:space="preserve">Static: fixed 50/50 split (equal stations) (enforced: all obey)</t>
  </si>
  <si>
    <t xml:space="preserve">Fixed 50/50 (forced)</t>
  </si>
  <si>
    <t xml:space="preserve">Static: 40% assigned to Munch, 60% obey</t>
  </si>
  <si>
    <t xml:space="preserve">Fixed 40%, 60% obey</t>
  </si>
  <si>
    <t xml:space="preserve">Static: TAPMI + DOC/MICFE to Munch, rest to Central (enforced: all obey)</t>
  </si>
  <si>
    <t xml:space="preserve">TAPMI + DOC rule</t>
  </si>
  <si>
    <t xml:space="preserve">Static: MIT to Munch, rest to Central (enforced: all obey)</t>
  </si>
  <si>
    <t xml:space="preserve">MIT rule</t>
  </si>
  <si>
    <t xml:space="preserve">Dynamic: Smart Scan screens (60% follow)</t>
  </si>
  <si>
    <t xml:space="preserve">Screens (60%)</t>
  </si>
  <si>
    <t xml:space="preserve">Dynamic: Smart Scan screens (everyone follows)</t>
  </si>
  <si>
    <t xml:space="preserve">Screens (100%)</t>
  </si>
  <si>
    <t xml:space="preserve">6. Does the rule hold on other kinds of day? Average wait (min)</t>
  </si>
  <si>
    <t xml:space="preserve">Average day</t>
  </si>
  <si>
    <t xml:space="preserve">Normal day (-20% students)</t>
  </si>
  <si>
    <t xml:space="preserve">Busy day (+20% students)</t>
  </si>
  <si>
    <t xml:space="preserve">No MIT labs (MIT + SMI at 12:00)</t>
  </si>
  <si>
    <t xml:space="preserve">Heavy lab day (70% of MIT at 13:00)</t>
  </si>
  <si>
    <t xml:space="preserve">Late refills (next batch never ready)</t>
  </si>
  <si>
    <t xml:space="preserve">Lowest wait on this kind of day</t>
  </si>
  <si>
    <t xml:space="preserve">Minutes saved by the screens over a fixed 40% share, at the same 60% compliance</t>
  </si>
  <si>
    <t xml:space="preserve">7. Why 'department / year X eats at mess Y' does not work, and why the routing must be dynamic</t>
  </si>
  <si>
    <t xml:space="preserve">1.  It has been tried. The messes first split students by year: freshers at Munch, seniors at Central. Simulated, that rule (freshers ≈ 25% of every department, assumed) still leaves an average wait of 2.9 min and 244 students waiting over 10 min, against 4.3 min today: it moves too few students, and the wrong ones, because who you are does not tell you when the queue is long.</t>
  </si>
  <si>
    <t xml:space="preserve">2.  Department rules overload the other mess instead. Sending TAPMI and DOC/MICFE to Munch puts their whole 13:05 surge on Munch's two stations (peak queue 156 at Munch); average wait 2.4 min. On a day with no MIT labs it gives 8.9 min, worse than doing nothing (8.8).</t>
  </si>
  <si>
    <t xml:space="preserve">3.  Demand moves with the timetable. The surge depends on which departments break when (lab days, TAPMI at 13:05), so the right split changes from slot to slot and day to day. A fixed rule is right at one moment and wrong at the next; the screens re-decide every 5 seconds.</t>
  </si>
  <si>
    <t xml:space="preserve">4.  Food changes the answer. A run-out at one mess makes it the slow one for 10–30 minutes. A static rule keeps sending students there; the dynamic rule treats a star-dish run-out as an outage and routes around it. With late refills, the fixed 50/50 split averages 1.74 min vs 0.94 with the screens.</t>
  </si>
  <si>
    <t xml:space="preserve">5.  A well-chosen fixed share only works if it is enforced. A fixed 40% to Munch, obeyed by everyone, averages 0.46 min, similar to the screens (0.80). But it forces about 578 students a day to change mess, every day and in every slot, including when both messes are empty; doubles Munch's food demand (0.5 Munch stock-outs per lunch vs 0.0); and 40% was found by our own simulation sweep, with hindsight. At the same 60% compliance as the screens it averages 1.39 min, worse than the screens on every busy kind of day (row 86).</t>
  </si>
  <si>
    <t xml:space="preserve">6.  The screens move fewer students for more benefit: about 260 students walk over, only in the surges, and only when it saves at least 2 minutes after the walk. Nobody is assigned; advice is a nudge, and students who ignore it still get the shortest wait available to them.</t>
  </si>
  <si>
    <t xml:space="preserve">8. Average wait by 10-min slot (both messes, weighted by students): today vs static rules vs dynamic</t>
  </si>
  <si>
    <t xml:space="preserve">Simulated data</t>
  </si>
  <si>
    <t xml:space="preserve">Average of 20 simulated lunches per 10-minute slot, mess, process and scenario. Simulated, not measured.</t>
  </si>
  <si>
    <t xml:space="preserve">λ arrivals (/min)</t>
  </si>
  <si>
    <t xml:space="preserve">Stage time Ws simulated (min)</t>
  </si>
  <si>
    <t xml:space="preserve">Lq simulated (avg waiting)</t>
  </si>
  <si>
    <t xml:space="preserve">Ls simulated (avg in service)</t>
  </si>
  <si>
    <t xml:space="preserve">Serving station</t>
  </si>
  <si>
    <t xml:space="preserve">Seat (eating)</t>
  </si>
  <si>
    <t xml:space="preserve">Per mess, whole lunch</t>
  </si>
  <si>
    <t xml:space="preserve">Students served</t>
  </si>
  <si>
    <t xml:space="preserve">Stock-out minutes</t>
  </si>
  <si>
    <t xml:space="preserve">Each check should read OK. Recalculate after changing an input.</t>
  </si>
  <si>
    <t xml:space="preserve">Check</t>
  </si>
  <si>
    <t xml:space="preserve">Result</t>
  </si>
  <si>
    <t xml:space="preserve">Simulated arrivals add up to the students per lunch (within 2%)</t>
  </si>
  <si>
    <t xml:space="preserve">No formula errors in Q1 Scanner</t>
  </si>
  <si>
    <t xml:space="preserve">No formula errors in Q2 Serving stations</t>
  </si>
  <si>
    <t xml:space="preserve">No formula errors in Q3 Seats &amp; disposal</t>
  </si>
  <si>
    <t xml:space="preserve">No formula errors in Capacity</t>
  </si>
  <si>
    <t xml:space="preserve">Little's Law over the whole lunch (today, Central): Σ people-minutes inside ≈ Σ arrivals × visit time</t>
  </si>
  <si>
    <t xml:space="preserve">Seats never the constraint: peak seat utilisation below 100% (both messes)</t>
  </si>
  <si>
    <t xml:space="preserve">Dynamic routing beats a fixed share at the same compliance on the average day</t>
  </si>
  <si>
    <t xml:space="preserve">Every input on the Assumptions tab is a number (text such as '12-15' breaks the formulas)</t>
  </si>
  <si>
    <t xml:space="preserve">No formula errors in Variables</t>
  </si>
  <si>
    <t xml:space="preserve">Takeaway: Over a whole lunch, Σ(time-average people inside × 10 min) = Σ(arrivals × visit time) exactly; the check allows 10% because students who arrive late in a slot spill their minutes into the next one and the run ends when the last student has a seat.</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</si>
</sst>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0.0"/>
    <numFmt numFmtId="169" formatCode="0%"/>
    <numFmt numFmtId="170" formatCode="0.00"/>
    <numFmt numFmtId="171" formatCode="@"/>
    <numFmt numFmtId="172" formatCode="0.000"/>
    <numFmt numFmtId="173" formatCode="\+0.00;\-0.00"/>
  </numFmts>
  <fonts count="23">
    <font>
      <sz val="11"/>
      <color theme="1"/>
      <name val="Calibri"/>
      <family val="2"/>
      <charset val="1"/>
    </font>
    <font>
      <sz val="10"/>
      <name val="Arial"/>
      <family val="0"/>
    </font>
    <font>
      <sz val="10"/>
      <name val="Arial"/>
      <family val="0"/>
    </font>
    <font>
      <sz val="10"/>
      <name val="Arial"/>
      <family val="0"/>
    </font>
    <font>
      <b val="true"/>
      <sz val="18"/>
      <color rgb="FFFFFFFF"/>
      <name val="Aptos Narrow"/>
      <family val="0"/>
      <charset val="1"/>
    </font>
    <font>
      <i val="true"/>
      <sz val="11"/>
      <color rgb="FF6B6B6B"/>
      <name val="Aptos Narrow"/>
      <family val="0"/>
      <charset val="1"/>
    </font>
    <font>
      <b val="true"/>
      <sz val="13"/>
      <color rgb="FF1F3864"/>
      <name val="Aptos Narrow"/>
      <family val="0"/>
      <charset val="1"/>
    </font>
    <font>
      <sz val="11"/>
      <color rgb="FF262626"/>
      <name val="Aptos Narrow"/>
      <family val="0"/>
      <charset val="1"/>
    </font>
    <font>
      <b val="true"/>
      <sz val="11"/>
      <color rgb="FF1F3864"/>
      <name val="Aptos Narrow"/>
      <family val="0"/>
      <charset val="1"/>
    </font>
    <font>
      <b val="true"/>
      <u val="single"/>
      <sz val="11"/>
      <color rgb="FF2F5597"/>
      <name val="Aptos Narrow"/>
      <family val="0"/>
      <charset val="1"/>
    </font>
    <font>
      <b val="true"/>
      <sz val="11"/>
      <color rgb="FF2E6B30"/>
      <name val="Aptos Narrow"/>
      <family val="0"/>
      <charset val="1"/>
    </font>
    <font>
      <b val="true"/>
      <sz val="11"/>
      <color rgb="FF1F4E9C"/>
      <name val="Aptos Narrow"/>
      <family val="0"/>
      <charset val="1"/>
    </font>
    <font>
      <b val="true"/>
      <sz val="11"/>
      <color rgb="FF262626"/>
      <name val="Aptos Narrow"/>
      <family val="0"/>
      <charset val="1"/>
    </font>
    <font>
      <sz val="11"/>
      <color rgb="FF1F4E9C"/>
      <name val="Aptos Narrow"/>
      <family val="0"/>
      <charset val="1"/>
    </font>
    <font>
      <i val="true"/>
      <sz val="11"/>
      <color rgb="FF262626"/>
      <name val="Aptos Narrow"/>
      <family val="0"/>
      <charset val="1"/>
    </font>
    <font>
      <u val="single"/>
      <sz val="11"/>
      <color rgb="FF2F5597"/>
      <name val="Aptos Narrow"/>
      <family val="0"/>
      <charset val="1"/>
    </font>
    <font>
      <i val="true"/>
      <sz val="10"/>
      <color rgb="FF6B6B6B"/>
      <name val="Aptos Narrow"/>
      <family val="0"/>
      <charset val="1"/>
    </font>
    <font>
      <i val="true"/>
      <sz val="11"/>
      <color rgb="FF404040"/>
      <name val="Aptos Narrow"/>
      <family val="0"/>
      <charset val="1"/>
    </font>
    <font>
      <sz val="11"/>
      <color rgb="FF2E6B30"/>
      <name val="Aptos Narrow"/>
      <family val="0"/>
      <charset val="1"/>
    </font>
    <font>
      <b val="true"/>
      <sz val="12"/>
      <color rgb="FF1F3864"/>
      <name val="Aptos Narrow"/>
      <family val="2"/>
    </font>
    <font>
      <sz val="9"/>
      <color rgb="FF000000"/>
      <name val="Aptos Narrow"/>
      <family val="2"/>
    </font>
    <font>
      <b val="true"/>
      <sz val="10"/>
      <color rgb="FF1F3864"/>
      <name val="Aptos Narrow"/>
      <family val="2"/>
    </font>
    <font>
      <sz val="10"/>
      <color rgb="FF6B6B6B"/>
      <name val="Aptos Narrow"/>
      <family val="0"/>
      <charset val="1"/>
    </font>
  </fonts>
  <fills count="9">
    <fill>
      <patternFill patternType="none"/>
    </fill>
    <fill>
      <patternFill patternType="gray125"/>
    </fill>
    <fill>
      <patternFill patternType="solid">
        <fgColor rgb="FF1F3864"/>
        <bgColor rgb="FF404040"/>
      </patternFill>
    </fill>
    <fill>
      <patternFill patternType="solid">
        <fgColor rgb="FFDCE3EE"/>
        <bgColor rgb="FFD9D9D9"/>
      </patternFill>
    </fill>
    <fill>
      <patternFill patternType="solid">
        <fgColor rgb="FFE2EFDA"/>
        <bgColor rgb="FFDCE3EE"/>
      </patternFill>
    </fill>
    <fill>
      <patternFill patternType="solid">
        <fgColor rgb="FFFFF2CC"/>
        <bgColor rgb="FFFCE8C3"/>
      </patternFill>
    </fill>
    <fill>
      <patternFill patternType="solid">
        <fgColor rgb="FFF2F2F2"/>
        <bgColor rgb="FFF4F6FA"/>
      </patternFill>
    </fill>
    <fill>
      <patternFill patternType="solid">
        <fgColor rgb="FFF8D7DA"/>
        <bgColor rgb="FFFCE8C3"/>
      </patternFill>
    </fill>
    <fill>
      <patternFill patternType="solid">
        <fgColor rgb="FFF4F6FA"/>
        <bgColor rgb="FFF2F2F2"/>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thin">
        <color rgb="FFD9D9D9"/>
      </bottom>
      <diagonal/>
    </border>
    <border diagonalUp="false" diagonalDown="false">
      <left style="thick">
        <color rgb="FF2F5597"/>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1"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10" fillId="4" borderId="2" xfId="0" applyFont="true" applyBorder="true" applyAlignment="true" applyProtection="false">
      <alignment horizontal="general" vertical="center" textRotation="0" wrapText="false" indent="0" shrinkToFit="false"/>
      <protection locked="true" hidden="false"/>
    </xf>
    <xf numFmtId="164" fontId="11"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12" fillId="5" borderId="2" xfId="0" applyFont="true" applyBorder="true" applyAlignment="true" applyProtection="false">
      <alignment horizontal="general" vertical="center" textRotation="0" wrapText="false" indent="0" shrinkToFit="false"/>
      <protection locked="true" hidden="false"/>
    </xf>
    <xf numFmtId="164" fontId="11" fillId="6" borderId="2"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12" fillId="4" borderId="2" xfId="0" applyFont="true" applyBorder="true" applyAlignment="true" applyProtection="false">
      <alignment horizontal="general" vertical="center" textRotation="0" wrapText="false" indent="0" shrinkToFit="false"/>
      <protection locked="true" hidden="false"/>
    </xf>
    <xf numFmtId="164" fontId="12" fillId="7" borderId="2"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5" fontId="13" fillId="0" borderId="2" xfId="0" applyFont="true" applyBorder="true" applyAlignment="true" applyProtection="false">
      <alignment horizontal="general"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6" fontId="13" fillId="0" borderId="2" xfId="0" applyFont="true" applyBorder="true" applyAlignment="true" applyProtection="false">
      <alignment horizontal="general" vertical="center" textRotation="0" wrapText="false" indent="0" shrinkToFit="false"/>
      <protection locked="true" hidden="false"/>
    </xf>
    <xf numFmtId="167" fontId="13" fillId="0" borderId="2" xfId="0" applyFont="true" applyBorder="true" applyAlignment="true" applyProtection="false">
      <alignment horizontal="general" vertical="center" textRotation="0" wrapText="false" indent="0" shrinkToFit="false"/>
      <protection locked="true" hidden="false"/>
    </xf>
    <xf numFmtId="167" fontId="13" fillId="5"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8" fontId="13" fillId="5" borderId="2" xfId="0" applyFont="true" applyBorder="true" applyAlignment="true" applyProtection="false">
      <alignment horizontal="general" vertical="center" textRotation="0" wrapText="false" indent="0" shrinkToFit="false"/>
      <protection locked="true" hidden="false"/>
    </xf>
    <xf numFmtId="169" fontId="13" fillId="5" borderId="2" xfId="0" applyFont="true" applyBorder="true" applyAlignment="true" applyProtection="false">
      <alignment horizontal="general" vertical="center" textRotation="0" wrapText="false" indent="0" shrinkToFit="false"/>
      <protection locked="true" hidden="false"/>
    </xf>
    <xf numFmtId="168" fontId="13" fillId="0" borderId="2" xfId="0" applyFont="true" applyBorder="true" applyAlignment="true" applyProtection="false">
      <alignment horizontal="general"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false" indent="0" shrinkToFit="false"/>
      <protection locked="true" hidden="false"/>
    </xf>
    <xf numFmtId="168" fontId="10" fillId="4" borderId="2" xfId="0" applyFont="true" applyBorder="true" applyAlignment="true" applyProtection="false">
      <alignment horizontal="general" vertical="center" textRotation="0" wrapText="false" indent="0" shrinkToFit="false"/>
      <protection locked="true" hidden="false"/>
    </xf>
    <xf numFmtId="170" fontId="10" fillId="4" borderId="2" xfId="0" applyFont="true" applyBorder="true" applyAlignment="true" applyProtection="false">
      <alignment horizontal="general" vertical="center" textRotation="0" wrapText="false" indent="0" shrinkToFit="false"/>
      <protection locked="true" hidden="false"/>
    </xf>
    <xf numFmtId="168" fontId="12" fillId="4" borderId="2" xfId="0" applyFont="true" applyBorder="true" applyAlignment="true" applyProtection="false">
      <alignment horizontal="general" vertical="center" textRotation="0" wrapText="false" indent="0" shrinkToFit="false"/>
      <protection locked="true" hidden="false"/>
    </xf>
    <xf numFmtId="167" fontId="10" fillId="4" borderId="2" xfId="0" applyFont="true" applyBorder="true" applyAlignment="true" applyProtection="false">
      <alignment horizontal="general" vertical="center" textRotation="0" wrapText="false" indent="0" shrinkToFit="false"/>
      <protection locked="true" hidden="false"/>
    </xf>
    <xf numFmtId="170" fontId="12" fillId="4" borderId="2" xfId="0" applyFont="true" applyBorder="true" applyAlignment="true" applyProtection="false">
      <alignment horizontal="general" vertical="center" textRotation="0" wrapText="false" indent="0" shrinkToFit="false"/>
      <protection locked="true" hidden="false"/>
    </xf>
    <xf numFmtId="169" fontId="12" fillId="4" borderId="2" xfId="0" applyFont="true" applyBorder="true" applyAlignment="true" applyProtection="false">
      <alignment horizontal="general" vertical="center" textRotation="0" wrapText="false" indent="0" shrinkToFit="false"/>
      <protection locked="true" hidden="false"/>
    </xf>
    <xf numFmtId="171" fontId="12" fillId="4" borderId="2" xfId="0" applyFont="true" applyBorder="true" applyAlignment="true" applyProtection="false">
      <alignment horizontal="general" vertical="center" textRotation="0" wrapText="false" indent="0" shrinkToFit="false"/>
      <protection locked="true" hidden="false"/>
    </xf>
    <xf numFmtId="172" fontId="12" fillId="4" borderId="2" xfId="0" applyFont="true" applyBorder="true" applyAlignment="true" applyProtection="false">
      <alignment horizontal="general" vertical="center" textRotation="0" wrapText="false" indent="0" shrinkToFit="false"/>
      <protection locked="true" hidden="false"/>
    </xf>
    <xf numFmtId="167" fontId="12" fillId="4" borderId="2" xfId="0" applyFont="true" applyBorder="true" applyAlignment="true" applyProtection="false">
      <alignment horizontal="general" vertical="center" textRotation="0" wrapText="false" indent="0" shrinkToFit="false"/>
      <protection locked="true" hidden="false"/>
    </xf>
    <xf numFmtId="164" fontId="12" fillId="0"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9" fontId="12" fillId="4" borderId="2" xfId="0" applyFont="true" applyBorder="true" applyAlignment="true" applyProtection="false">
      <alignment horizontal="center" vertical="center" textRotation="0" wrapText="false" indent="0" shrinkToFit="false"/>
      <protection locked="true" hidden="false"/>
    </xf>
    <xf numFmtId="167" fontId="12" fillId="4"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center" vertical="center" textRotation="0" wrapText="false" indent="0" shrinkToFit="false"/>
      <protection locked="true" hidden="false"/>
    </xf>
    <xf numFmtId="170" fontId="7" fillId="0" borderId="2"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8" borderId="3" xfId="0" applyFont="true" applyBorder="true" applyAlignment="true" applyProtection="false">
      <alignment horizontal="general" vertical="top" textRotation="0" wrapText="true" indent="1" shrinkToFit="false"/>
      <protection locked="true" hidden="false"/>
    </xf>
    <xf numFmtId="168" fontId="18" fillId="0" borderId="2" xfId="0" applyFont="true" applyBorder="true" applyAlignment="true" applyProtection="false">
      <alignment horizontal="center" vertical="center" textRotation="0" wrapText="false" indent="0" shrinkToFit="false"/>
      <protection locked="true" hidden="false"/>
    </xf>
    <xf numFmtId="172" fontId="18" fillId="0" borderId="2" xfId="0" applyFont="true" applyBorder="true" applyAlignment="true" applyProtection="false">
      <alignment horizontal="center" vertical="center" textRotation="0" wrapText="false" indent="0" shrinkToFit="false"/>
      <protection locked="true" hidden="false"/>
    </xf>
    <xf numFmtId="168" fontId="7" fillId="0" borderId="2" xfId="0" applyFont="true" applyBorder="true" applyAlignment="true" applyProtection="false">
      <alignment horizontal="center" vertical="center" textRotation="0" wrapText="false" indent="0" shrinkToFit="false"/>
      <protection locked="true" hidden="false"/>
    </xf>
    <xf numFmtId="167" fontId="18" fillId="0" borderId="2" xfId="0" applyFont="true" applyBorder="true" applyAlignment="true" applyProtection="false">
      <alignment horizontal="center" vertical="center" textRotation="0" wrapText="false" indent="0" shrinkToFit="false"/>
      <protection locked="true" hidden="false"/>
    </xf>
    <xf numFmtId="169" fontId="7" fillId="0" borderId="2" xfId="0" applyFont="true" applyBorder="true" applyAlignment="true" applyProtection="false">
      <alignment horizontal="center" vertical="center" textRotation="0" wrapText="false" indent="0" shrinkToFit="false"/>
      <protection locked="true" hidden="false"/>
    </xf>
    <xf numFmtId="170" fontId="18" fillId="0" borderId="2" xfId="0" applyFont="true" applyBorder="true" applyAlignment="true" applyProtection="false">
      <alignment horizontal="center" vertical="center" textRotation="0" wrapText="false" indent="0" shrinkToFit="false"/>
      <protection locked="true" hidden="false"/>
    </xf>
    <xf numFmtId="169" fontId="7" fillId="0" borderId="2" xfId="0" applyFont="true" applyBorder="true" applyAlignment="true" applyProtection="false">
      <alignment horizontal="general" vertical="center" textRotation="0" wrapText="false" indent="0" shrinkToFit="false"/>
      <protection locked="true" hidden="false"/>
    </xf>
    <xf numFmtId="165" fontId="18" fillId="0"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general" vertical="center" textRotation="0" wrapText="false" indent="0" shrinkToFit="false"/>
      <protection locked="true" hidden="false"/>
    </xf>
    <xf numFmtId="170" fontId="10" fillId="4" borderId="2" xfId="0" applyFont="true" applyBorder="true" applyAlignment="true" applyProtection="false">
      <alignment horizontal="center" vertical="center" textRotation="0" wrapText="false" indent="0" shrinkToFit="false"/>
      <protection locked="true" hidden="false"/>
    </xf>
    <xf numFmtId="168" fontId="10" fillId="4" borderId="2" xfId="0" applyFont="true" applyBorder="true" applyAlignment="true" applyProtection="false">
      <alignment horizontal="center" vertical="center" textRotation="0" wrapText="false" indent="0" shrinkToFit="false"/>
      <protection locked="true" hidden="false"/>
    </xf>
    <xf numFmtId="170" fontId="12" fillId="4" borderId="2" xfId="0" applyFont="true" applyBorder="true" applyAlignment="true" applyProtection="false">
      <alignment horizontal="center" vertical="center" textRotation="0" wrapText="false" indent="0" shrinkToFit="false"/>
      <protection locked="true" hidden="false"/>
    </xf>
    <xf numFmtId="168" fontId="12" fillId="4"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8" fontId="18" fillId="0" borderId="2" xfId="0" applyFont="true" applyBorder="true" applyAlignment="true" applyProtection="false">
      <alignment horizontal="general" vertical="center" textRotation="0" wrapText="false" indent="0" shrinkToFit="false"/>
      <protection locked="true" hidden="false"/>
    </xf>
    <xf numFmtId="169" fontId="18" fillId="0" borderId="2" xfId="0" applyFont="true" applyBorder="true" applyAlignment="true" applyProtection="false">
      <alignment horizontal="general" vertical="center" textRotation="0" wrapText="false" indent="0" shrinkToFit="false"/>
      <protection locked="true" hidden="false"/>
    </xf>
    <xf numFmtId="169" fontId="13" fillId="0" borderId="2" xfId="0" applyFont="true" applyBorder="true" applyAlignment="true" applyProtection="false">
      <alignment horizontal="general" vertical="center" textRotation="0" wrapText="false" indent="0" shrinkToFit="false"/>
      <protection locked="true" hidden="false"/>
    </xf>
    <xf numFmtId="168" fontId="7" fillId="4" borderId="2" xfId="0" applyFont="true" applyBorder="true" applyAlignment="true" applyProtection="false">
      <alignment horizontal="general" vertical="center" textRotation="0" wrapText="false" indent="0" shrinkToFit="false"/>
      <protection locked="true" hidden="false"/>
    </xf>
    <xf numFmtId="169" fontId="7" fillId="4" borderId="2" xfId="0" applyFont="true" applyBorder="true" applyAlignment="true" applyProtection="false">
      <alignment horizontal="general" vertical="center" textRotation="0" wrapText="false" indent="0" shrinkToFit="false"/>
      <protection locked="true" hidden="false"/>
    </xf>
    <xf numFmtId="164" fontId="7" fillId="4" borderId="2" xfId="0" applyFont="true" applyBorder="true" applyAlignment="true" applyProtection="false">
      <alignment horizontal="general" vertical="center" textRotation="0" wrapText="false" indent="0" shrinkToFit="false"/>
      <protection locked="true" hidden="false"/>
    </xf>
    <xf numFmtId="168" fontId="7" fillId="0" borderId="0" xfId="0" applyFont="true" applyBorder="false" applyAlignment="true" applyProtection="false">
      <alignment horizontal="general" vertical="center" textRotation="0" wrapText="false" indent="0" shrinkToFit="false"/>
      <protection locked="true" hidden="false"/>
    </xf>
    <xf numFmtId="168" fontId="13" fillId="6" borderId="2" xfId="0" applyFont="true" applyBorder="true" applyAlignment="true" applyProtection="false">
      <alignment horizontal="general" vertical="center" textRotation="0" wrapText="false" indent="0" shrinkToFit="false"/>
      <protection locked="true" hidden="false"/>
    </xf>
    <xf numFmtId="169" fontId="13" fillId="6" borderId="2" xfId="0" applyFont="true" applyBorder="true" applyAlignment="true" applyProtection="false">
      <alignment horizontal="general" vertical="center" textRotation="0" wrapText="false" indent="0" shrinkToFit="false"/>
      <protection locked="true" hidden="false"/>
    </xf>
    <xf numFmtId="167" fontId="13" fillId="6" borderId="2"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general" vertical="center" textRotation="0" wrapText="false" indent="0" shrinkToFit="false"/>
      <protection locked="true" hidden="false"/>
    </xf>
    <xf numFmtId="165" fontId="12" fillId="0" borderId="2" xfId="0" applyFont="true" applyBorder="true" applyAlignment="true" applyProtection="false">
      <alignment horizontal="general" vertical="center" textRotation="0" wrapText="false" indent="0" shrinkToFit="false"/>
      <protection locked="true" hidden="false"/>
    </xf>
    <xf numFmtId="170" fontId="13" fillId="6" borderId="2" xfId="0" applyFont="true" applyBorder="true" applyAlignment="true" applyProtection="false">
      <alignment horizontal="center" vertical="center" textRotation="0" wrapText="false" indent="0" shrinkToFit="false"/>
      <protection locked="true" hidden="false"/>
    </xf>
    <xf numFmtId="168" fontId="13" fillId="6" borderId="2" xfId="0" applyFont="true" applyBorder="true" applyAlignment="true" applyProtection="false">
      <alignment horizontal="center" vertical="center" textRotation="0" wrapText="false" indent="0" shrinkToFit="false"/>
      <protection locked="true" hidden="false"/>
    </xf>
    <xf numFmtId="165" fontId="13" fillId="6" borderId="2" xfId="0" applyFont="true" applyBorder="true" applyAlignment="true" applyProtection="false">
      <alignment horizontal="center" vertical="center" textRotation="0" wrapText="false" indent="0" shrinkToFit="false"/>
      <protection locked="true" hidden="false"/>
    </xf>
    <xf numFmtId="169" fontId="13" fillId="6" borderId="2" xfId="0" applyFont="true" applyBorder="true" applyAlignment="true" applyProtection="false">
      <alignment horizontal="center" vertical="center" textRotation="0" wrapText="false" indent="0" shrinkToFit="false"/>
      <protection locked="true" hidden="false"/>
    </xf>
    <xf numFmtId="165" fontId="7" fillId="0" borderId="2"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73" fontId="12" fillId="4" borderId="2" xfId="0" applyFont="true" applyBorder="true" applyAlignment="true" applyProtection="false">
      <alignment horizontal="center" vertical="center" textRotation="0" wrapText="true" indent="0" shrinkToFit="false"/>
      <protection locked="true" hidden="false"/>
    </xf>
    <xf numFmtId="170" fontId="13" fillId="6" borderId="2" xfId="0" applyFont="true" applyBorder="true" applyAlignment="true" applyProtection="false">
      <alignment horizontal="general" vertical="center" textRotation="0" wrapText="false" indent="0" shrinkToFit="false"/>
      <protection locked="true" hidden="false"/>
    </xf>
    <xf numFmtId="165" fontId="13" fillId="6" borderId="2"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8" fillId="0" borderId="2" xfId="0" applyFont="true" applyBorder="true" applyAlignment="true" applyProtection="false">
      <alignment horizontal="general" vertical="center" textRotation="0" wrapText="false" indent="0" shrinkToFit="false"/>
      <protection locked="true" hidden="false"/>
    </xf>
    <xf numFmtId="167" fontId="18" fillId="0" borderId="2" xfId="0" applyFont="true" applyBorder="true" applyAlignment="true" applyProtection="false">
      <alignment horizontal="general" vertical="center" textRotation="0" wrapText="false" indent="0" shrinkToFit="false"/>
      <protection locked="true" hidden="false"/>
    </xf>
    <xf numFmtId="170" fontId="18" fillId="0"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DCE3EE"/>
          <bgColor rgb="FF000000"/>
        </patternFill>
      </fill>
    </dxf>
    <dxf>
      <fill>
        <patternFill patternType="solid">
          <bgColor rgb="FF000000"/>
        </patternFill>
      </fill>
    </dxf>
    <dxf>
      <fill>
        <patternFill patternType="solid">
          <fgColor rgb="FF1F3864"/>
          <bgColor rgb="FF000000"/>
        </patternFill>
      </fill>
    </dxf>
    <dxf>
      <fill>
        <patternFill patternType="solid">
          <fgColor rgb="FF262626"/>
          <bgColor rgb="FF000000"/>
        </patternFill>
      </fill>
    </dxf>
    <dxf>
      <fill>
        <patternFill patternType="solid">
          <fgColor rgb="FF2E6B30"/>
          <bgColor rgb="FF000000"/>
        </patternFill>
      </fill>
    </dxf>
    <dxf>
      <fill>
        <patternFill patternType="solid">
          <fgColor rgb="FFFCE8C3"/>
          <bgColor rgb="FF000000"/>
        </patternFill>
      </fill>
    </dxf>
    <dxf>
      <font>
        <name val="Aptos Narrow"/>
        <charset val="1"/>
        <family val="0"/>
        <b val="1"/>
        <color rgb="FF9C0006"/>
      </font>
      <fill>
        <patternFill>
          <bgColor rgb="FFF8D7DA"/>
        </patternFill>
      </fill>
    </dxf>
    <dxf>
      <fill>
        <patternFill>
          <bgColor rgb="FFFCE8C3"/>
        </patternFill>
      </fill>
    </dxf>
    <dxf>
      <fill>
        <patternFill patternType="solid">
          <fgColor rgb="FFF8D7DA"/>
          <bgColor rgb="FF000000"/>
        </patternFill>
      </fill>
    </dxf>
    <dxf>
      <fill>
        <patternFill patternType="solid">
          <fgColor rgb="FF9C0006"/>
          <bgColor rgb="FF000000"/>
        </patternFill>
      </fill>
    </dxf>
    <dxf>
      <font>
        <name val="Aptos Narrow"/>
        <charset val="1"/>
        <family val="0"/>
        <b val="1"/>
        <color rgb="FF2E6B30"/>
      </font>
    </dxf>
    <dxf>
      <fill>
        <patternFill patternType="solid">
          <fgColor rgb="FFF2F2F2"/>
          <bgColor rgb="FF000000"/>
        </patternFill>
      </fill>
    </dxf>
    <dxf>
      <fill>
        <patternFill patternType="solid">
          <fgColor rgb="FF1F4E9C"/>
          <bgColor rgb="FF000000"/>
        </patternFill>
      </fill>
    </dxf>
  </dxfs>
  <colors>
    <indexedColors>
      <rgbColor rgb="FF000000"/>
      <rgbColor rgb="FFFFFFFF"/>
      <rgbColor rgb="FFFF0000"/>
      <rgbColor rgb="FF00FF00"/>
      <rgbColor rgb="FF0000FF"/>
      <rgbColor rgb="FFFFFF00"/>
      <rgbColor rgb="FFFF00FF"/>
      <rgbColor rgb="FF00FFFF"/>
      <rgbColor rgb="FF9C0006"/>
      <rgbColor rgb="FF2E6B30"/>
      <rgbColor rgb="FF000080"/>
      <rgbColor rgb="FF548235"/>
      <rgbColor rgb="FF800080"/>
      <rgbColor rgb="FF008080"/>
      <rgbColor rgb="FFA5A5A5"/>
      <rgbColor rgb="FF7F7F7F"/>
      <rgbColor rgb="FF9999FF"/>
      <rgbColor rgb="FF993366"/>
      <rgbColor rgb="FFFFF2CC"/>
      <rgbColor rgb="FFF4F6FA"/>
      <rgbColor rgb="FF660066"/>
      <rgbColor rgb="FFFF8080"/>
      <rgbColor rgb="FF2F5597"/>
      <rgbColor rgb="FFD9D9D9"/>
      <rgbColor rgb="FF000080"/>
      <rgbColor rgb="FFFF00FF"/>
      <rgbColor rgb="FFFFFF00"/>
      <rgbColor rgb="FF00FFFF"/>
      <rgbColor rgb="FF800080"/>
      <rgbColor rgb="FF800000"/>
      <rgbColor rgb="FF008080"/>
      <rgbColor rgb="FF0000FF"/>
      <rgbColor rgb="FF00CCFF"/>
      <rgbColor rgb="FFF2F2F2"/>
      <rgbColor rgb="FFE2EFDA"/>
      <rgbColor rgb="FFFCE8C3"/>
      <rgbColor rgb="FF9DC3E6"/>
      <rgbColor rgb="FFF8D7DA"/>
      <rgbColor rgb="FFDCE3EE"/>
      <rgbColor rgb="FFF4B183"/>
      <rgbColor rgb="FF3366FF"/>
      <rgbColor rgb="FF33CCCC"/>
      <rgbColor rgb="FF99CC00"/>
      <rgbColor rgb="FFFFCC00"/>
      <rgbColor rgb="FFFF9900"/>
      <rgbColor rgb="FFC55A11"/>
      <rgbColor rgb="FF6B6B6B"/>
      <rgbColor rgb="FF878787"/>
      <rgbColor rgb="FF1F3864"/>
      <rgbColor rgb="FF339966"/>
      <rgbColor rgb="FF003300"/>
      <rgbColor rgb="FF404040"/>
      <rgbColor rgb="FF993300"/>
      <rgbColor rgb="FF993366"/>
      <rgbColor rgb="FF1F4E9C"/>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Biometric scan: utilisation per 10-minute slot</a:t>
            </a:r>
          </a:p>
        </c:rich>
      </c:tx>
      <c:overlay val="0"/>
      <c:spPr>
        <a:noFill/>
        <a:ln w="0">
          <a:noFill/>
        </a:ln>
      </c:spPr>
    </c:title>
    <c:autoTitleDeleted val="0"/>
    <c:plotArea>
      <c:lineChart>
        <c:grouping val="standard"/>
        <c:varyColors val="0"/>
        <c:ser>
          <c:idx val="0"/>
          <c:order val="0"/>
          <c:tx>
            <c:strRef>
              <c:f>'Q1 Scanner'!B103</c:f>
              <c:strCache>
                <c:ptCount val="1"/>
                <c:pt idx="0">
                  <c:v>Central CT, today</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Scanner'!$B$104:$B$121</c:f>
              <c:numCache>
                <c:formatCode>0%</c:formatCode>
                <c:ptCount val="18"/>
                <c:pt idx="0">
                  <c:v>0</c:v>
                </c:pt>
                <c:pt idx="1">
                  <c:v>0</c:v>
                </c:pt>
                <c:pt idx="2">
                  <c:v>0</c:v>
                </c:pt>
                <c:pt idx="3">
                  <c:v>0.48642</c:v>
                </c:pt>
                <c:pt idx="4">
                  <c:v>0.625041</c:v>
                </c:pt>
                <c:pt idx="5">
                  <c:v>0.6306375</c:v>
                </c:pt>
                <c:pt idx="6">
                  <c:v>0.7676525</c:v>
                </c:pt>
                <c:pt idx="7">
                  <c:v>0.67969</c:v>
                </c:pt>
                <c:pt idx="8">
                  <c:v>0.563124</c:v>
                </c:pt>
                <c:pt idx="9">
                  <c:v>0.7560765</c:v>
                </c:pt>
                <c:pt idx="10">
                  <c:v>0.984348</c:v>
                </c:pt>
                <c:pt idx="11">
                  <c:v>0.940556</c:v>
                </c:pt>
                <c:pt idx="12">
                  <c:v>0.71309</c:v>
                </c:pt>
                <c:pt idx="13">
                  <c:v>0.4853475</c:v>
                </c:pt>
                <c:pt idx="14">
                  <c:v>0.238761</c:v>
                </c:pt>
                <c:pt idx="15">
                  <c:v>0</c:v>
                </c:pt>
                <c:pt idx="16">
                  <c:v>0</c:v>
                </c:pt>
                <c:pt idx="17">
                  <c:v>0</c:v>
                </c:pt>
              </c:numCache>
            </c:numRef>
          </c:val>
          <c:smooth val="0"/>
        </c:ser>
        <c:ser>
          <c:idx val="1"/>
          <c:order val="1"/>
          <c:tx>
            <c:strRef>
              <c:f>'Q1 Scanner'!C103</c:f>
              <c:strCache>
                <c:ptCount val="1"/>
                <c:pt idx="0">
                  <c:v>Munch Mess, today</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Scanner'!$C$104:$C$121</c:f>
              <c:numCache>
                <c:formatCode>0%</c:formatCode>
                <c:ptCount val="18"/>
                <c:pt idx="0">
                  <c:v>0</c:v>
                </c:pt>
                <c:pt idx="1">
                  <c:v>0</c:v>
                </c:pt>
                <c:pt idx="2">
                  <c:v>0</c:v>
                </c:pt>
                <c:pt idx="3">
                  <c:v>0.129204</c:v>
                </c:pt>
                <c:pt idx="4">
                  <c:v>0.154976</c:v>
                </c:pt>
                <c:pt idx="5">
                  <c:v>0.161564</c:v>
                </c:pt>
                <c:pt idx="6">
                  <c:v>0.193674</c:v>
                </c:pt>
                <c:pt idx="7">
                  <c:v>0.180096</c:v>
                </c:pt>
                <c:pt idx="8">
                  <c:v>0.147</c:v>
                </c:pt>
                <c:pt idx="9">
                  <c:v>0.187677</c:v>
                </c:pt>
                <c:pt idx="10">
                  <c:v>0.2490725</c:v>
                </c:pt>
                <c:pt idx="11">
                  <c:v>0.24549</c:v>
                </c:pt>
                <c:pt idx="12">
                  <c:v>0.1729</c:v>
                </c:pt>
                <c:pt idx="13">
                  <c:v>0.11725</c:v>
                </c:pt>
                <c:pt idx="14">
                  <c:v>0.0596775</c:v>
                </c:pt>
                <c:pt idx="15">
                  <c:v>0</c:v>
                </c:pt>
                <c:pt idx="16">
                  <c:v>0</c:v>
                </c:pt>
                <c:pt idx="17">
                  <c:v>0</c:v>
                </c:pt>
              </c:numCache>
            </c:numRef>
          </c:val>
          <c:smooth val="0"/>
        </c:ser>
        <c:ser>
          <c:idx val="2"/>
          <c:order val="2"/>
          <c:tx>
            <c:strRef>
              <c:f>'Q1 Scanner'!D103</c:f>
              <c:strCache>
                <c:ptCount val="1"/>
                <c:pt idx="0">
                  <c:v>Central CT, with screens</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Scanner'!$D$104:$D$121</c:f>
              <c:numCache>
                <c:formatCode>0%</c:formatCode>
                <c:ptCount val="18"/>
                <c:pt idx="0">
                  <c:v>0</c:v>
                </c:pt>
                <c:pt idx="1">
                  <c:v>0</c:v>
                </c:pt>
                <c:pt idx="2">
                  <c:v>0</c:v>
                </c:pt>
                <c:pt idx="3">
                  <c:v>0.48642</c:v>
                </c:pt>
                <c:pt idx="4">
                  <c:v>0.625041</c:v>
                </c:pt>
                <c:pt idx="5">
                  <c:v>0.621073</c:v>
                </c:pt>
                <c:pt idx="6">
                  <c:v>0.7251075</c:v>
                </c:pt>
                <c:pt idx="7">
                  <c:v>0.624042</c:v>
                </c:pt>
                <c:pt idx="8">
                  <c:v>0.5296365</c:v>
                </c:pt>
                <c:pt idx="9">
                  <c:v>0.705998</c:v>
                </c:pt>
                <c:pt idx="10">
                  <c:v>0.713925</c:v>
                </c:pt>
                <c:pt idx="11">
                  <c:v>0.6538455</c:v>
                </c:pt>
                <c:pt idx="12">
                  <c:v>0.6008225</c:v>
                </c:pt>
                <c:pt idx="13">
                  <c:v>0.47838</c:v>
                </c:pt>
                <c:pt idx="14">
                  <c:v>0.240912</c:v>
                </c:pt>
                <c:pt idx="15">
                  <c:v>0</c:v>
                </c:pt>
                <c:pt idx="16">
                  <c:v>0</c:v>
                </c:pt>
                <c:pt idx="17">
                  <c:v>0</c:v>
                </c:pt>
              </c:numCache>
            </c:numRef>
          </c:val>
          <c:smooth val="0"/>
        </c:ser>
        <c:ser>
          <c:idx val="3"/>
          <c:order val="3"/>
          <c:tx>
            <c:strRef>
              <c:f>'Q1 Scanner'!E103</c:f>
              <c:strCache>
                <c:ptCount val="1"/>
                <c:pt idx="0">
                  <c:v>Munch Mess, with screens</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Scanner'!$E$104:$E$121</c:f>
              <c:numCache>
                <c:formatCode>0%</c:formatCode>
                <c:ptCount val="18"/>
                <c:pt idx="0">
                  <c:v>0</c:v>
                </c:pt>
                <c:pt idx="1">
                  <c:v>0</c:v>
                </c:pt>
                <c:pt idx="2">
                  <c:v>0</c:v>
                </c:pt>
                <c:pt idx="3">
                  <c:v>0.129204</c:v>
                </c:pt>
                <c:pt idx="4">
                  <c:v>0.154976</c:v>
                </c:pt>
                <c:pt idx="5">
                  <c:v>0.168831</c:v>
                </c:pt>
                <c:pt idx="6">
                  <c:v>0.2339975</c:v>
                </c:pt>
                <c:pt idx="7">
                  <c:v>0.231336</c:v>
                </c:pt>
                <c:pt idx="8">
                  <c:v>0.180774</c:v>
                </c:pt>
                <c:pt idx="9">
                  <c:v>0.226424</c:v>
                </c:pt>
                <c:pt idx="10">
                  <c:v>0.513975</c:v>
                </c:pt>
                <c:pt idx="11">
                  <c:v>0.534901</c:v>
                </c:pt>
                <c:pt idx="12">
                  <c:v>0.3036775</c:v>
                </c:pt>
                <c:pt idx="13">
                  <c:v>0.127922</c:v>
                </c:pt>
                <c:pt idx="14">
                  <c:v>0.0593125</c:v>
                </c:pt>
                <c:pt idx="15">
                  <c:v>0</c:v>
                </c:pt>
                <c:pt idx="16">
                  <c:v>0</c:v>
                </c:pt>
                <c:pt idx="17">
                  <c:v>0</c:v>
                </c:pt>
              </c:numCache>
            </c:numRef>
          </c:val>
          <c:smooth val="0"/>
        </c:ser>
        <c:ser>
          <c:idx val="4"/>
          <c:order val="4"/>
          <c:tx>
            <c:strRef>
              <c:f>'Q1 Scanner'!F103</c:f>
              <c:strCache>
                <c:ptCount val="1"/>
                <c:pt idx="0">
                  <c:v>Capacity (ρ = 100%)</c:v>
                </c:pt>
              </c:strCache>
            </c:strRef>
          </c:tx>
          <c:spPr>
            <a:solidFill>
              <a:srgbClr val="7f7f7f"/>
            </a:solidFill>
            <a:ln w="2196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Scanner'!$F$104:$F$121</c:f>
              <c:numCache>
                <c:formatCode>0%</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ser>
        <c:hiLowLines>
          <c:spPr>
            <a:ln w="0">
              <a:noFill/>
            </a:ln>
          </c:spPr>
        </c:hiLowLines>
        <c:marker val="0"/>
        <c:axId val="11055351"/>
        <c:axId val="38902072"/>
      </c:lineChart>
      <c:catAx>
        <c:axId val="110553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38902072"/>
        <c:crosses val="autoZero"/>
        <c:auto val="1"/>
        <c:lblAlgn val="ctr"/>
        <c:lblOffset val="100"/>
        <c:noMultiLvlLbl val="0"/>
      </c:catAx>
      <c:valAx>
        <c:axId val="389020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Utilisation ρ</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1055351"/>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Serving stations: utilisation per 10-minute slot</a:t>
            </a:r>
          </a:p>
        </c:rich>
      </c:tx>
      <c:overlay val="0"/>
      <c:spPr>
        <a:noFill/>
        <a:ln w="0">
          <a:noFill/>
        </a:ln>
      </c:spPr>
    </c:title>
    <c:autoTitleDeleted val="0"/>
    <c:plotArea>
      <c:lineChart>
        <c:grouping val="standard"/>
        <c:varyColors val="0"/>
        <c:ser>
          <c:idx val="0"/>
          <c:order val="0"/>
          <c:tx>
            <c:strRef>
              <c:f>'Q2 Serving stations'!B103</c:f>
              <c:strCache>
                <c:ptCount val="1"/>
                <c:pt idx="0">
                  <c:v>Central CT, today</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stations'!$B$104:$B$121</c:f>
              <c:numCache>
                <c:formatCode>0%</c:formatCode>
                <c:ptCount val="18"/>
                <c:pt idx="0">
                  <c:v>0</c:v>
                </c:pt>
                <c:pt idx="1">
                  <c:v>0</c:v>
                </c:pt>
                <c:pt idx="2">
                  <c:v>0</c:v>
                </c:pt>
                <c:pt idx="3">
                  <c:v>0.68706075</c:v>
                </c:pt>
                <c:pt idx="4">
                  <c:v>0.928198</c:v>
                </c:pt>
                <c:pt idx="5">
                  <c:v>0.95880225</c:v>
                </c:pt>
                <c:pt idx="6">
                  <c:v>1.1310075</c:v>
                </c:pt>
                <c:pt idx="7">
                  <c:v>1.01027825</c:v>
                </c:pt>
                <c:pt idx="8">
                  <c:v>0.8649765</c:v>
                </c:pt>
                <c:pt idx="9">
                  <c:v>1.0646165</c:v>
                </c:pt>
                <c:pt idx="10">
                  <c:v>1.465742</c:v>
                </c:pt>
                <c:pt idx="11">
                  <c:v>1.4695395</c:v>
                </c:pt>
                <c:pt idx="12">
                  <c:v>1.12559375</c:v>
                </c:pt>
                <c:pt idx="13">
                  <c:v>0.7442575</c:v>
                </c:pt>
                <c:pt idx="14">
                  <c:v>0.3701385</c:v>
                </c:pt>
                <c:pt idx="15">
                  <c:v>0.015442</c:v>
                </c:pt>
                <c:pt idx="16">
                  <c:v>0</c:v>
                </c:pt>
                <c:pt idx="17">
                  <c:v>0</c:v>
                </c:pt>
              </c:numCache>
            </c:numRef>
          </c:val>
          <c:smooth val="0"/>
        </c:ser>
        <c:ser>
          <c:idx val="1"/>
          <c:order val="1"/>
          <c:tx>
            <c:strRef>
              <c:f>'Q2 Serving stations'!C103</c:f>
              <c:strCache>
                <c:ptCount val="1"/>
                <c:pt idx="0">
                  <c:v>Munch Mess, today</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stations'!$C$104:$C$121</c:f>
              <c:numCache>
                <c:formatCode>0%</c:formatCode>
                <c:ptCount val="18"/>
                <c:pt idx="0">
                  <c:v>0</c:v>
                </c:pt>
                <c:pt idx="1">
                  <c:v>0</c:v>
                </c:pt>
                <c:pt idx="2">
                  <c:v>0</c:v>
                </c:pt>
                <c:pt idx="3">
                  <c:v>0.17416075</c:v>
                </c:pt>
                <c:pt idx="4">
                  <c:v>0.223614</c:v>
                </c:pt>
                <c:pt idx="5">
                  <c:v>0.24025</c:v>
                </c:pt>
                <c:pt idx="6">
                  <c:v>0.279675</c:v>
                </c:pt>
                <c:pt idx="7">
                  <c:v>0.2728575</c:v>
                </c:pt>
                <c:pt idx="8">
                  <c:v>0.217626</c:v>
                </c:pt>
                <c:pt idx="9">
                  <c:v>0.2805</c:v>
                </c:pt>
                <c:pt idx="10">
                  <c:v>0.381</c:v>
                </c:pt>
                <c:pt idx="11">
                  <c:v>0.364188</c:v>
                </c:pt>
                <c:pt idx="12">
                  <c:v>0.26310625</c:v>
                </c:pt>
                <c:pt idx="13">
                  <c:v>0.182728</c:v>
                </c:pt>
                <c:pt idx="14">
                  <c:v>0.09306</c:v>
                </c:pt>
                <c:pt idx="15">
                  <c:v>0.00334125</c:v>
                </c:pt>
                <c:pt idx="16">
                  <c:v>0</c:v>
                </c:pt>
                <c:pt idx="17">
                  <c:v>0</c:v>
                </c:pt>
              </c:numCache>
            </c:numRef>
          </c:val>
          <c:smooth val="0"/>
        </c:ser>
        <c:ser>
          <c:idx val="2"/>
          <c:order val="2"/>
          <c:tx>
            <c:strRef>
              <c:f>'Q2 Serving stations'!D103</c:f>
              <c:strCache>
                <c:ptCount val="1"/>
                <c:pt idx="0">
                  <c:v>Central CT, with screens</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stations'!$D$104:$D$121</c:f>
              <c:numCache>
                <c:formatCode>0%</c:formatCode>
                <c:ptCount val="18"/>
                <c:pt idx="0">
                  <c:v>0</c:v>
                </c:pt>
                <c:pt idx="1">
                  <c:v>0</c:v>
                </c:pt>
                <c:pt idx="2">
                  <c:v>0</c:v>
                </c:pt>
                <c:pt idx="3">
                  <c:v>0.68706075</c:v>
                </c:pt>
                <c:pt idx="4">
                  <c:v>0.928198</c:v>
                </c:pt>
                <c:pt idx="5">
                  <c:v>0.949329</c:v>
                </c:pt>
                <c:pt idx="6">
                  <c:v>1.06255275</c:v>
                </c:pt>
                <c:pt idx="7">
                  <c:v>0.9428625</c:v>
                </c:pt>
                <c:pt idx="8">
                  <c:v>0.809977</c:v>
                </c:pt>
                <c:pt idx="9">
                  <c:v>1.0285</c:v>
                </c:pt>
                <c:pt idx="10">
                  <c:v>1.0648225</c:v>
                </c:pt>
                <c:pt idx="11">
                  <c:v>1.0037365</c:v>
                </c:pt>
                <c:pt idx="12">
                  <c:v>0.903372</c:v>
                </c:pt>
                <c:pt idx="13">
                  <c:v>0.7464175</c:v>
                </c:pt>
                <c:pt idx="14">
                  <c:v>0.3711295</c:v>
                </c:pt>
                <c:pt idx="15">
                  <c:v>0.01370875</c:v>
                </c:pt>
                <c:pt idx="16">
                  <c:v>0</c:v>
                </c:pt>
                <c:pt idx="17">
                  <c:v>0</c:v>
                </c:pt>
              </c:numCache>
            </c:numRef>
          </c:val>
          <c:smooth val="0"/>
        </c:ser>
        <c:ser>
          <c:idx val="3"/>
          <c:order val="3"/>
          <c:tx>
            <c:strRef>
              <c:f>'Q2 Serving stations'!E103</c:f>
              <c:strCache>
                <c:ptCount val="1"/>
                <c:pt idx="0">
                  <c:v>Munch Mess, with screens</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stations'!$E$104:$E$121</c:f>
              <c:numCache>
                <c:formatCode>0%</c:formatCode>
                <c:ptCount val="18"/>
                <c:pt idx="0">
                  <c:v>0</c:v>
                </c:pt>
                <c:pt idx="1">
                  <c:v>0</c:v>
                </c:pt>
                <c:pt idx="2">
                  <c:v>0</c:v>
                </c:pt>
                <c:pt idx="3">
                  <c:v>0.17416075</c:v>
                </c:pt>
                <c:pt idx="4">
                  <c:v>0.223614</c:v>
                </c:pt>
                <c:pt idx="5">
                  <c:v>0.252757</c:v>
                </c:pt>
                <c:pt idx="6">
                  <c:v>0.34845</c:v>
                </c:pt>
                <c:pt idx="7">
                  <c:v>0.34046325</c:v>
                </c:pt>
                <c:pt idx="8">
                  <c:v>0.270204</c:v>
                </c:pt>
                <c:pt idx="9">
                  <c:v>0.3095965</c:v>
                </c:pt>
                <c:pt idx="10">
                  <c:v>0.777308</c:v>
                </c:pt>
                <c:pt idx="11">
                  <c:v>0.78864</c:v>
                </c:pt>
                <c:pt idx="12">
                  <c:v>0.479632</c:v>
                </c:pt>
                <c:pt idx="13">
                  <c:v>0.205</c:v>
                </c:pt>
                <c:pt idx="14">
                  <c:v>0.090581</c:v>
                </c:pt>
                <c:pt idx="15">
                  <c:v>0.0039825</c:v>
                </c:pt>
                <c:pt idx="16">
                  <c:v>0</c:v>
                </c:pt>
                <c:pt idx="17">
                  <c:v>0</c:v>
                </c:pt>
              </c:numCache>
            </c:numRef>
          </c:val>
          <c:smooth val="0"/>
        </c:ser>
        <c:ser>
          <c:idx val="4"/>
          <c:order val="4"/>
          <c:tx>
            <c:strRef>
              <c:f>'Q2 Serving stations'!F103</c:f>
              <c:strCache>
                <c:ptCount val="1"/>
                <c:pt idx="0">
                  <c:v>Capacity (ρ = 100%)</c:v>
                </c:pt>
              </c:strCache>
            </c:strRef>
          </c:tx>
          <c:spPr>
            <a:solidFill>
              <a:srgbClr val="7f7f7f"/>
            </a:solidFill>
            <a:ln w="2196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stations'!$F$104:$F$121</c:f>
              <c:numCache>
                <c:formatCode>0%</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ser>
        <c:hiLowLines>
          <c:spPr>
            <a:ln w="0">
              <a:noFill/>
            </a:ln>
          </c:spPr>
        </c:hiLowLines>
        <c:marker val="0"/>
        <c:axId val="56889987"/>
        <c:axId val="73512634"/>
      </c:lineChart>
      <c:catAx>
        <c:axId val="568899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73512634"/>
        <c:crosses val="autoZero"/>
        <c:auto val="1"/>
        <c:lblAlgn val="ctr"/>
        <c:lblOffset val="100"/>
        <c:noMultiLvlLbl val="0"/>
      </c:catAx>
      <c:valAx>
        <c:axId val="735126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Utilisation ρ</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56889987"/>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Central CT today: L (simulated) vs λW</a:t>
            </a:r>
          </a:p>
        </c:rich>
      </c:tx>
      <c:overlay val="0"/>
      <c:spPr>
        <a:noFill/>
        <a:ln w="0">
          <a:noFill/>
        </a:ln>
      </c:spPr>
    </c:title>
    <c:autoTitleDeleted val="0"/>
    <c:plotArea>
      <c:lineChart>
        <c:grouping val="standard"/>
        <c:varyColors val="0"/>
        <c:ser>
          <c:idx val="0"/>
          <c:order val="0"/>
          <c:tx>
            <c:strRef>
              <c:f>'Littles Law'!B86</c:f>
              <c:strCache>
                <c:ptCount val="1"/>
                <c:pt idx="0">
                  <c:v>People inside (simulated)</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'Littles Law'!$A$87:$A$104</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'Littles Law'!$B$87:$B$104</c:f>
              <c:numCache>
                <c:formatCode>0</c:formatCode>
                <c:ptCount val="18"/>
                <c:pt idx="0">
                  <c:v>0</c:v>
                </c:pt>
                <c:pt idx="1">
                  <c:v>0</c:v>
                </c:pt>
                <c:pt idx="2">
                  <c:v>0</c:v>
                </c:pt>
                <c:pt idx="3">
                  <c:v>66.9728</c:v>
                </c:pt>
                <c:pt idx="4">
                  <c:v>235.861</c:v>
                </c:pt>
                <c:pt idx="5">
                  <c:v>357.9495</c:v>
                </c:pt>
                <c:pt idx="6">
                  <c:v>400.1098</c:v>
                </c:pt>
                <c:pt idx="7">
                  <c:v>429.9949</c:v>
                </c:pt>
                <c:pt idx="8">
                  <c:v>424.9515</c:v>
                </c:pt>
                <c:pt idx="9">
                  <c:v>407.2461</c:v>
                </c:pt>
                <c:pt idx="10">
                  <c:v>497.5448</c:v>
                </c:pt>
                <c:pt idx="11">
                  <c:v>601.0945</c:v>
                </c:pt>
                <c:pt idx="12">
                  <c:v>654.161</c:v>
                </c:pt>
                <c:pt idx="13">
                  <c:v>637.1672</c:v>
                </c:pt>
                <c:pt idx="14">
                  <c:v>551.2699</c:v>
                </c:pt>
                <c:pt idx="15">
                  <c:v>401.8533</c:v>
                </c:pt>
                <c:pt idx="16">
                  <c:v>203.4723</c:v>
                </c:pt>
                <c:pt idx="17">
                  <c:v>36.8058</c:v>
                </c:pt>
              </c:numCache>
            </c:numRef>
          </c:val>
          <c:smooth val="0"/>
        </c:ser>
        <c:ser>
          <c:idx val="1"/>
          <c:order val="1"/>
          <c:tx>
            <c:strRef>
              <c:f>'Littles Law'!C86</c:f>
              <c:strCache>
                <c:ptCount val="1"/>
                <c:pt idx="0">
                  <c:v>λ × W</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'Littles Law'!$A$87:$A$104</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'Littles Law'!$C$87:$C$104</c:f>
              <c:numCache>
                <c:formatCode>0</c:formatCode>
                <c:ptCount val="18"/>
                <c:pt idx="0">
                  <c:v>0</c:v>
                </c:pt>
                <c:pt idx="1">
                  <c:v>0</c:v>
                </c:pt>
                <c:pt idx="2">
                  <c:v>0</c:v>
                </c:pt>
                <c:pt idx="3">
                  <c:v>286.739508</c:v>
                </c:pt>
                <c:pt idx="4">
                  <c:v>373.958464</c:v>
                </c:pt>
                <c:pt idx="5">
                  <c:v>380.7864525</c:v>
                </c:pt>
                <c:pt idx="6">
                  <c:v>484.05646</c:v>
                </c:pt>
                <c:pt idx="7">
                  <c:v>451.4851</c:v>
                </c:pt>
                <c:pt idx="8">
                  <c:v>374.217816</c:v>
                </c:pt>
                <c:pt idx="9">
                  <c:v>497.016991</c:v>
                </c:pt>
                <c:pt idx="10">
                  <c:v>757.720348</c:v>
                </c:pt>
                <c:pt idx="11">
                  <c:v>876.340389</c:v>
                </c:pt>
                <c:pt idx="12">
                  <c:v>730.33226</c:v>
                </c:pt>
                <c:pt idx="13">
                  <c:v>487.315125</c:v>
                </c:pt>
                <c:pt idx="14">
                  <c:v>207.435987</c:v>
                </c:pt>
                <c:pt idx="15">
                  <c:v>0</c:v>
                </c:pt>
                <c:pt idx="16">
                  <c:v>0</c:v>
                </c:pt>
                <c:pt idx="17">
                  <c:v>0</c:v>
                </c:pt>
              </c:numCache>
            </c:numRef>
          </c:val>
          <c:smooth val="0"/>
        </c:ser>
        <c:hiLowLines>
          <c:spPr>
            <a:ln w="0">
              <a:noFill/>
            </a:ln>
          </c:spPr>
        </c:hiLowLines>
        <c:marker val="0"/>
        <c:axId val="39045473"/>
        <c:axId val="21969891"/>
      </c:lineChart>
      <c:catAx>
        <c:axId val="390454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21969891"/>
        <c:crosses val="autoZero"/>
        <c:auto val="1"/>
        <c:lblAlgn val="ctr"/>
        <c:lblOffset val="100"/>
        <c:noMultiLvlLbl val="0"/>
      </c:catAx>
      <c:valAx>
        <c:axId val="219698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Students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39045473"/>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Capacity of each stage (students per minute)</a:t>
            </a:r>
          </a:p>
        </c:rich>
      </c:tx>
      <c:overlay val="0"/>
      <c:spPr>
        <a:noFill/>
        <a:ln w="0">
          <a:noFill/>
        </a:ln>
      </c:spPr>
    </c:title>
    <c:autoTitleDeleted val="0"/>
    <c:plotArea>
      <c:barChart>
        <c:barDir val="col"/>
        <c:grouping val="clustered"/>
        <c:varyColors val="0"/>
        <c:ser>
          <c:idx val="0"/>
          <c:order val="0"/>
          <c:tx>
            <c:strRef>
              <c:f>"Central CT"</c:f>
              <c:strCache>
                <c:ptCount val="1"/>
                <c:pt idx="0">
                  <c:v>Central CT</c:v>
                </c:pt>
              </c:strCache>
            </c:strRef>
          </c:tx>
          <c:spPr>
            <a:solidFill>
              <a:srgbClr val="2f5597"/>
            </a:solidFill>
            <a:ln w="0">
              <a:solidFill>
                <a:srgbClr val="2f559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Capacity!$A$32:$A$34</c:f>
              <c:strCache>
                <c:ptCount val="3"/>
                <c:pt idx="0">
                  <c:v>Scanner capacity</c:v>
                </c:pt>
                <c:pt idx="1">
                  <c:v>Serving-station capacity</c:v>
                </c:pt>
                <c:pt idx="2">
                  <c:v>Seating capacity</c:v>
                </c:pt>
              </c:strCache>
            </c:strRef>
          </c:cat>
          <c:val>
            <c:numRef>
              <c:f>Capacity!$B$32:$B$34</c:f>
              <c:numCache>
                <c:formatCode>0.0</c:formatCode>
                <c:ptCount val="3"/>
                <c:pt idx="0">
                  <c:v>30</c:v>
                </c:pt>
                <c:pt idx="1">
                  <c:v>20</c:v>
                </c:pt>
                <c:pt idx="2">
                  <c:v>55.5556052523987</c:v>
                </c:pt>
              </c:numCache>
            </c:numRef>
          </c:val>
        </c:ser>
        <c:ser>
          <c:idx val="1"/>
          <c:order val="1"/>
          <c:tx>
            <c:strRef>
              <c:f>"Munch Mess"</c:f>
              <c:strCache>
                <c:ptCount val="1"/>
                <c:pt idx="0">
                  <c:v>Munch Mess</c:v>
                </c:pt>
              </c:strCache>
            </c:strRef>
          </c:tx>
          <c:spPr>
            <a:solidFill>
              <a:srgbClr val="c55a11"/>
            </a:solidFill>
            <a:ln w="0">
              <a:solidFill>
                <a:srgbClr val="c55a1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Capacity!$A$32:$A$34</c:f>
              <c:strCache>
                <c:ptCount val="3"/>
                <c:pt idx="0">
                  <c:v>Scanner capacity</c:v>
                </c:pt>
                <c:pt idx="1">
                  <c:v>Serving-station capacity</c:v>
                </c:pt>
                <c:pt idx="2">
                  <c:v>Seating capacity</c:v>
                </c:pt>
              </c:strCache>
            </c:strRef>
          </c:cat>
          <c:val>
            <c:numRef>
              <c:f>Capacity!$C$32:$C$34</c:f>
              <c:numCache>
                <c:formatCode>0.0</c:formatCode>
                <c:ptCount val="3"/>
                <c:pt idx="0">
                  <c:v>30</c:v>
                </c:pt>
                <c:pt idx="1">
                  <c:v>20</c:v>
                </c:pt>
                <c:pt idx="2">
                  <c:v>30.3142762545434</c:v>
                </c:pt>
              </c:numCache>
            </c:numRef>
          </c:val>
        </c:ser>
        <c:gapWidth val="150"/>
        <c:overlap val="0"/>
        <c:axId val="62017533"/>
        <c:axId val="35945958"/>
      </c:barChart>
      <c:catAx>
        <c:axId val="620175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35945958"/>
        <c:crosses val="autoZero"/>
        <c:auto val="1"/>
        <c:lblAlgn val="ctr"/>
        <c:lblOffset val="100"/>
        <c:noMultiLvlLbl val="0"/>
      </c:catAx>
      <c:valAx>
        <c:axId val="359459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Students / min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62017533"/>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Average wait by rule (minutes)</a:t>
            </a:r>
          </a:p>
        </c:rich>
      </c:tx>
      <c:overlay val="0"/>
      <c:spPr>
        <a:noFill/>
        <a:ln w="0">
          <a:noFill/>
        </a:ln>
      </c:spPr>
    </c:title>
    <c:autoTitleDeleted val="0"/>
    <c:plotArea>
      <c:barChart>
        <c:barDir val="bar"/>
        <c:grouping val="clustered"/>
        <c:varyColors val="0"/>
        <c:ser>
          <c:idx val="0"/>
          <c:order val="0"/>
          <c:tx>
            <c:strRef>
              <c:f>'Load Balancing'!B63</c:f>
              <c:strCache>
                <c:ptCount val="1"/>
                <c:pt idx="0">
                  <c:v>Average wait (min)</c:v>
                </c:pt>
              </c:strCache>
            </c:strRef>
          </c:tx>
          <c:spPr>
            <a:solidFill>
              <a:srgbClr val="2f5597"/>
            </a:solidFill>
            <a:ln w="0">
              <a:solidFill>
                <a:srgbClr val="2f559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Balancing'!$J$64:$J$72</c:f>
              <c:strCache>
                <c:ptCount val="9"/>
                <c:pt idx="0">
                  <c:v>Today</c:v>
                </c:pt>
                <c:pt idx="1">
                  <c:v>Freshers rule</c:v>
                </c:pt>
                <c:pt idx="2">
                  <c:v>Fixed 40% (forced)</c:v>
                </c:pt>
                <c:pt idx="3">
                  <c:v>Fixed 50/50 (forced)</c:v>
                </c:pt>
                <c:pt idx="4">
                  <c:v>Fixed 40%, 60% obey</c:v>
                </c:pt>
                <c:pt idx="5">
                  <c:v>TAPMI + DOC rule</c:v>
                </c:pt>
                <c:pt idx="6">
                  <c:v>MIT rule</c:v>
                </c:pt>
                <c:pt idx="7">
                  <c:v>Screens (60%)</c:v>
                </c:pt>
                <c:pt idx="8">
                  <c:v>Screens (100%)</c:v>
                </c:pt>
              </c:strCache>
            </c:strRef>
          </c:cat>
          <c:val>
            <c:numRef>
              <c:f>'Load Balancing'!$B$64:$B$72</c:f>
              <c:numCache>
                <c:formatCode>0.00</c:formatCode>
                <c:ptCount val="9"/>
                <c:pt idx="0">
                  <c:v>4.31</c:v>
                </c:pt>
                <c:pt idx="1">
                  <c:v>2.9</c:v>
                </c:pt>
                <c:pt idx="2">
                  <c:v>0.46</c:v>
                </c:pt>
                <c:pt idx="3">
                  <c:v>0.6</c:v>
                </c:pt>
                <c:pt idx="4">
                  <c:v>1.39</c:v>
                </c:pt>
                <c:pt idx="5">
                  <c:v>2.43</c:v>
                </c:pt>
                <c:pt idx="6">
                  <c:v>1.92</c:v>
                </c:pt>
                <c:pt idx="7">
                  <c:v>0.8</c:v>
                </c:pt>
                <c:pt idx="8">
                  <c:v>0.76</c:v>
                </c:pt>
              </c:numCache>
            </c:numRef>
          </c:val>
        </c:ser>
        <c:gapWidth val="150"/>
        <c:overlap val="0"/>
        <c:axId val="16182120"/>
        <c:axId val="64116796"/>
      </c:barChart>
      <c:catAx>
        <c:axId val="161821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64116796"/>
        <c:crosses val="autoZero"/>
        <c:auto val="1"/>
        <c:lblAlgn val="ctr"/>
        <c:lblOffset val="100"/>
        <c:noMultiLvlLbl val="0"/>
      </c:catAx>
      <c:valAx>
        <c:axId val="64116796"/>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618212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Average wait by 10-minute slot (minutes)</a:t>
            </a:r>
          </a:p>
        </c:rich>
      </c:tx>
      <c:overlay val="0"/>
      <c:spPr>
        <a:noFill/>
        <a:ln w="0">
          <a:noFill/>
        </a:ln>
      </c:spPr>
    </c:title>
    <c:autoTitleDeleted val="0"/>
    <c:plotArea>
      <c:lineChart>
        <c:grouping val="standard"/>
        <c:varyColors val="0"/>
        <c:ser>
          <c:idx val="0"/>
          <c:order val="0"/>
          <c:tx>
            <c:strRef>
              <c:f>'Load Balancing'!B98</c:f>
              <c:strCache>
                <c:ptCount val="1"/>
                <c:pt idx="0">
                  <c:v>Today: habit 80/20, no screens</c:v>
                </c:pt>
              </c:strCache>
            </c:strRef>
          </c:tx>
          <c:spPr>
            <a:solidFill>
              <a:srgbClr val="7f7f7f"/>
            </a:solidFill>
            <a:ln w="21960">
              <a:solidFill>
                <a:srgbClr val="7f7f7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Balancing'!$B$99:$B$116</c:f>
              <c:numCache>
                <c:formatCode>0.0</c:formatCode>
                <c:ptCount val="18"/>
                <c:pt idx="0">
                  <c:v>0</c:v>
                </c:pt>
                <c:pt idx="1">
                  <c:v>0</c:v>
                </c:pt>
                <c:pt idx="2">
                  <c:v>0</c:v>
                </c:pt>
                <c:pt idx="3">
                  <c:v>0.09</c:v>
                </c:pt>
                <c:pt idx="4">
                  <c:v>0.25</c:v>
                </c:pt>
                <c:pt idx="5">
                  <c:v>0.53</c:v>
                </c:pt>
                <c:pt idx="6">
                  <c:v>1.19</c:v>
                </c:pt>
                <c:pt idx="7">
                  <c:v>2.03</c:v>
                </c:pt>
                <c:pt idx="8">
                  <c:v>2.04</c:v>
                </c:pt>
                <c:pt idx="9">
                  <c:v>1.81</c:v>
                </c:pt>
                <c:pt idx="10">
                  <c:v>4.8</c:v>
                </c:pt>
                <c:pt idx="11">
                  <c:v>8.97</c:v>
                </c:pt>
                <c:pt idx="12">
                  <c:v>11.69</c:v>
                </c:pt>
                <c:pt idx="13">
                  <c:v>11.13</c:v>
                </c:pt>
                <c:pt idx="14">
                  <c:v>7.42</c:v>
                </c:pt>
                <c:pt idx="15">
                  <c:v>0</c:v>
                </c:pt>
                <c:pt idx="16">
                  <c:v>0</c:v>
                </c:pt>
                <c:pt idx="17">
                  <c:v>0</c:v>
                </c:pt>
              </c:numCache>
            </c:numRef>
          </c:val>
          <c:smooth val="0"/>
        </c:ser>
        <c:ser>
          <c:idx val="1"/>
          <c:order val="1"/>
          <c:tx>
            <c:strRef>
              <c:f>'Load Balancing'!C98</c:f>
              <c:strCache>
                <c:ptCount val="1"/>
                <c:pt idx="0">
                  <c:v>Static: freshers to Munch (25% of every department) (enforced: all obey)</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Balancing'!$C$99:$C$116</c:f>
              <c:numCache>
                <c:formatCode>0.0</c:formatCode>
                <c:ptCount val="18"/>
                <c:pt idx="0">
                  <c:v>0</c:v>
                </c:pt>
                <c:pt idx="1">
                  <c:v>0</c:v>
                </c:pt>
                <c:pt idx="2">
                  <c:v>0</c:v>
                </c:pt>
                <c:pt idx="3">
                  <c:v>0.06</c:v>
                </c:pt>
                <c:pt idx="4">
                  <c:v>0.13</c:v>
                </c:pt>
                <c:pt idx="5">
                  <c:v>0.26</c:v>
                </c:pt>
                <c:pt idx="6">
                  <c:v>0.77</c:v>
                </c:pt>
                <c:pt idx="7">
                  <c:v>1.18</c:v>
                </c:pt>
                <c:pt idx="8">
                  <c:v>1.26</c:v>
                </c:pt>
                <c:pt idx="9">
                  <c:v>1.02</c:v>
                </c:pt>
                <c:pt idx="10">
                  <c:v>3.25</c:v>
                </c:pt>
                <c:pt idx="11">
                  <c:v>6.14</c:v>
                </c:pt>
                <c:pt idx="12">
                  <c:v>8.54</c:v>
                </c:pt>
                <c:pt idx="13">
                  <c:v>7.57</c:v>
                </c:pt>
                <c:pt idx="14">
                  <c:v>4.03</c:v>
                </c:pt>
                <c:pt idx="15">
                  <c:v>0</c:v>
                </c:pt>
                <c:pt idx="16">
                  <c:v>0</c:v>
                </c:pt>
                <c:pt idx="17">
                  <c:v>0</c:v>
                </c:pt>
              </c:numCache>
            </c:numRef>
          </c:val>
          <c:smooth val="0"/>
        </c:ser>
        <c:ser>
          <c:idx val="2"/>
          <c:order val="2"/>
          <c:tx>
            <c:strRef>
              <c:f>'Load Balancing'!D98</c:f>
              <c:strCache>
                <c:ptCount val="1"/>
                <c:pt idx="0">
                  <c:v>Static: TAPMI + DOC/MICFE to Munch, rest to Central (enforced: all obey)</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Balancing'!$D$99:$D$116</c:f>
              <c:numCache>
                <c:formatCode>0.0</c:formatCode>
                <c:ptCount val="18"/>
                <c:pt idx="0">
                  <c:v>0</c:v>
                </c:pt>
                <c:pt idx="1">
                  <c:v>0</c:v>
                </c:pt>
                <c:pt idx="2">
                  <c:v>0</c:v>
                </c:pt>
                <c:pt idx="3">
                  <c:v>0.34</c:v>
                </c:pt>
                <c:pt idx="4">
                  <c:v>1.4</c:v>
                </c:pt>
                <c:pt idx="5">
                  <c:v>3.33</c:v>
                </c:pt>
                <c:pt idx="6">
                  <c:v>2.77</c:v>
                </c:pt>
                <c:pt idx="7">
                  <c:v>1.76</c:v>
                </c:pt>
                <c:pt idx="8">
                  <c:v>0.53</c:v>
                </c:pt>
                <c:pt idx="9">
                  <c:v>0.29</c:v>
                </c:pt>
                <c:pt idx="10">
                  <c:v>2.19</c:v>
                </c:pt>
                <c:pt idx="11">
                  <c:v>3.15</c:v>
                </c:pt>
                <c:pt idx="12">
                  <c:v>5.38</c:v>
                </c:pt>
                <c:pt idx="13">
                  <c:v>4.97</c:v>
                </c:pt>
                <c:pt idx="14">
                  <c:v>3.27</c:v>
                </c:pt>
                <c:pt idx="15">
                  <c:v>0</c:v>
                </c:pt>
                <c:pt idx="16">
                  <c:v>0</c:v>
                </c:pt>
                <c:pt idx="17">
                  <c:v>0</c:v>
                </c:pt>
              </c:numCache>
            </c:numRef>
          </c:val>
          <c:smooth val="0"/>
        </c:ser>
        <c:ser>
          <c:idx val="3"/>
          <c:order val="3"/>
          <c:tx>
            <c:strRef>
              <c:f>'Load Balancing'!E98</c:f>
              <c:strCache>
                <c:ptCount val="1"/>
                <c:pt idx="0">
                  <c:v>Static: 40% assigned to Munch, 60% obey</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Balancing'!$E$99:$E$116</c:f>
              <c:numCache>
                <c:formatCode>0.0</c:formatCode>
                <c:ptCount val="18"/>
                <c:pt idx="0">
                  <c:v>0</c:v>
                </c:pt>
                <c:pt idx="1">
                  <c:v>0</c:v>
                </c:pt>
                <c:pt idx="2">
                  <c:v>0</c:v>
                </c:pt>
                <c:pt idx="3">
                  <c:v>0.04</c:v>
                </c:pt>
                <c:pt idx="4">
                  <c:v>0.1</c:v>
                </c:pt>
                <c:pt idx="5">
                  <c:v>0.12</c:v>
                </c:pt>
                <c:pt idx="6">
                  <c:v>0.3</c:v>
                </c:pt>
                <c:pt idx="7">
                  <c:v>0.3</c:v>
                </c:pt>
                <c:pt idx="8">
                  <c:v>0.37</c:v>
                </c:pt>
                <c:pt idx="9">
                  <c:v>0.36</c:v>
                </c:pt>
                <c:pt idx="10">
                  <c:v>1.76</c:v>
                </c:pt>
                <c:pt idx="11">
                  <c:v>3.33</c:v>
                </c:pt>
                <c:pt idx="12">
                  <c:v>4.17</c:v>
                </c:pt>
                <c:pt idx="13">
                  <c:v>3.75</c:v>
                </c:pt>
                <c:pt idx="14">
                  <c:v>0.99</c:v>
                </c:pt>
                <c:pt idx="15">
                  <c:v>0</c:v>
                </c:pt>
                <c:pt idx="16">
                  <c:v>0</c:v>
                </c:pt>
                <c:pt idx="17">
                  <c:v>0</c:v>
                </c:pt>
              </c:numCache>
            </c:numRef>
          </c:val>
          <c:smooth val="0"/>
        </c:ser>
        <c:ser>
          <c:idx val="4"/>
          <c:order val="4"/>
          <c:tx>
            <c:strRef>
              <c:f>'Load Balancing'!F98</c:f>
              <c:strCache>
                <c:ptCount val="1"/>
                <c:pt idx="0">
                  <c:v>Dynamic: Smart Scan screens (60% follow)</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Balancing'!$F$99:$F$116</c:f>
              <c:numCache>
                <c:formatCode>0.0</c:formatCode>
                <c:ptCount val="18"/>
                <c:pt idx="0">
                  <c:v>0</c:v>
                </c:pt>
                <c:pt idx="1">
                  <c:v>0</c:v>
                </c:pt>
                <c:pt idx="2">
                  <c:v>0</c:v>
                </c:pt>
                <c:pt idx="3">
                  <c:v>0.09</c:v>
                </c:pt>
                <c:pt idx="4">
                  <c:v>0.25</c:v>
                </c:pt>
                <c:pt idx="5">
                  <c:v>0.48</c:v>
                </c:pt>
                <c:pt idx="6">
                  <c:v>0.81</c:v>
                </c:pt>
                <c:pt idx="7">
                  <c:v>0.88</c:v>
                </c:pt>
                <c:pt idx="8">
                  <c:v>0.65</c:v>
                </c:pt>
                <c:pt idx="9">
                  <c:v>0.59</c:v>
                </c:pt>
                <c:pt idx="10">
                  <c:v>1.19</c:v>
                </c:pt>
                <c:pt idx="11">
                  <c:v>1.32</c:v>
                </c:pt>
                <c:pt idx="12">
                  <c:v>1.31</c:v>
                </c:pt>
                <c:pt idx="13">
                  <c:v>0.82</c:v>
                </c:pt>
                <c:pt idx="14">
                  <c:v>0.06</c:v>
                </c:pt>
                <c:pt idx="15">
                  <c:v>0</c:v>
                </c:pt>
                <c:pt idx="16">
                  <c:v>0</c:v>
                </c:pt>
                <c:pt idx="17">
                  <c:v>0</c:v>
                </c:pt>
              </c:numCache>
            </c:numRef>
          </c:val>
          <c:smooth val="0"/>
        </c:ser>
        <c:hiLowLines>
          <c:spPr>
            <a:ln w="0">
              <a:noFill/>
            </a:ln>
          </c:spPr>
        </c:hiLowLines>
        <c:marker val="0"/>
        <c:axId val="18108835"/>
        <c:axId val="92167321"/>
      </c:lineChart>
      <c:catAx>
        <c:axId val="181088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92167321"/>
        <c:crosses val="autoZero"/>
        <c:auto val="1"/>
        <c:lblAlgn val="ctr"/>
        <c:lblOffset val="100"/>
        <c:noMultiLvlLbl val="0"/>
      </c:catAx>
      <c:valAx>
        <c:axId val="921673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Minutes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8108835"/>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
</Relationships>
</file>

<file path=xl/drawings/_rels/drawing5.xml.rels><?xml version="1.0" encoding="UTF-8"?>
<Relationships xmlns="http://schemas.openxmlformats.org/package/2006/relationships"><Relationship Id="rId1" Type="http://schemas.openxmlformats.org/officeDocument/2006/relationships/chart" Target="../charts/chart4.xml"/>
</Relationships>
</file>

<file path=xl/drawings/_rels/drawing6.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15</xdr:col>
      <xdr:colOff>214200</xdr:colOff>
      <xdr:row>16</xdr:row>
      <xdr:rowOff>86040</xdr:rowOff>
    </xdr:to>
    <xdr:graphicFrame>
      <xdr:nvGraphicFramePr>
        <xdr:cNvPr id="0" name="Chart 1"/>
        <xdr:cNvGraphicFramePr/>
      </xdr:nvGraphicFramePr>
      <xdr:xfrm>
        <a:off x="6484680" y="828720"/>
        <a:ext cx="68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15</xdr:col>
      <xdr:colOff>214200</xdr:colOff>
      <xdr:row>16</xdr:row>
      <xdr:rowOff>86040</xdr:rowOff>
    </xdr:to>
    <xdr:graphicFrame>
      <xdr:nvGraphicFramePr>
        <xdr:cNvPr id="1" name="Chart 1"/>
        <xdr:cNvGraphicFramePr/>
      </xdr:nvGraphicFramePr>
      <xdr:xfrm>
        <a:off x="6484680" y="828720"/>
        <a:ext cx="68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9</xdr:row>
      <xdr:rowOff>0</xdr:rowOff>
    </xdr:from>
    <xdr:to>
      <xdr:col>20</xdr:col>
      <xdr:colOff>4680</xdr:colOff>
      <xdr:row>19</xdr:row>
      <xdr:rowOff>77400</xdr:rowOff>
    </xdr:to>
    <xdr:graphicFrame>
      <xdr:nvGraphicFramePr>
        <xdr:cNvPr id="2" name="Chart 1"/>
        <xdr:cNvGraphicFramePr/>
      </xdr:nvGraphicFramePr>
      <xdr:xfrm>
        <a:off x="10972800" y="213372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14</xdr:col>
      <xdr:colOff>255960</xdr:colOff>
      <xdr:row>14</xdr:row>
      <xdr:rowOff>10800</xdr:rowOff>
    </xdr:to>
    <xdr:graphicFrame>
      <xdr:nvGraphicFramePr>
        <xdr:cNvPr id="3" name="Chart 1"/>
        <xdr:cNvGraphicFramePr/>
      </xdr:nvGraphicFramePr>
      <xdr:xfrm>
        <a:off x="10620360" y="82872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62</xdr:row>
      <xdr:rowOff>0</xdr:rowOff>
    </xdr:from>
    <xdr:to>
      <xdr:col>21</xdr:col>
      <xdr:colOff>364680</xdr:colOff>
      <xdr:row>70</xdr:row>
      <xdr:rowOff>189720</xdr:rowOff>
    </xdr:to>
    <xdr:graphicFrame>
      <xdr:nvGraphicFramePr>
        <xdr:cNvPr id="4" name="Chart 1"/>
        <xdr:cNvGraphicFramePr/>
      </xdr:nvGraphicFramePr>
      <xdr:xfrm>
        <a:off x="13439880" y="1719252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117</xdr:row>
      <xdr:rowOff>0</xdr:rowOff>
    </xdr:from>
    <xdr:to>
      <xdr:col>5</xdr:col>
      <xdr:colOff>886320</xdr:colOff>
      <xdr:row>135</xdr:row>
      <xdr:rowOff>170640</xdr:rowOff>
    </xdr:to>
    <xdr:graphicFrame>
      <xdr:nvGraphicFramePr>
        <xdr:cNvPr id="5" name="Chart 2"/>
        <xdr:cNvGraphicFramePr/>
      </xdr:nvGraphicFramePr>
      <xdr:xfrm>
        <a:off x="0" y="37204560"/>
        <a:ext cx="86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Queue_Capacity_LoadBalancing.xlsx" TargetMode="External"/><Relationship Id="rId2" Type="http://schemas.openxmlformats.org/officeDocument/2006/relationships/hyperlink" Target="Queue_Capacity_LoadBalancing.xlsx" TargetMode="External"/><Relationship Id="rId3" Type="http://schemas.openxmlformats.org/officeDocument/2006/relationships/hyperlink" Target="Queue_Capacity_LoadBalancing.xlsx" TargetMode="External"/><Relationship Id="rId4" Type="http://schemas.openxmlformats.org/officeDocument/2006/relationships/hyperlink" Target="Queue_Capacity_LoadBalancing.xlsx" TargetMode="External"/><Relationship Id="rId5" Type="http://schemas.openxmlformats.org/officeDocument/2006/relationships/hyperlink" Target="Queue_Capacity_LoadBalancing.xlsx" TargetMode="External"/><Relationship Id="rId6" Type="http://schemas.openxmlformats.org/officeDocument/2006/relationships/hyperlink" Target="Queue_Capacity_LoadBalancing.xlsx" TargetMode="External"/><Relationship Id="rId7" Type="http://schemas.openxmlformats.org/officeDocument/2006/relationships/hyperlink" Target="Queue_Capacity_LoadBalancing.xlsx" TargetMode="External"/><Relationship Id="rId8" Type="http://schemas.openxmlformats.org/officeDocument/2006/relationships/hyperlink" Target="Queue_Capacity_LoadBalancing.xlsx" TargetMode="External"/><Relationship Id="rId9" Type="http://schemas.openxmlformats.org/officeDocument/2006/relationships/hyperlink" Target="Queue_Capacity_LoadBalancing.xlsx" TargetMode="External"/><Relationship Id="rId10" Type="http://schemas.openxmlformats.org/officeDocument/2006/relationships/hyperlink" Target="Queue_Capacity_LoadBalancing.xlsx" TargetMode="External"/>
</Relationships>
</file>

<file path=xl/worksheets/_rels/sheet3.xml.rels><?xml version="1.0" encoding="UTF-8"?>
<Relationships xmlns="http://schemas.openxmlformats.org/package/2006/relationships"><Relationship Id="rId1" Type="http://schemas.openxmlformats.org/officeDocument/2006/relationships/hyperlink" Target="Queue_Capacity_LoadBalancing.xlsx" TargetMode="External"/><Relationship Id="rId2" Type="http://schemas.openxmlformats.org/officeDocument/2006/relationships/hyperlink" Target="Queue_Capacity_LoadBalancing.xlsx" TargetMode="External"/><Relationship Id="rId3" Type="http://schemas.openxmlformats.org/officeDocument/2006/relationships/hyperlink" Target="Queue_Capacity_LoadBalancing.xlsx" TargetMode="External"/><Relationship Id="rId4" Type="http://schemas.openxmlformats.org/officeDocument/2006/relationships/hyperlink" Target="Queue_Capacity_LoadBalancing.xlsx" TargetMode="External"/><Relationship Id="rId5" Type="http://schemas.openxmlformats.org/officeDocument/2006/relationships/hyperlink" Target="Queue_Capacity_LoadBalancing.xlsx"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72"/>
    <col collapsed="false" customWidth="true" hidden="false" outlineLevel="0" max="4" min="4" style="0" width="26"/>
  </cols>
  <sheetData>
    <row r="1" customFormat="false" ht="36" hidden="false" customHeight="true" outlineLevel="0" collapsed="false">
      <c r="A1" s="1" t="s">
        <v>0</v>
      </c>
      <c r="B1" s="2"/>
      <c r="C1" s="2"/>
      <c r="D1" s="2"/>
    </row>
    <row r="2" customFormat="false" ht="21.75" hidden="false" customHeight="true" outlineLevel="0" collapsed="false">
      <c r="A2" s="3" t="s">
        <v>1</v>
      </c>
    </row>
    <row r="3" customFormat="false" ht="7.5" hidden="false" customHeight="true" outlineLevel="0" collapsed="false"/>
    <row r="4" customFormat="false" ht="24.75" hidden="false" customHeight="true" outlineLevel="0" collapsed="false">
      <c r="B4" s="4" t="s">
        <v>2</v>
      </c>
    </row>
    <row r="5" customFormat="false" ht="37.5" hidden="false" customHeight="true" outlineLevel="0" collapsed="false">
      <c r="B5" s="5" t="s">
        <v>3</v>
      </c>
      <c r="C5" s="5"/>
      <c r="D5" s="5"/>
    </row>
    <row r="6" customFormat="false" ht="37.5" hidden="false" customHeight="true" outlineLevel="0" collapsed="false">
      <c r="B6" s="6" t="s">
        <v>4</v>
      </c>
      <c r="C6" s="6"/>
      <c r="D6" s="6"/>
    </row>
    <row r="8" customFormat="false" ht="24.75" hidden="false" customHeight="true" outlineLevel="0" collapsed="false">
      <c r="B8" s="4" t="s">
        <v>5</v>
      </c>
    </row>
    <row r="9" customFormat="false" ht="21.75" hidden="false" customHeight="true" outlineLevel="0" collapsed="false">
      <c r="B9" s="7" t="s">
        <v>6</v>
      </c>
      <c r="C9" s="7" t="s">
        <v>7</v>
      </c>
      <c r="D9" s="7" t="s">
        <v>8</v>
      </c>
    </row>
    <row r="10" customFormat="false" ht="21.75" hidden="false" customHeight="true" outlineLevel="0" collapsed="false">
      <c r="B10" s="8" t="s">
        <v>9</v>
      </c>
      <c r="C10" s="9" t="s">
        <v>10</v>
      </c>
      <c r="D10" s="10" t="s">
        <v>11</v>
      </c>
    </row>
    <row r="11" customFormat="false" ht="21.75" hidden="false" customHeight="true" outlineLevel="0" collapsed="false">
      <c r="B11" s="8" t="s">
        <v>12</v>
      </c>
      <c r="C11" s="9" t="s">
        <v>13</v>
      </c>
      <c r="D11" s="10" t="s">
        <v>14</v>
      </c>
    </row>
    <row r="12" customFormat="false" ht="21.75" hidden="false" customHeight="true" outlineLevel="0" collapsed="false">
      <c r="B12" s="8" t="s">
        <v>15</v>
      </c>
      <c r="C12" s="9" t="s">
        <v>16</v>
      </c>
      <c r="D12" s="10" t="s">
        <v>17</v>
      </c>
    </row>
    <row r="13" customFormat="false" ht="21.75" hidden="false" customHeight="true" outlineLevel="0" collapsed="false">
      <c r="B13" s="8" t="s">
        <v>18</v>
      </c>
      <c r="C13" s="9" t="s">
        <v>19</v>
      </c>
      <c r="D13" s="10" t="s">
        <v>20</v>
      </c>
    </row>
    <row r="14" customFormat="false" ht="21.75" hidden="false" customHeight="true" outlineLevel="0" collapsed="false">
      <c r="B14" s="8" t="s">
        <v>21</v>
      </c>
      <c r="C14" s="9" t="s">
        <v>22</v>
      </c>
      <c r="D14" s="10" t="s">
        <v>23</v>
      </c>
    </row>
    <row r="15" customFormat="false" ht="21.75" hidden="false" customHeight="true" outlineLevel="0" collapsed="false">
      <c r="B15" s="8" t="s">
        <v>24</v>
      </c>
      <c r="C15" s="9" t="s">
        <v>25</v>
      </c>
      <c r="D15" s="10" t="s">
        <v>26</v>
      </c>
    </row>
    <row r="16" customFormat="false" ht="21.75" hidden="false" customHeight="true" outlineLevel="0" collapsed="false">
      <c r="B16" s="8" t="s">
        <v>27</v>
      </c>
      <c r="C16" s="9" t="s">
        <v>28</v>
      </c>
      <c r="D16" s="10" t="s">
        <v>29</v>
      </c>
    </row>
    <row r="17" customFormat="false" ht="21.75" hidden="false" customHeight="true" outlineLevel="0" collapsed="false">
      <c r="B17" s="8" t="s">
        <v>30</v>
      </c>
      <c r="C17" s="9" t="s">
        <v>31</v>
      </c>
      <c r="D17" s="10" t="s">
        <v>32</v>
      </c>
    </row>
    <row r="18" customFormat="false" ht="21.75" hidden="false" customHeight="true" outlineLevel="0" collapsed="false">
      <c r="B18" s="8" t="s">
        <v>33</v>
      </c>
      <c r="C18" s="9" t="s">
        <v>34</v>
      </c>
      <c r="D18" s="10" t="s">
        <v>35</v>
      </c>
    </row>
    <row r="19" customFormat="false" ht="21.75" hidden="false" customHeight="true" outlineLevel="0" collapsed="false">
      <c r="B19" s="8" t="s">
        <v>36</v>
      </c>
      <c r="C19" s="9" t="s">
        <v>37</v>
      </c>
      <c r="D19" s="10" t="s">
        <v>38</v>
      </c>
    </row>
    <row r="21" customFormat="false" ht="24.75" hidden="false" customHeight="true" outlineLevel="0" collapsed="false">
      <c r="B21" s="4" t="s">
        <v>39</v>
      </c>
    </row>
    <row r="22" customFormat="false" ht="21.75" hidden="false" customHeight="true" outlineLevel="0" collapsed="false">
      <c r="B22" s="9" t="s">
        <v>40</v>
      </c>
      <c r="C22" s="11" t="str">
        <f aca="false">Capacity!B36</f>
        <v>Serving stations</v>
      </c>
      <c r="D22" s="11"/>
    </row>
    <row r="23" customFormat="false" ht="37.5" hidden="false" customHeight="true" outlineLevel="0" collapsed="false">
      <c r="B23" s="9" t="s">
        <v>41</v>
      </c>
      <c r="C23" s="11" t="str">
        <f aca="false">TEXT('Q2 Serving stations'!C6,"0%")&amp;" busy: over capacity"</f>
        <v>147% busy: over capacity</v>
      </c>
      <c r="D23" s="11"/>
    </row>
    <row r="24" customFormat="false" ht="37.5" hidden="false" customHeight="true" outlineLevel="0" collapsed="false">
      <c r="B24" s="9" t="s">
        <v>42</v>
      </c>
      <c r="C24" s="11" t="str">
        <f aca="false">'Q2 Serving stations'!D6&amp;" → "&amp;'Q2 Serving stations'!D8</f>
        <v>6 → 4</v>
      </c>
      <c r="D24" s="11"/>
    </row>
    <row r="25" customFormat="false" ht="21.75" hidden="false" customHeight="true" outlineLevel="0" collapsed="false">
      <c r="B25" s="9" t="s">
        <v>43</v>
      </c>
      <c r="C25" s="11" t="str">
        <f aca="false">TEXT(Capacity!B22,"0.0")&amp;" min per diner · "&amp;TEXT(Capacity!B23,"0.0")&amp;" diners per seat per hour"</f>
        <v>16.2 min per diner · 3.7 diners per seat per hour</v>
      </c>
      <c r="D25" s="11"/>
    </row>
    <row r="26" customFormat="false" ht="21.75" hidden="false" customHeight="true" outlineLevel="0" collapsed="false">
      <c r="B26" s="9" t="s">
        <v>44</v>
      </c>
      <c r="C26" s="11" t="str">
        <f aca="false">TEXT(Capacity!B29,"0%")&amp;" of 900 / "&amp;TEXT(Capacity!C29,"0%")&amp;" of 492"</f>
        <v>38% of 900 / 26% of 492</v>
      </c>
      <c r="D26" s="11"/>
    </row>
    <row r="27" customFormat="false" ht="37.5" hidden="false" customHeight="true" outlineLevel="0" collapsed="false">
      <c r="B27" s="9" t="s">
        <v>45</v>
      </c>
      <c r="C27" s="11" t="str">
        <f aca="false">TEXT('Load Balancing'!B64,"0.0")&amp;" → "&amp;TEXT('Load Balancing'!B65,"0.0")&amp;" → "&amp;TEXT('Load Balancing'!B71,"0.0")&amp;" min"</f>
        <v>4.3 → 2.9 → 0.8 min</v>
      </c>
      <c r="D27" s="11"/>
    </row>
    <row r="28" customFormat="false" ht="21.75" hidden="false" customHeight="true" outlineLevel="0" collapsed="false">
      <c r="B28" s="9" t="s">
        <v>46</v>
      </c>
      <c r="C28" s="11" t="str">
        <f aca="false">Checks!C16</f>
        <v>ALL OK</v>
      </c>
      <c r="D28" s="11"/>
    </row>
    <row r="30" customFormat="false" ht="24.75" hidden="false" customHeight="true" outlineLevel="0" collapsed="false">
      <c r="B30" s="4" t="s">
        <v>47</v>
      </c>
    </row>
    <row r="31" customFormat="false" ht="21.75" hidden="false" customHeight="true" outlineLevel="0" collapsed="false">
      <c r="B31" s="12" t="s">
        <v>48</v>
      </c>
      <c r="C31" s="13" t="s">
        <v>49</v>
      </c>
    </row>
    <row r="32" customFormat="false" ht="21.75" hidden="false" customHeight="true" outlineLevel="0" collapsed="false">
      <c r="B32" s="14" t="s">
        <v>50</v>
      </c>
      <c r="C32" s="13" t="s">
        <v>51</v>
      </c>
    </row>
    <row r="33" customFormat="false" ht="21.75" hidden="false" customHeight="true" outlineLevel="0" collapsed="false">
      <c r="B33" s="15" t="s">
        <v>52</v>
      </c>
      <c r="C33" s="13" t="s">
        <v>53</v>
      </c>
    </row>
    <row r="34" customFormat="false" ht="21.75" hidden="false" customHeight="true" outlineLevel="0" collapsed="false">
      <c r="B34" s="16" t="s">
        <v>54</v>
      </c>
      <c r="C34" s="13" t="s">
        <v>55</v>
      </c>
    </row>
    <row r="35" customFormat="false" ht="21.75" hidden="false" customHeight="true" outlineLevel="0" collapsed="false">
      <c r="B35" s="17" t="s">
        <v>56</v>
      </c>
      <c r="C35" s="13" t="s">
        <v>57</v>
      </c>
    </row>
    <row r="36" customFormat="false" ht="21.75" hidden="false" customHeight="true" outlineLevel="0" collapsed="false">
      <c r="B36" s="18" t="s">
        <v>58</v>
      </c>
      <c r="C36" s="13" t="s">
        <v>59</v>
      </c>
    </row>
    <row r="38" customFormat="false" ht="21.75" hidden="false" customHeight="true" outlineLevel="0" collapsed="false">
      <c r="B38" s="19" t="s">
        <v>60</v>
      </c>
      <c r="C38" s="19"/>
      <c r="D38" s="19"/>
    </row>
  </sheetData>
  <mergeCells count="10">
    <mergeCell ref="B5:D5"/>
    <mergeCell ref="B6:D6"/>
    <mergeCell ref="C22:D22"/>
    <mergeCell ref="C23:D23"/>
    <mergeCell ref="C24:D24"/>
    <mergeCell ref="C25:D25"/>
    <mergeCell ref="C26:D26"/>
    <mergeCell ref="C27:D27"/>
    <mergeCell ref="C28:D28"/>
    <mergeCell ref="B38:D38"/>
  </mergeCells>
  <hyperlinks>
    <hyperlink ref="B10" r:id="rId1" location="'Assumptions'!A1" display="Assumptions"/>
    <hyperlink ref="B11" r:id="rId2" location="'Variables'!A1" display="Variables"/>
    <hyperlink ref="B12" r:id="rId3" location="'Q1%20Scanner'!A1" display="Q1 Scanner"/>
    <hyperlink ref="B13" r:id="rId4" location="'Q2%20Serving%20stations'!A1" display="Q2 Serving stations"/>
    <hyperlink ref="B14" r:id="rId5" location="'Q3%20Seats%20&amp;%20disposal'!A1" display="Q3 Seats &amp; disposal"/>
    <hyperlink ref="B15" r:id="rId6" location="'Littles%20Law'!A1" display="Littles Law"/>
    <hyperlink ref="B16" r:id="rId7" location="'Capacity'!A1" display="Capacity"/>
    <hyperlink ref="B17" r:id="rId8" location="'Load%20Balancing'!A1" display="Load Balancing"/>
    <hyperlink ref="B18" r:id="rId9" location="'Sim%20Data'!A1" display="Sim Data"/>
    <hyperlink ref="B19" r:id="rId10" location="'Checks'!A1" display="Checks"/>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E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66"/>
  </cols>
  <sheetData>
    <row r="1" customFormat="false" ht="36" hidden="false" customHeight="true" outlineLevel="0" collapsed="false">
      <c r="A1" s="1" t="s">
        <v>9</v>
      </c>
      <c r="B1" s="2"/>
      <c r="C1" s="2"/>
      <c r="D1" s="2"/>
      <c r="E1" s="2"/>
    </row>
    <row r="2" customFormat="false" ht="21.75" hidden="false" customHeight="true" outlineLevel="0" collapsed="false">
      <c r="A2" s="3" t="s">
        <v>61</v>
      </c>
    </row>
    <row r="3" customFormat="false" ht="7.5" hidden="false" customHeight="true" outlineLevel="0" collapsed="false"/>
    <row r="4" customFormat="false" ht="21.75" hidden="false" customHeight="true" outlineLevel="0" collapsed="false">
      <c r="A4" s="7" t="s">
        <v>62</v>
      </c>
      <c r="B4" s="7" t="s">
        <v>63</v>
      </c>
      <c r="C4" s="7" t="s">
        <v>64</v>
      </c>
      <c r="D4" s="7" t="s">
        <v>65</v>
      </c>
      <c r="E4" s="7" t="s">
        <v>66</v>
      </c>
    </row>
    <row r="5" customFormat="false" ht="24.75" hidden="false" customHeight="true" outlineLevel="0" collapsed="false">
      <c r="A5" s="4" t="s">
        <v>67</v>
      </c>
    </row>
    <row r="6" customFormat="false" ht="21.75" hidden="false" customHeight="true" outlineLevel="0" collapsed="false">
      <c r="A6" s="13" t="s">
        <v>68</v>
      </c>
      <c r="B6" s="20" t="n">
        <v>2960</v>
      </c>
      <c r="C6" s="13" t="s">
        <v>69</v>
      </c>
      <c r="D6" s="21" t="s">
        <v>70</v>
      </c>
      <c r="E6" s="22" t="s">
        <v>71</v>
      </c>
    </row>
    <row r="7" customFormat="false" ht="21.75" hidden="false" customHeight="true" outlineLevel="0" collapsed="false">
      <c r="A7" s="13" t="s">
        <v>72</v>
      </c>
      <c r="B7" s="23" t="n">
        <v>0.797</v>
      </c>
      <c r="C7" s="13" t="s">
        <v>73</v>
      </c>
      <c r="D7" s="21" t="s">
        <v>70</v>
      </c>
      <c r="E7" s="22" t="s">
        <v>74</v>
      </c>
    </row>
    <row r="8" customFormat="false" ht="21.75" hidden="false" customHeight="true" outlineLevel="0" collapsed="false">
      <c r="A8" s="13" t="s">
        <v>75</v>
      </c>
      <c r="B8" s="24" t="n">
        <v>180</v>
      </c>
      <c r="C8" s="13" t="s">
        <v>76</v>
      </c>
      <c r="D8" s="21" t="s">
        <v>70</v>
      </c>
      <c r="E8" s="22" t="s">
        <v>77</v>
      </c>
    </row>
    <row r="9" customFormat="false" ht="21.75" hidden="false" customHeight="true" outlineLevel="0" collapsed="false">
      <c r="A9" s="13" t="s">
        <v>78</v>
      </c>
      <c r="B9" s="25" t="n">
        <v>17</v>
      </c>
      <c r="C9" s="13" t="s">
        <v>76</v>
      </c>
      <c r="D9" s="26" t="s">
        <v>79</v>
      </c>
      <c r="E9" s="22" t="s">
        <v>80</v>
      </c>
    </row>
    <row r="10" customFormat="false" ht="21.75" hidden="false" customHeight="true" outlineLevel="0" collapsed="false">
      <c r="A10" s="13" t="s">
        <v>81</v>
      </c>
      <c r="B10" s="25" t="n">
        <v>35</v>
      </c>
      <c r="C10" s="13" t="s">
        <v>76</v>
      </c>
      <c r="D10" s="26" t="s">
        <v>79</v>
      </c>
      <c r="E10" s="22" t="s">
        <v>82</v>
      </c>
    </row>
    <row r="11" customFormat="false" ht="37.5" hidden="false" customHeight="true" outlineLevel="0" collapsed="false">
      <c r="A11" s="13" t="s">
        <v>83</v>
      </c>
      <c r="B11" s="25" t="n">
        <v>20</v>
      </c>
      <c r="C11" s="13" t="s">
        <v>76</v>
      </c>
      <c r="D11" s="26" t="s">
        <v>84</v>
      </c>
      <c r="E11" s="22" t="s">
        <v>85</v>
      </c>
    </row>
    <row r="12" customFormat="false" ht="21.75" hidden="false" customHeight="true" outlineLevel="0" collapsed="false">
      <c r="A12" s="13" t="s">
        <v>86</v>
      </c>
      <c r="B12" s="25" t="n">
        <v>20</v>
      </c>
      <c r="C12" s="13" t="s">
        <v>76</v>
      </c>
      <c r="D12" s="26" t="s">
        <v>84</v>
      </c>
      <c r="E12" s="22" t="s">
        <v>82</v>
      </c>
    </row>
    <row r="14" customFormat="false" ht="24.75" hidden="false" customHeight="true" outlineLevel="0" collapsed="false">
      <c r="A14" s="4" t="s">
        <v>87</v>
      </c>
    </row>
    <row r="15" customFormat="false" ht="21.75" hidden="false" customHeight="true" outlineLevel="0" collapsed="false">
      <c r="A15" s="13" t="s">
        <v>88</v>
      </c>
      <c r="B15" s="24" t="n">
        <v>1</v>
      </c>
      <c r="C15" s="13" t="s">
        <v>89</v>
      </c>
      <c r="D15" s="21" t="s">
        <v>70</v>
      </c>
      <c r="E15" s="22" t="s">
        <v>90</v>
      </c>
    </row>
    <row r="16" customFormat="false" ht="21.75" hidden="false" customHeight="true" outlineLevel="0" collapsed="false">
      <c r="A16" s="13" t="s">
        <v>91</v>
      </c>
      <c r="B16" s="27" t="n">
        <v>2</v>
      </c>
      <c r="C16" s="13" t="s">
        <v>92</v>
      </c>
      <c r="D16" s="26" t="s">
        <v>93</v>
      </c>
      <c r="E16" s="22" t="s">
        <v>94</v>
      </c>
    </row>
    <row r="17" customFormat="false" ht="21.75" hidden="false" customHeight="true" outlineLevel="0" collapsed="false">
      <c r="A17" s="13" t="s">
        <v>95</v>
      </c>
      <c r="B17" s="25" t="n">
        <v>35.5</v>
      </c>
      <c r="C17" s="13" t="s">
        <v>92</v>
      </c>
      <c r="D17" s="26" t="s">
        <v>79</v>
      </c>
      <c r="E17" s="22" t="s">
        <v>96</v>
      </c>
    </row>
    <row r="19" customFormat="false" ht="24.75" hidden="false" customHeight="true" outlineLevel="0" collapsed="false">
      <c r="A19" s="4" t="s">
        <v>97</v>
      </c>
    </row>
    <row r="20" customFormat="false" ht="21.75" hidden="false" customHeight="true" outlineLevel="0" collapsed="false">
      <c r="A20" s="13" t="s">
        <v>98</v>
      </c>
      <c r="B20" s="24" t="n">
        <v>2</v>
      </c>
      <c r="C20" s="13" t="s">
        <v>99</v>
      </c>
      <c r="D20" s="21" t="s">
        <v>70</v>
      </c>
      <c r="E20" s="22" t="s">
        <v>90</v>
      </c>
    </row>
    <row r="21" customFormat="false" ht="21.75" hidden="false" customHeight="true" outlineLevel="0" collapsed="false">
      <c r="A21" s="13" t="s">
        <v>100</v>
      </c>
      <c r="B21" s="27" t="n">
        <v>10</v>
      </c>
      <c r="C21" s="13" t="s">
        <v>101</v>
      </c>
      <c r="D21" s="26" t="s">
        <v>93</v>
      </c>
      <c r="E21" s="22" t="s">
        <v>102</v>
      </c>
    </row>
    <row r="22" customFormat="false" ht="21.75" hidden="false" customHeight="true" outlineLevel="0" collapsed="false">
      <c r="A22" s="13" t="s">
        <v>103</v>
      </c>
      <c r="B22" s="27" t="n">
        <v>0.6</v>
      </c>
      <c r="C22" s="13" t="s">
        <v>104</v>
      </c>
      <c r="D22" s="26" t="s">
        <v>93</v>
      </c>
      <c r="E22" s="22" t="s">
        <v>105</v>
      </c>
    </row>
    <row r="23" customFormat="false" ht="37.5" hidden="false" customHeight="true" outlineLevel="0" collapsed="false">
      <c r="A23" s="13" t="s">
        <v>106</v>
      </c>
      <c r="B23" s="25" t="n">
        <v>84</v>
      </c>
      <c r="C23" s="13" t="s">
        <v>92</v>
      </c>
      <c r="D23" s="26" t="s">
        <v>79</v>
      </c>
      <c r="E23" s="22" t="s">
        <v>107</v>
      </c>
    </row>
    <row r="25" customFormat="false" ht="24.75" hidden="false" customHeight="true" outlineLevel="0" collapsed="false">
      <c r="A25" s="4" t="s">
        <v>108</v>
      </c>
    </row>
    <row r="26" customFormat="false" ht="21.75" hidden="false" customHeight="true" outlineLevel="0" collapsed="false">
      <c r="A26" s="13" t="s">
        <v>109</v>
      </c>
      <c r="B26" s="20" t="n">
        <v>900</v>
      </c>
      <c r="C26" s="13" t="s">
        <v>110</v>
      </c>
      <c r="D26" s="21" t="s">
        <v>70</v>
      </c>
      <c r="E26" s="22" t="s">
        <v>111</v>
      </c>
    </row>
    <row r="27" customFormat="false" ht="21.75" hidden="false" customHeight="true" outlineLevel="0" collapsed="false">
      <c r="A27" s="13" t="s">
        <v>112</v>
      </c>
      <c r="B27" s="20" t="n">
        <v>492</v>
      </c>
      <c r="C27" s="13" t="s">
        <v>110</v>
      </c>
      <c r="D27" s="21" t="s">
        <v>70</v>
      </c>
      <c r="E27" s="22" t="s">
        <v>111</v>
      </c>
    </row>
    <row r="28" customFormat="false" ht="21.75" hidden="false" customHeight="true" outlineLevel="0" collapsed="false">
      <c r="A28" s="13" t="s">
        <v>113</v>
      </c>
      <c r="B28" s="25" t="n">
        <v>14</v>
      </c>
      <c r="C28" s="13" t="s">
        <v>76</v>
      </c>
      <c r="D28" s="26" t="s">
        <v>79</v>
      </c>
      <c r="E28" s="22" t="s">
        <v>114</v>
      </c>
    </row>
    <row r="29" customFormat="false" ht="21.75" hidden="false" customHeight="true" outlineLevel="0" collapsed="false">
      <c r="A29" s="13" t="s">
        <v>115</v>
      </c>
      <c r="B29" s="25" t="n">
        <v>18</v>
      </c>
      <c r="C29" s="13" t="s">
        <v>76</v>
      </c>
      <c r="D29" s="26" t="s">
        <v>79</v>
      </c>
      <c r="E29" s="22" t="s">
        <v>82</v>
      </c>
    </row>
    <row r="30" customFormat="false" ht="37.5" hidden="false" customHeight="true" outlineLevel="0" collapsed="false">
      <c r="A30" s="13" t="s">
        <v>116</v>
      </c>
      <c r="B30" s="27" t="n">
        <v>0.2</v>
      </c>
      <c r="C30" s="13" t="s">
        <v>76</v>
      </c>
      <c r="D30" s="26" t="s">
        <v>93</v>
      </c>
      <c r="E30" s="22" t="s">
        <v>117</v>
      </c>
    </row>
    <row r="32" customFormat="false" ht="24.75" hidden="false" customHeight="true" outlineLevel="0" collapsed="false">
      <c r="A32" s="4" t="s">
        <v>118</v>
      </c>
    </row>
    <row r="33" customFormat="false" ht="21.75" hidden="false" customHeight="true" outlineLevel="0" collapsed="false">
      <c r="A33" s="13" t="s">
        <v>119</v>
      </c>
      <c r="B33" s="27" t="n">
        <v>1</v>
      </c>
      <c r="C33" s="13" t="s">
        <v>76</v>
      </c>
      <c r="D33" s="26" t="s">
        <v>79</v>
      </c>
      <c r="E33" s="22" t="s">
        <v>120</v>
      </c>
    </row>
    <row r="34" customFormat="false" ht="21.75" hidden="false" customHeight="true" outlineLevel="0" collapsed="false">
      <c r="A34" s="13" t="s">
        <v>121</v>
      </c>
      <c r="B34" s="27" t="n">
        <v>2</v>
      </c>
      <c r="C34" s="13" t="s">
        <v>76</v>
      </c>
      <c r="D34" s="26" t="s">
        <v>79</v>
      </c>
      <c r="E34" s="22" t="s">
        <v>82</v>
      </c>
    </row>
    <row r="36" customFormat="false" ht="24.75" hidden="false" customHeight="true" outlineLevel="0" collapsed="false">
      <c r="A36" s="4" t="s">
        <v>122</v>
      </c>
    </row>
    <row r="37" customFormat="false" ht="37.5" hidden="false" customHeight="true" outlineLevel="0" collapsed="false">
      <c r="A37" s="13" t="s">
        <v>123</v>
      </c>
      <c r="B37" s="28" t="n">
        <v>0.6</v>
      </c>
      <c r="C37" s="13" t="s">
        <v>73</v>
      </c>
      <c r="D37" s="26" t="s">
        <v>93</v>
      </c>
      <c r="E37" s="22" t="s">
        <v>124</v>
      </c>
    </row>
    <row r="38" customFormat="false" ht="21.75" hidden="false" customHeight="true" outlineLevel="0" collapsed="false">
      <c r="A38" s="13" t="s">
        <v>125</v>
      </c>
      <c r="B38" s="29" t="n">
        <v>0.5</v>
      </c>
      <c r="C38" s="13" t="s">
        <v>76</v>
      </c>
      <c r="D38" s="26" t="s">
        <v>126</v>
      </c>
      <c r="E38" s="22" t="s">
        <v>127</v>
      </c>
    </row>
    <row r="39" customFormat="false" ht="21.75" hidden="false" customHeight="true" outlineLevel="0" collapsed="false">
      <c r="A39" s="13" t="s">
        <v>128</v>
      </c>
      <c r="B39" s="29" t="n">
        <v>2</v>
      </c>
      <c r="C39" s="13" t="s">
        <v>76</v>
      </c>
      <c r="D39" s="26" t="s">
        <v>129</v>
      </c>
      <c r="E39" s="22" t="s">
        <v>130</v>
      </c>
    </row>
    <row r="40" customFormat="false" ht="37.5" hidden="false" customHeight="true" outlineLevel="0" collapsed="false">
      <c r="A40" s="13" t="s">
        <v>131</v>
      </c>
      <c r="B40" s="28" t="n">
        <v>0.25</v>
      </c>
      <c r="C40" s="13" t="s">
        <v>73</v>
      </c>
      <c r="D40" s="26" t="s">
        <v>93</v>
      </c>
      <c r="E40" s="22" t="s">
        <v>132</v>
      </c>
    </row>
    <row r="42" customFormat="false" ht="24.75" hidden="false" customHeight="true" outlineLevel="0" collapsed="false">
      <c r="A42" s="4" t="s">
        <v>133</v>
      </c>
    </row>
    <row r="43" customFormat="false" ht="21.75" hidden="false" customHeight="true" outlineLevel="0" collapsed="false">
      <c r="A43" s="13" t="s">
        <v>134</v>
      </c>
      <c r="B43" s="24" t="n">
        <v>20</v>
      </c>
      <c r="C43" s="13" t="s">
        <v>135</v>
      </c>
      <c r="D43" s="26" t="s">
        <v>136</v>
      </c>
      <c r="E43" s="22" t="s">
        <v>137</v>
      </c>
    </row>
    <row r="44" customFormat="false" ht="21.75" hidden="false" customHeight="true" outlineLevel="0" collapsed="false">
      <c r="A44" s="13" t="s">
        <v>138</v>
      </c>
      <c r="B44" s="24" t="n">
        <v>10</v>
      </c>
      <c r="C44" s="13" t="s">
        <v>76</v>
      </c>
      <c r="D44" s="26" t="s">
        <v>136</v>
      </c>
      <c r="E44" s="22" t="s">
        <v>139</v>
      </c>
    </row>
    <row r="47" customFormat="false" ht="24.75" hidden="false" customHeight="true" outlineLevel="0" collapsed="false">
      <c r="A47" s="4" t="s">
        <v>140</v>
      </c>
    </row>
    <row r="48" customFormat="false" ht="37.5" hidden="false" customHeight="true" outlineLevel="0" collapsed="false">
      <c r="A48" s="7" t="s">
        <v>141</v>
      </c>
      <c r="B48" s="7" t="s">
        <v>142</v>
      </c>
      <c r="C48" s="7" t="s">
        <v>143</v>
      </c>
      <c r="D48" s="7" t="s">
        <v>144</v>
      </c>
      <c r="E48" s="7" t="s">
        <v>65</v>
      </c>
    </row>
    <row r="49" customFormat="false" ht="21.75" hidden="false" customHeight="true" outlineLevel="0" collapsed="false">
      <c r="A49" s="13" t="s">
        <v>145</v>
      </c>
      <c r="B49" s="20" t="n">
        <v>569</v>
      </c>
      <c r="C49" s="30" t="s">
        <v>146</v>
      </c>
      <c r="D49" s="30" t="s">
        <v>147</v>
      </c>
      <c r="E49" s="10" t="s">
        <v>148</v>
      </c>
    </row>
    <row r="50" customFormat="false" ht="21.75" hidden="false" customHeight="true" outlineLevel="0" collapsed="false">
      <c r="A50" s="13" t="s">
        <v>149</v>
      </c>
      <c r="B50" s="20" t="n">
        <v>465</v>
      </c>
      <c r="C50" s="30" t="s">
        <v>147</v>
      </c>
      <c r="D50" s="30" t="s">
        <v>150</v>
      </c>
      <c r="E50" s="10" t="s">
        <v>151</v>
      </c>
    </row>
    <row r="51" customFormat="false" ht="21.75" hidden="false" customHeight="true" outlineLevel="0" collapsed="false">
      <c r="A51" s="13" t="s">
        <v>152</v>
      </c>
      <c r="B51" s="20" t="n">
        <v>799</v>
      </c>
      <c r="C51" s="30" t="s">
        <v>153</v>
      </c>
      <c r="D51" s="30" t="s">
        <v>150</v>
      </c>
      <c r="E51" s="10" t="s">
        <v>148</v>
      </c>
    </row>
    <row r="52" customFormat="false" ht="21.75" hidden="false" customHeight="true" outlineLevel="0" collapsed="false">
      <c r="A52" s="13" t="s">
        <v>154</v>
      </c>
      <c r="B52" s="20" t="n">
        <v>517</v>
      </c>
      <c r="C52" s="30" t="s">
        <v>155</v>
      </c>
      <c r="D52" s="30" t="s">
        <v>156</v>
      </c>
      <c r="E52" s="10" t="s">
        <v>148</v>
      </c>
    </row>
    <row r="53" customFormat="false" ht="21.75" hidden="false" customHeight="true" outlineLevel="0" collapsed="false">
      <c r="A53" s="13" t="s">
        <v>157</v>
      </c>
      <c r="B53" s="20" t="n">
        <v>423</v>
      </c>
      <c r="C53" s="30" t="s">
        <v>146</v>
      </c>
      <c r="D53" s="30" t="s">
        <v>147</v>
      </c>
      <c r="E53" s="10" t="s">
        <v>148</v>
      </c>
    </row>
    <row r="54" customFormat="false" ht="21.75" hidden="false" customHeight="true" outlineLevel="0" collapsed="false">
      <c r="A54" s="13" t="s">
        <v>158</v>
      </c>
      <c r="B54" s="20" t="n">
        <v>94</v>
      </c>
      <c r="C54" s="30" t="s">
        <v>159</v>
      </c>
      <c r="D54" s="30" t="s">
        <v>160</v>
      </c>
      <c r="E54" s="10" t="s">
        <v>148</v>
      </c>
    </row>
    <row r="55" customFormat="false" ht="21.75" hidden="false" customHeight="true" outlineLevel="0" collapsed="false">
      <c r="A55" s="13" t="s">
        <v>161</v>
      </c>
      <c r="B55" s="20" t="n">
        <v>47</v>
      </c>
      <c r="C55" s="30" t="s">
        <v>162</v>
      </c>
      <c r="D55" s="30" t="s">
        <v>163</v>
      </c>
      <c r="E55" s="10" t="s">
        <v>148</v>
      </c>
    </row>
    <row r="56" customFormat="false" ht="21.75" hidden="false" customHeight="true" outlineLevel="0" collapsed="false">
      <c r="A56" s="13" t="s">
        <v>164</v>
      </c>
      <c r="B56" s="20" t="n">
        <v>47</v>
      </c>
      <c r="C56" s="30" t="s">
        <v>155</v>
      </c>
      <c r="D56" s="30" t="s">
        <v>156</v>
      </c>
      <c r="E56" s="10" t="s">
        <v>165</v>
      </c>
    </row>
  </sheetData>
  <dataValidations count="1">
    <dataValidation allowBlank="false" error="Type one plain number, e.g. 12 (not &quot;12-15&quot; or &quot;12 min&quot;). Ranges have separate low and high rows." errorStyle="stop" errorTitle="Numbers only" operator="greaterThanOrEqual" showDropDown="false" showErrorMessage="true" showInputMessage="false" sqref="B6:B12 B15:B17 B20:B23 B26:B30 B33:B34 B37:B40 B43:B44" type="decimal">
      <formula1>0</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58"/>
    <col collapsed="false" customWidth="true" hidden="false" outlineLevel="0" max="4" min="4" style="0" width="32"/>
    <col collapsed="false" customWidth="true" hidden="false" outlineLevel="0" max="5" min="5" style="0" width="11"/>
    <col collapsed="false" customWidth="true" hidden="false" outlineLevel="0" max="6" min="6" style="0" width="14"/>
    <col collapsed="false" customWidth="true" hidden="false" outlineLevel="0" max="7" min="7" style="0" width="30"/>
  </cols>
  <sheetData>
    <row r="1" customFormat="false" ht="36" hidden="false" customHeight="true" outlineLevel="0" collapsed="false">
      <c r="A1" s="1" t="s">
        <v>12</v>
      </c>
      <c r="B1" s="2"/>
      <c r="C1" s="2"/>
      <c r="D1" s="2"/>
      <c r="E1" s="2"/>
      <c r="F1" s="2"/>
      <c r="G1" s="2"/>
    </row>
    <row r="2" customFormat="false" ht="21.75" hidden="false" customHeight="true" outlineLevel="0" collapsed="false">
      <c r="A2" s="3" t="s">
        <v>166</v>
      </c>
    </row>
    <row r="3" customFormat="false" ht="7.5" hidden="false" customHeight="true" outlineLevel="0" collapsed="false"/>
    <row r="4" customFormat="false" ht="24.75" hidden="false" customHeight="true" outlineLevel="0" collapsed="false">
      <c r="A4" s="4" t="s">
        <v>167</v>
      </c>
    </row>
    <row r="5" customFormat="false" ht="21.75" hidden="false" customHeight="true" outlineLevel="0" collapsed="false">
      <c r="A5" s="19" t="s">
        <v>168</v>
      </c>
      <c r="B5" s="19"/>
      <c r="C5" s="19"/>
      <c r="D5" s="19"/>
      <c r="E5" s="19"/>
      <c r="F5" s="19"/>
      <c r="G5" s="19"/>
    </row>
    <row r="6" customFormat="false" ht="21.75" hidden="false" customHeight="true" outlineLevel="0" collapsed="false">
      <c r="A6" s="7" t="s">
        <v>169</v>
      </c>
      <c r="B6" s="7" t="s">
        <v>170</v>
      </c>
      <c r="C6" s="7" t="s">
        <v>171</v>
      </c>
      <c r="D6" s="7" t="s">
        <v>172</v>
      </c>
      <c r="E6" s="7" t="s">
        <v>63</v>
      </c>
      <c r="F6" s="7" t="s">
        <v>64</v>
      </c>
      <c r="G6" s="7" t="s">
        <v>173</v>
      </c>
    </row>
    <row r="7" customFormat="false" ht="37.5" hidden="false" customHeight="true" outlineLevel="0" collapsed="false">
      <c r="A7" s="31" t="s">
        <v>174</v>
      </c>
      <c r="B7" s="13" t="s">
        <v>175</v>
      </c>
      <c r="C7" s="9" t="s">
        <v>176</v>
      </c>
      <c r="D7" s="32" t="s">
        <v>177</v>
      </c>
      <c r="E7" s="33" t="n">
        <f aca="false">'Sim Data'!$E$27</f>
        <v>18.49</v>
      </c>
      <c r="F7" s="13" t="s">
        <v>101</v>
      </c>
      <c r="G7" s="13" t="str">
        <f aca="false">A7&amp;" = "&amp;IF(ISNUMBER(E7),TEXT(E7,"0.0"),E7)&amp;IF(F7="",""," "&amp;F7)</f>
        <v>λ = 18.5 students/min</v>
      </c>
    </row>
    <row r="8" customFormat="false" ht="21.75" hidden="false" customHeight="true" outlineLevel="0" collapsed="false">
      <c r="A8" s="31" t="s">
        <v>178</v>
      </c>
      <c r="B8" s="13" t="s">
        <v>179</v>
      </c>
      <c r="C8" s="9" t="s">
        <v>180</v>
      </c>
      <c r="D8" s="32" t="s">
        <v>181</v>
      </c>
      <c r="E8" s="34" t="n">
        <f aca="false">'Sim Data'!$G$27</f>
        <v>0.1004</v>
      </c>
      <c r="F8" s="13" t="s">
        <v>182</v>
      </c>
      <c r="G8" s="13" t="str">
        <f aca="false">A8&amp;" = "&amp;IF(ISNUMBER(E8),TEXT(E8,"0.00"),E8)&amp;IF(F8="",""," "&amp;F8)</f>
        <v>Ws = 0.10 min</v>
      </c>
    </row>
    <row r="9" customFormat="false" ht="21.75" hidden="false" customHeight="true" outlineLevel="0" collapsed="false">
      <c r="A9" s="31" t="s">
        <v>183</v>
      </c>
      <c r="B9" s="13" t="s">
        <v>100</v>
      </c>
      <c r="C9" s="9" t="s">
        <v>184</v>
      </c>
      <c r="D9" s="32" t="s">
        <v>185</v>
      </c>
      <c r="E9" s="35" t="n">
        <f aca="false">1/E8</f>
        <v>9.9601593625498</v>
      </c>
      <c r="F9" s="13" t="s">
        <v>101</v>
      </c>
      <c r="G9" s="13" t="str">
        <f aca="false">A9&amp;" = "&amp;IF(ISNUMBER(E9),TEXT(E9,"0.0"),E9)&amp;IF(F9="",""," "&amp;F9)</f>
        <v>μ = 10.0 students/min</v>
      </c>
    </row>
    <row r="10" customFormat="false" ht="21.75" hidden="false" customHeight="true" outlineLevel="0" collapsed="false">
      <c r="A10" s="31" t="s">
        <v>186</v>
      </c>
      <c r="B10" s="13" t="s">
        <v>187</v>
      </c>
      <c r="C10" s="9" t="s">
        <v>188</v>
      </c>
      <c r="D10" s="32" t="s">
        <v>189</v>
      </c>
      <c r="E10" s="36" t="n">
        <f aca="false">Assumptions!$B$20</f>
        <v>2</v>
      </c>
      <c r="F10" s="13" t="s">
        <v>99</v>
      </c>
      <c r="G10" s="13" t="str">
        <f aca="false">A10&amp;" = "&amp;IF(ISNUMBER(E10),TEXT(E10,"0"),E10)&amp;IF(F10="",""," "&amp;F10)</f>
        <v>c = 2 stations</v>
      </c>
    </row>
    <row r="11" customFormat="false" ht="21.75" hidden="false" customHeight="true" outlineLevel="0" collapsed="false">
      <c r="A11" s="31" t="s">
        <v>190</v>
      </c>
      <c r="B11" s="13" t="s">
        <v>191</v>
      </c>
      <c r="C11" s="9" t="s">
        <v>192</v>
      </c>
      <c r="D11" s="32" t="s">
        <v>193</v>
      </c>
      <c r="E11" s="37" t="n">
        <f aca="false">E7/E9</f>
        <v>1.856396</v>
      </c>
      <c r="F11" s="13" t="s">
        <v>99</v>
      </c>
      <c r="G11" s="13" t="str">
        <f aca="false">A11&amp;" = "&amp;IF(ISNUMBER(E11),TEXT(E11,"0.00"),E11)&amp;IF(F11="",""," "&amp;F11)</f>
        <v>a = 1.86 stations</v>
      </c>
    </row>
    <row r="12" customFormat="false" ht="21.75" hidden="false" customHeight="true" outlineLevel="0" collapsed="false">
      <c r="A12" s="31" t="s">
        <v>194</v>
      </c>
      <c r="B12" s="13" t="s">
        <v>195</v>
      </c>
      <c r="C12" s="9" t="s">
        <v>196</v>
      </c>
      <c r="D12" s="32" t="s">
        <v>197</v>
      </c>
      <c r="E12" s="38" t="n">
        <f aca="false">E7/(E10*E9)</f>
        <v>0.928198</v>
      </c>
      <c r="F12" s="13"/>
      <c r="G12" s="13" t="str">
        <f aca="false">A12&amp;" = "&amp;IF(ISNUMBER(E12),TEXT(E12,"0%"),E12)&amp;IF(F12="",""," "&amp;F12)</f>
        <v>ρ = 93%</v>
      </c>
    </row>
    <row r="13" customFormat="false" ht="37.5" hidden="false" customHeight="true" outlineLevel="0" collapsed="false">
      <c r="A13" s="31" t="s">
        <v>198</v>
      </c>
      <c r="B13" s="13" t="s">
        <v>199</v>
      </c>
      <c r="C13" s="9" t="s">
        <v>200</v>
      </c>
      <c r="D13" s="32" t="s">
        <v>201</v>
      </c>
      <c r="E13" s="39" t="str">
        <f aca="false">IF(E12&lt;1,"yes","no")</f>
        <v>yes</v>
      </c>
      <c r="F13" s="13"/>
      <c r="G13" s="13" t="str">
        <f aca="false">A13&amp;" = "&amp;IF(ISNUMBER(E13),TEXT(E13,"0.00"),E13)&amp;IF(F13="",""," "&amp;F13)</f>
        <v>Stable? = yes</v>
      </c>
    </row>
    <row r="14" customFormat="false" ht="21.75" hidden="false" customHeight="true" outlineLevel="0" collapsed="false">
      <c r="A14" s="31" t="s">
        <v>202</v>
      </c>
      <c r="B14" s="13" t="s">
        <v>203</v>
      </c>
      <c r="C14" s="9" t="s">
        <v>204</v>
      </c>
      <c r="D14" s="32" t="s">
        <v>205</v>
      </c>
      <c r="E14" s="40" t="n">
        <f aca="false">1/(SUMPRODUCT(--({0,1,2,3,4,5,6,7,8,9}&lt;E10),E11^{0,1,2,3,4,5,6,7,8,9}/FACT({0,1,2,3,4,5,6,7,8,9}))+E11^E10/FACT(E10)/(1-E12))</f>
        <v>0.0372378770230028</v>
      </c>
      <c r="F14" s="13"/>
      <c r="G14" s="13" t="str">
        <f aca="false">A14&amp;" = "&amp;IF(ISNUMBER(E14),TEXT(E14,"0.000"),E14)&amp;IF(F14="",""," "&amp;F14)</f>
        <v>P0 = 0.037</v>
      </c>
    </row>
    <row r="15" customFormat="false" ht="21.75" hidden="false" customHeight="true" outlineLevel="0" collapsed="false">
      <c r="A15" s="31" t="s">
        <v>206</v>
      </c>
      <c r="B15" s="13" t="s">
        <v>207</v>
      </c>
      <c r="C15" s="9" t="s">
        <v>208</v>
      </c>
      <c r="D15" s="32" t="s">
        <v>209</v>
      </c>
      <c r="E15" s="38" t="n">
        <f aca="false">E11^E10/FACT(E10)/(1-E12)*E14</f>
        <v>0.893633877023003</v>
      </c>
      <c r="F15" s="13"/>
      <c r="G15" s="13" t="str">
        <f aca="false">A15&amp;" = "&amp;IF(ISNUMBER(E15),TEXT(E15,"0%"),E15)&amp;IF(F15="",""," "&amp;F15)</f>
        <v>C = 89%</v>
      </c>
    </row>
    <row r="16" customFormat="false" ht="37.5" hidden="false" customHeight="true" outlineLevel="0" collapsed="false">
      <c r="A16" s="31" t="s">
        <v>210</v>
      </c>
      <c r="B16" s="13" t="s">
        <v>211</v>
      </c>
      <c r="C16" s="9" t="s">
        <v>212</v>
      </c>
      <c r="D16" s="32" t="s">
        <v>213</v>
      </c>
      <c r="E16" s="37" t="n">
        <f aca="false">E15/(E10*E9-E7)</f>
        <v>0.624779541329694</v>
      </c>
      <c r="F16" s="13" t="s">
        <v>182</v>
      </c>
      <c r="G16" s="13" t="str">
        <f aca="false">A16&amp;" = "&amp;IF(ISNUMBER(E16),TEXT(E16,"0.00"),E16)&amp;IF(F16="",""," "&amp;F16)</f>
        <v>Wq = 0.62 min</v>
      </c>
    </row>
    <row r="17" customFormat="false" ht="37.5" hidden="false" customHeight="true" outlineLevel="0" collapsed="false">
      <c r="A17" s="31" t="s">
        <v>214</v>
      </c>
      <c r="B17" s="13" t="s">
        <v>215</v>
      </c>
      <c r="C17" s="9" t="s">
        <v>216</v>
      </c>
      <c r="D17" s="32" t="s">
        <v>217</v>
      </c>
      <c r="E17" s="34" t="n">
        <f aca="false">E16*(1+Assumptions!$B$22^2)/2</f>
        <v>0.424850088104192</v>
      </c>
      <c r="F17" s="13" t="s">
        <v>182</v>
      </c>
      <c r="G17" s="13" t="str">
        <f aca="false">A17&amp;" = "&amp;IF(ISNUMBER(E17),TEXT(E17,"0.00"),E17)&amp;IF(F17="",""," "&amp;F17)</f>
        <v>Wq cv = 0.42 min</v>
      </c>
    </row>
    <row r="18" customFormat="false" ht="21.75" hidden="false" customHeight="true" outlineLevel="0" collapsed="false">
      <c r="A18" s="31" t="s">
        <v>218</v>
      </c>
      <c r="B18" s="13" t="s">
        <v>219</v>
      </c>
      <c r="C18" s="9" t="s">
        <v>220</v>
      </c>
      <c r="D18" s="32" t="s">
        <v>221</v>
      </c>
      <c r="E18" s="37" t="n">
        <f aca="false">E16+E8</f>
        <v>0.725179541329694</v>
      </c>
      <c r="F18" s="13" t="s">
        <v>182</v>
      </c>
      <c r="G18" s="13" t="str">
        <f aca="false">A18&amp;" = "&amp;IF(ISNUMBER(E18),TEXT(E18,"0.00"),E18)&amp;IF(F18="",""," "&amp;F18)</f>
        <v>W = 0.73 min</v>
      </c>
    </row>
    <row r="19" customFormat="false" ht="21.75" hidden="false" customHeight="true" outlineLevel="0" collapsed="false">
      <c r="A19" s="31" t="s">
        <v>222</v>
      </c>
      <c r="B19" s="13" t="s">
        <v>223</v>
      </c>
      <c r="C19" s="9" t="s">
        <v>224</v>
      </c>
      <c r="D19" s="32" t="s">
        <v>225</v>
      </c>
      <c r="E19" s="35" t="n">
        <f aca="false">E7*E16</f>
        <v>11.552173719186</v>
      </c>
      <c r="F19" s="13" t="s">
        <v>69</v>
      </c>
      <c r="G19" s="13" t="str">
        <f aca="false">A19&amp;" = "&amp;IF(ISNUMBER(E19),TEXT(E19,"0.0"),E19)&amp;IF(F19="",""," "&amp;F19)</f>
        <v>Lq = 11.6 students</v>
      </c>
    </row>
    <row r="20" customFormat="false" ht="21.75" hidden="false" customHeight="true" outlineLevel="0" collapsed="false">
      <c r="A20" s="31" t="s">
        <v>226</v>
      </c>
      <c r="B20" s="13" t="s">
        <v>227</v>
      </c>
      <c r="C20" s="9" t="s">
        <v>228</v>
      </c>
      <c r="D20" s="32" t="s">
        <v>229</v>
      </c>
      <c r="E20" s="35" t="n">
        <f aca="false">E7*E8</f>
        <v>1.856396</v>
      </c>
      <c r="F20" s="13" t="s">
        <v>69</v>
      </c>
      <c r="G20" s="13" t="str">
        <f aca="false">A20&amp;" = "&amp;IF(ISNUMBER(E20),TEXT(E20,"0.0"),E20)&amp;IF(F20="",""," "&amp;F20)</f>
        <v>Ls = 1.9 students</v>
      </c>
    </row>
    <row r="21" customFormat="false" ht="21.75" hidden="false" customHeight="true" outlineLevel="0" collapsed="false">
      <c r="A21" s="31" t="s">
        <v>230</v>
      </c>
      <c r="B21" s="13" t="s">
        <v>231</v>
      </c>
      <c r="C21" s="9" t="s">
        <v>232</v>
      </c>
      <c r="D21" s="32" t="s">
        <v>233</v>
      </c>
      <c r="E21" s="35" t="n">
        <f aca="false">E7*E18</f>
        <v>13.408569719186</v>
      </c>
      <c r="F21" s="13" t="s">
        <v>69</v>
      </c>
      <c r="G21" s="13" t="str">
        <f aca="false">A21&amp;" = "&amp;IF(ISNUMBER(E21),TEXT(E21,"0.0"),E21)&amp;IF(F21="",""," "&amp;F21)</f>
        <v>L = 13.4 students</v>
      </c>
    </row>
    <row r="22" customFormat="false" ht="21.75" hidden="false" customHeight="true" outlineLevel="0" collapsed="false">
      <c r="A22" s="31" t="s">
        <v>234</v>
      </c>
      <c r="B22" s="13" t="s">
        <v>235</v>
      </c>
      <c r="C22" s="9" t="s">
        <v>236</v>
      </c>
      <c r="D22" s="32" t="s">
        <v>237</v>
      </c>
      <c r="E22" s="34" t="n">
        <f aca="false">'Sim Data'!$F$27</f>
        <v>0.2595</v>
      </c>
      <c r="F22" s="13" t="s">
        <v>182</v>
      </c>
      <c r="G22" s="13" t="str">
        <f aca="false">A22&amp;" = "&amp;IF(ISNUMBER(E22),TEXT(E22,"0.00"),E22)&amp;IF(F22="",""," "&amp;F22)</f>
        <v>Wq sim = 0.26 min</v>
      </c>
    </row>
    <row r="23" customFormat="false" ht="21.75" hidden="false" customHeight="true" outlineLevel="0" collapsed="false">
      <c r="A23" s="31" t="s">
        <v>238</v>
      </c>
      <c r="B23" s="13" t="s">
        <v>239</v>
      </c>
      <c r="C23" s="9" t="s">
        <v>240</v>
      </c>
      <c r="D23" s="32" t="s">
        <v>237</v>
      </c>
      <c r="E23" s="33" t="n">
        <f aca="false">'Sim Data'!$H$27</f>
        <v>4.575</v>
      </c>
      <c r="F23" s="13" t="s">
        <v>69</v>
      </c>
      <c r="G23" s="13" t="str">
        <f aca="false">A23&amp;" = "&amp;IF(ISNUMBER(E23),TEXT(E23,"0.0"),E23)&amp;IF(F23="",""," "&amp;F23)</f>
        <v>Lq sim = 4.6 students</v>
      </c>
    </row>
    <row r="24" customFormat="false" ht="37.5" hidden="false" customHeight="true" outlineLevel="0" collapsed="false">
      <c r="A24" s="31" t="s">
        <v>241</v>
      </c>
      <c r="B24" s="13" t="s">
        <v>242</v>
      </c>
      <c r="C24" s="9" t="s">
        <v>243</v>
      </c>
      <c r="D24" s="32" t="s">
        <v>244</v>
      </c>
      <c r="E24" s="37" t="n">
        <f aca="false">E23/(E7*E22)</f>
        <v>0.953491498294657</v>
      </c>
      <c r="F24" s="13"/>
      <c r="G24" s="13" t="str">
        <f aca="false">A24&amp;" = "&amp;IF(ISNUMBER(E24),TEXT(E24,"0.00"),E24)&amp;IF(F24="",""," "&amp;F24)</f>
        <v>Little = 0.95</v>
      </c>
    </row>
    <row r="26" customFormat="false" ht="24.75" hidden="false" customHeight="true" outlineLevel="0" collapsed="false">
      <c r="A26" s="4" t="s">
        <v>245</v>
      </c>
    </row>
    <row r="27" customFormat="false" ht="21.75" hidden="false" customHeight="true" outlineLevel="0" collapsed="false">
      <c r="A27" s="19" t="s">
        <v>246</v>
      </c>
      <c r="B27" s="19"/>
      <c r="C27" s="19"/>
      <c r="D27" s="19"/>
      <c r="E27" s="19"/>
      <c r="F27" s="19"/>
      <c r="G27" s="19"/>
    </row>
    <row r="28" customFormat="false" ht="21.75" hidden="false" customHeight="true" outlineLevel="0" collapsed="false">
      <c r="A28" s="7" t="s">
        <v>169</v>
      </c>
      <c r="B28" s="7" t="s">
        <v>170</v>
      </c>
      <c r="C28" s="7" t="s">
        <v>171</v>
      </c>
      <c r="D28" s="7" t="s">
        <v>172</v>
      </c>
      <c r="E28" s="7" t="s">
        <v>63</v>
      </c>
      <c r="F28" s="7" t="s">
        <v>64</v>
      </c>
      <c r="G28" s="7" t="s">
        <v>173</v>
      </c>
    </row>
    <row r="29" customFormat="false" ht="37.5" hidden="false" customHeight="true" outlineLevel="0" collapsed="false">
      <c r="A29" s="31" t="s">
        <v>174</v>
      </c>
      <c r="B29" s="13" t="s">
        <v>175</v>
      </c>
      <c r="C29" s="9" t="s">
        <v>247</v>
      </c>
      <c r="D29" s="32" t="s">
        <v>177</v>
      </c>
      <c r="E29" s="33" t="n">
        <f aca="false">'Sim Data'!$E$33</f>
        <v>29.14</v>
      </c>
      <c r="F29" s="13" t="s">
        <v>101</v>
      </c>
      <c r="G29" s="13" t="str">
        <f aca="false">A29&amp;" = "&amp;IF(ISNUMBER(E29),TEXT(E29,"0.0"),E29)&amp;IF(F29="",""," "&amp;F29)</f>
        <v>λ = 29.1 students/min</v>
      </c>
    </row>
    <row r="30" customFormat="false" ht="21.75" hidden="false" customHeight="true" outlineLevel="0" collapsed="false">
      <c r="A30" s="31" t="s">
        <v>248</v>
      </c>
      <c r="B30" s="13" t="s">
        <v>27</v>
      </c>
      <c r="C30" s="9" t="s">
        <v>249</v>
      </c>
      <c r="D30" s="32" t="s">
        <v>250</v>
      </c>
      <c r="E30" s="33" t="n">
        <f aca="false">Assumptions!$B$20*Assumptions!$B$21</f>
        <v>20</v>
      </c>
      <c r="F30" s="13" t="s">
        <v>101</v>
      </c>
      <c r="G30" s="13" t="str">
        <f aca="false">A30&amp;" = "&amp;IF(ISNUMBER(E30),TEXT(E30,"0.0"),E30)&amp;IF(F30="",""," "&amp;F30)</f>
        <v>c·μ = 20.0 students/min</v>
      </c>
    </row>
    <row r="31" customFormat="false" ht="21.75" hidden="false" customHeight="true" outlineLevel="0" collapsed="false">
      <c r="A31" s="31" t="s">
        <v>194</v>
      </c>
      <c r="B31" s="13" t="s">
        <v>195</v>
      </c>
      <c r="C31" s="9" t="s">
        <v>251</v>
      </c>
      <c r="D31" s="32" t="s">
        <v>197</v>
      </c>
      <c r="E31" s="38" t="n">
        <f aca="false">E29/E30</f>
        <v>1.457</v>
      </c>
      <c r="F31" s="13"/>
      <c r="G31" s="13" t="str">
        <f aca="false">A31&amp;" = "&amp;IF(ISNUMBER(E31),TEXT(E31,"0%"),E31)&amp;IF(F31="",""," "&amp;F31)</f>
        <v>ρ = 146%</v>
      </c>
    </row>
    <row r="32" customFormat="false" ht="21.75" hidden="false" customHeight="true" outlineLevel="0" collapsed="false">
      <c r="A32" s="31" t="s">
        <v>252</v>
      </c>
      <c r="B32" s="13" t="s">
        <v>253</v>
      </c>
      <c r="C32" s="9" t="s">
        <v>254</v>
      </c>
      <c r="D32" s="32" t="s">
        <v>255</v>
      </c>
      <c r="E32" s="41" t="n">
        <f aca="false">MAX(0,(E29-E30)*10)</f>
        <v>91.4</v>
      </c>
      <c r="F32" s="13" t="s">
        <v>69</v>
      </c>
      <c r="G32" s="13" t="str">
        <f aca="false">A32&amp;" = "&amp;IF(ISNUMBER(E32),TEXT(E32,"0"),E32)&amp;IF(F32="",""," "&amp;F32)</f>
        <v>Growth = 91 students</v>
      </c>
    </row>
    <row r="33" customFormat="false" ht="21.75" hidden="false" customHeight="true" outlineLevel="0" collapsed="false">
      <c r="A33" s="31" t="s">
        <v>210</v>
      </c>
      <c r="B33" s="13" t="s">
        <v>256</v>
      </c>
      <c r="C33" s="9" t="s">
        <v>257</v>
      </c>
      <c r="D33" s="32" t="s">
        <v>258</v>
      </c>
      <c r="E33" s="39" t="str">
        <f aca="false">IF(E31&lt;1,"defined","none (ρ ≥ 1)")</f>
        <v>none (ρ ≥ 1)</v>
      </c>
      <c r="F33" s="13"/>
      <c r="G33" s="13" t="str">
        <f aca="false">A33&amp;" = "&amp;IF(ISNUMBER(E33),TEXT(E33,"0.00"),E33)&amp;IF(F33="",""," "&amp;F33)</f>
        <v>Wq = none (ρ ≥ 1)</v>
      </c>
    </row>
    <row r="35" customFormat="false" ht="24.75" hidden="false" customHeight="true" outlineLevel="0" collapsed="false">
      <c r="A35" s="4" t="s">
        <v>259</v>
      </c>
    </row>
    <row r="36" customFormat="false" ht="21.75" hidden="false" customHeight="true" outlineLevel="0" collapsed="false">
      <c r="A36" s="19" t="s">
        <v>260</v>
      </c>
      <c r="B36" s="19"/>
      <c r="C36" s="19"/>
      <c r="D36" s="19"/>
      <c r="E36" s="19"/>
      <c r="F36" s="19"/>
      <c r="G36" s="19"/>
    </row>
    <row r="37" customFormat="false" ht="21.75" hidden="false" customHeight="true" outlineLevel="0" collapsed="false">
      <c r="A37" s="7" t="s">
        <v>169</v>
      </c>
      <c r="B37" s="7" t="s">
        <v>170</v>
      </c>
      <c r="C37" s="7" t="s">
        <v>171</v>
      </c>
      <c r="D37" s="7" t="s">
        <v>172</v>
      </c>
      <c r="E37" s="7" t="s">
        <v>63</v>
      </c>
      <c r="F37" s="7" t="s">
        <v>64</v>
      </c>
      <c r="G37" s="7" t="s">
        <v>173</v>
      </c>
    </row>
    <row r="38" customFormat="false" ht="21.75" hidden="false" customHeight="true" outlineLevel="0" collapsed="false">
      <c r="A38" s="31" t="s">
        <v>174</v>
      </c>
      <c r="B38" s="13" t="s">
        <v>175</v>
      </c>
      <c r="C38" s="9" t="s">
        <v>261</v>
      </c>
      <c r="D38" s="32" t="s">
        <v>177</v>
      </c>
      <c r="E38" s="33" t="n">
        <f aca="false">'Sim Data'!$E$15</f>
        <v>29.56</v>
      </c>
      <c r="F38" s="13" t="s">
        <v>101</v>
      </c>
      <c r="G38" s="13" t="str">
        <f aca="false">A38&amp;" = "&amp;IF(ISNUMBER(E38),TEXT(E38,"0.0"),E38)&amp;IF(F38="",""," "&amp;F38)</f>
        <v>λ = 29.6 students/min</v>
      </c>
    </row>
    <row r="39" customFormat="false" ht="21.75" hidden="false" customHeight="true" outlineLevel="0" collapsed="false">
      <c r="A39" s="31" t="s">
        <v>183</v>
      </c>
      <c r="B39" s="13" t="s">
        <v>262</v>
      </c>
      <c r="C39" s="9" t="s">
        <v>263</v>
      </c>
      <c r="D39" s="32" t="s">
        <v>264</v>
      </c>
      <c r="E39" s="33" t="n">
        <f aca="false">60/Assumptions!$B$16</f>
        <v>30</v>
      </c>
      <c r="F39" s="13" t="s">
        <v>101</v>
      </c>
      <c r="G39" s="13" t="str">
        <f aca="false">A39&amp;" = "&amp;IF(ISNUMBER(E39),TEXT(E39,"0.0"),E39)&amp;IF(F39="",""," "&amp;F39)</f>
        <v>μ = 30.0 students/min</v>
      </c>
    </row>
    <row r="40" customFormat="false" ht="21.75" hidden="false" customHeight="true" outlineLevel="0" collapsed="false">
      <c r="A40" s="31" t="s">
        <v>194</v>
      </c>
      <c r="B40" s="13" t="s">
        <v>195</v>
      </c>
      <c r="C40" s="9" t="s">
        <v>265</v>
      </c>
      <c r="D40" s="32" t="s">
        <v>266</v>
      </c>
      <c r="E40" s="38" t="n">
        <f aca="false">E38/E39</f>
        <v>0.985333333333333</v>
      </c>
      <c r="F40" s="13"/>
      <c r="G40" s="13" t="str">
        <f aca="false">A40&amp;" = "&amp;IF(ISNUMBER(E40),TEXT(E40,"0%"),E40)&amp;IF(F40="",""," "&amp;F40)</f>
        <v>ρ = 99%</v>
      </c>
    </row>
    <row r="41" customFormat="false" ht="21.75" hidden="false" customHeight="true" outlineLevel="0" collapsed="false">
      <c r="A41" s="31" t="s">
        <v>210</v>
      </c>
      <c r="B41" s="13" t="s">
        <v>267</v>
      </c>
      <c r="C41" s="9" t="s">
        <v>268</v>
      </c>
      <c r="D41" s="32" t="s">
        <v>269</v>
      </c>
      <c r="E41" s="37" t="n">
        <f aca="false">IF(E40&lt;1,E40/(E39-E38),"none (ρ ≥ 1)")</f>
        <v>2.23939393939393</v>
      </c>
      <c r="F41" s="13" t="s">
        <v>182</v>
      </c>
      <c r="G41" s="13" t="str">
        <f aca="false">A41&amp;" = "&amp;IF(ISNUMBER(E41),TEXT(E41,"0.00"),E41)&amp;IF(F41="",""," "&amp;F41)</f>
        <v>Wq = 2.24 min</v>
      </c>
    </row>
    <row r="42" customFormat="false" ht="37.5" hidden="false" customHeight="true" outlineLevel="0" collapsed="false">
      <c r="A42" s="31" t="s">
        <v>270</v>
      </c>
      <c r="B42" s="13" t="s">
        <v>271</v>
      </c>
      <c r="C42" s="9" t="s">
        <v>272</v>
      </c>
      <c r="D42" s="32" t="s">
        <v>273</v>
      </c>
      <c r="E42" s="35" t="n">
        <v>0.3</v>
      </c>
      <c r="F42" s="13"/>
      <c r="G42" s="13" t="str">
        <f aca="false">A42&amp;" = "&amp;IF(ISNUMBER(E42),TEXT(E42,"0.0"),E42)&amp;IF(F42="",""," "&amp;F42)</f>
        <v>cv = 0.3</v>
      </c>
    </row>
    <row r="43" customFormat="false" ht="21.75" hidden="false" customHeight="true" outlineLevel="0" collapsed="false">
      <c r="A43" s="31" t="s">
        <v>274</v>
      </c>
      <c r="B43" s="13" t="s">
        <v>275</v>
      </c>
      <c r="C43" s="9" t="s">
        <v>276</v>
      </c>
      <c r="D43" s="32" t="s">
        <v>217</v>
      </c>
      <c r="E43" s="37" t="n">
        <f aca="false">IF(ISNUMBER(E41),E41*(1+E42^2)/2,"none")</f>
        <v>1.22046969696969</v>
      </c>
      <c r="F43" s="13" t="s">
        <v>182</v>
      </c>
      <c r="G43" s="13" t="str">
        <f aca="false">A43&amp;" = "&amp;IF(ISNUMBER(E43),TEXT(E43,"0.00"),E43)&amp;IF(F43="",""," "&amp;F43)</f>
        <v>Wq M/G/1 = 1.22 min</v>
      </c>
    </row>
    <row r="44" customFormat="false" ht="21.75" hidden="false" customHeight="true" outlineLevel="0" collapsed="false">
      <c r="A44" s="31" t="s">
        <v>234</v>
      </c>
      <c r="B44" s="13" t="s">
        <v>235</v>
      </c>
      <c r="C44" s="9" t="s">
        <v>277</v>
      </c>
      <c r="D44" s="32" t="s">
        <v>237</v>
      </c>
      <c r="E44" s="34" t="n">
        <f aca="false">'Sim Data'!$F$15</f>
        <v>0.3055</v>
      </c>
      <c r="F44" s="13" t="s">
        <v>182</v>
      </c>
      <c r="G44" s="13" t="str">
        <f aca="false">A44&amp;" = "&amp;IF(ISNUMBER(E44),TEXT(E44,"0.00"),E44)&amp;IF(F44="",""," "&amp;F44)</f>
        <v>Wq sim = 0.31 min</v>
      </c>
    </row>
    <row r="46" customFormat="false" ht="24.75" hidden="false" customHeight="true" outlineLevel="0" collapsed="false">
      <c r="A46" s="4" t="s">
        <v>278</v>
      </c>
    </row>
    <row r="47" customFormat="false" ht="21.75" hidden="false" customHeight="true" outlineLevel="0" collapsed="false">
      <c r="A47" s="19" t="s">
        <v>279</v>
      </c>
      <c r="B47" s="19"/>
      <c r="C47" s="19"/>
      <c r="D47" s="19"/>
      <c r="E47" s="19"/>
      <c r="F47" s="19"/>
      <c r="G47" s="19"/>
    </row>
    <row r="48" customFormat="false" ht="21.75" hidden="false" customHeight="true" outlineLevel="0" collapsed="false">
      <c r="A48" s="7" t="s">
        <v>169</v>
      </c>
      <c r="B48" s="7" t="s">
        <v>170</v>
      </c>
      <c r="C48" s="7" t="s">
        <v>171</v>
      </c>
      <c r="D48" s="7" t="s">
        <v>172</v>
      </c>
      <c r="E48" s="7" t="s">
        <v>63</v>
      </c>
      <c r="F48" s="7" t="s">
        <v>64</v>
      </c>
      <c r="G48" s="7" t="s">
        <v>173</v>
      </c>
    </row>
    <row r="49" customFormat="false" ht="21.75" hidden="false" customHeight="true" outlineLevel="0" collapsed="false">
      <c r="A49" s="31" t="s">
        <v>280</v>
      </c>
      <c r="B49" s="13" t="s">
        <v>281</v>
      </c>
      <c r="C49" s="9" t="s">
        <v>282</v>
      </c>
      <c r="D49" s="32" t="s">
        <v>189</v>
      </c>
      <c r="E49" s="36" t="n">
        <f aca="false">Assumptions!$B$27</f>
        <v>492</v>
      </c>
      <c r="F49" s="13" t="s">
        <v>110</v>
      </c>
      <c r="G49" s="13" t="str">
        <f aca="false">A49&amp;" = "&amp;IF(ISNUMBER(E49),TEXT(E49,"0"),E49)&amp;IF(F49="",""," "&amp;F49)</f>
        <v>N = 492 seats</v>
      </c>
    </row>
    <row r="50" customFormat="false" ht="21.75" hidden="false" customHeight="true" outlineLevel="0" collapsed="false">
      <c r="A50" s="31" t="s">
        <v>283</v>
      </c>
      <c r="B50" s="13" t="s">
        <v>284</v>
      </c>
      <c r="C50" s="9" t="s">
        <v>285</v>
      </c>
      <c r="D50" s="32" t="s">
        <v>286</v>
      </c>
      <c r="E50" s="33" t="n">
        <f aca="false">(Assumptions!$B$28+Assumptions!$B$29)/2+Assumptions!$B$30</f>
        <v>16.2</v>
      </c>
      <c r="F50" s="13" t="s">
        <v>182</v>
      </c>
      <c r="G50" s="13" t="str">
        <f aca="false">A50&amp;" = "&amp;IF(ISNUMBER(E50),TEXT(E50,"0.0"),E50)&amp;IF(F50="",""," "&amp;F50)</f>
        <v>T = 16.2 min</v>
      </c>
    </row>
    <row r="51" customFormat="false" ht="21.75" hidden="false" customHeight="true" outlineLevel="0" collapsed="false">
      <c r="A51" s="31" t="s">
        <v>287</v>
      </c>
      <c r="B51" s="13" t="s">
        <v>288</v>
      </c>
      <c r="C51" s="9" t="s">
        <v>289</v>
      </c>
      <c r="D51" s="32" t="s">
        <v>290</v>
      </c>
      <c r="E51" s="35" t="n">
        <f aca="false">60/E50</f>
        <v>3.7037037037037</v>
      </c>
      <c r="F51" s="13" t="s">
        <v>291</v>
      </c>
      <c r="G51" s="13" t="str">
        <f aca="false">A51&amp;" = "&amp;IF(ISNUMBER(E51),TEXT(E51,"0.0"),E51)&amp;IF(F51="",""," "&amp;F51)</f>
        <v>Turns = 3.7 per hour</v>
      </c>
    </row>
    <row r="52" customFormat="false" ht="37.5" hidden="false" customHeight="true" outlineLevel="0" collapsed="false">
      <c r="A52" s="31" t="s">
        <v>292</v>
      </c>
      <c r="B52" s="13" t="s">
        <v>293</v>
      </c>
      <c r="C52" s="9" t="s">
        <v>294</v>
      </c>
      <c r="D52" s="32" t="s">
        <v>295</v>
      </c>
      <c r="E52" s="35" t="n">
        <f aca="false">E49/E50</f>
        <v>30.3703703703704</v>
      </c>
      <c r="F52" s="13" t="s">
        <v>101</v>
      </c>
      <c r="G52" s="13" t="str">
        <f aca="false">A52&amp;" = "&amp;IF(ISNUMBER(E52),TEXT(E52,"0.0"),E52)&amp;IF(F52="",""," "&amp;F52)</f>
        <v>λmax = 30.4 students/min</v>
      </c>
    </row>
    <row r="54" customFormat="false" ht="24.75" hidden="false" customHeight="true" outlineLevel="0" collapsed="false">
      <c r="A54" s="4" t="s">
        <v>296</v>
      </c>
    </row>
    <row r="55" customFormat="false" ht="21.75" hidden="false" customHeight="true" outlineLevel="0" collapsed="false">
      <c r="A55" s="7" t="s">
        <v>297</v>
      </c>
      <c r="B55" s="7" t="s">
        <v>298</v>
      </c>
      <c r="C55" s="7" t="s">
        <v>299</v>
      </c>
      <c r="D55" s="7"/>
      <c r="E55" s="7"/>
      <c r="F55" s="7"/>
      <c r="G55" s="7" t="s">
        <v>6</v>
      </c>
    </row>
    <row r="56" customFormat="false" ht="21.75" hidden="false" customHeight="true" outlineLevel="0" collapsed="false">
      <c r="A56" s="42" t="s">
        <v>300</v>
      </c>
      <c r="B56" s="13" t="s">
        <v>301</v>
      </c>
      <c r="C56" s="9" t="s">
        <v>302</v>
      </c>
      <c r="D56" s="9"/>
      <c r="E56" s="9"/>
      <c r="F56" s="9"/>
      <c r="G56" s="43" t="s">
        <v>15</v>
      </c>
    </row>
    <row r="57" customFormat="false" ht="21.75" hidden="false" customHeight="true" outlineLevel="0" collapsed="false">
      <c r="A57" s="42" t="s">
        <v>303</v>
      </c>
      <c r="B57" s="13" t="s">
        <v>304</v>
      </c>
      <c r="C57" s="9" t="s">
        <v>305</v>
      </c>
      <c r="D57" s="9"/>
      <c r="E57" s="9"/>
      <c r="F57" s="9"/>
      <c r="G57" s="43" t="s">
        <v>18</v>
      </c>
    </row>
    <row r="58" customFormat="false" ht="21.75" hidden="false" customHeight="true" outlineLevel="0" collapsed="false">
      <c r="A58" s="42" t="s">
        <v>281</v>
      </c>
      <c r="B58" s="13" t="s">
        <v>306</v>
      </c>
      <c r="C58" s="9" t="s">
        <v>307</v>
      </c>
      <c r="D58" s="9"/>
      <c r="E58" s="9"/>
      <c r="F58" s="9"/>
      <c r="G58" s="43" t="s">
        <v>21</v>
      </c>
    </row>
    <row r="59" customFormat="false" ht="21.75" hidden="false" customHeight="true" outlineLevel="0" collapsed="false">
      <c r="A59" s="42" t="s">
        <v>308</v>
      </c>
      <c r="B59" s="13" t="s">
        <v>309</v>
      </c>
      <c r="C59" s="9" t="s">
        <v>310</v>
      </c>
      <c r="D59" s="9"/>
      <c r="E59" s="9"/>
      <c r="F59" s="9"/>
      <c r="G59" s="43" t="s">
        <v>21</v>
      </c>
    </row>
    <row r="60" customFormat="false" ht="21.75" hidden="false" customHeight="true" outlineLevel="0" collapsed="false">
      <c r="A60" s="42" t="s">
        <v>311</v>
      </c>
      <c r="B60" s="13" t="s">
        <v>312</v>
      </c>
      <c r="C60" s="9" t="s">
        <v>313</v>
      </c>
      <c r="D60" s="9"/>
      <c r="E60" s="9"/>
      <c r="F60" s="9"/>
      <c r="G60" s="43" t="s">
        <v>24</v>
      </c>
    </row>
  </sheetData>
  <mergeCells count="9">
    <mergeCell ref="A5:G5"/>
    <mergeCell ref="A27:G27"/>
    <mergeCell ref="A36:G36"/>
    <mergeCell ref="A47:G47"/>
    <mergeCell ref="C56:F56"/>
    <mergeCell ref="C57:F57"/>
    <mergeCell ref="C58:F58"/>
    <mergeCell ref="C59:F59"/>
    <mergeCell ref="C60:F60"/>
  </mergeCells>
  <hyperlinks>
    <hyperlink ref="G56" r:id="rId1" location="'Q1%20Scanner'!A1" display="Q1 Scanner"/>
    <hyperlink ref="G57" r:id="rId2" location="'Q2%20Serving%20stations'!A1" display="Q2 Serving stations"/>
    <hyperlink ref="G58" r:id="rId3" location="'Q3%20Seats%20&amp;%20disposal'!A1" display="Q3 Seats &amp; disposal"/>
    <hyperlink ref="G59" r:id="rId4" location="'Q3%20Seats%20&amp;%20disposal'!A1" display="Q3 Seats &amp; disposal"/>
    <hyperlink ref="G60" r:id="rId5" location="'Littles%20Law'!A1" display="Littles Law"/>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7" topLeftCell="D28" activePane="bottomRight" state="frozen"/>
      <selection pane="topLeft" activeCell="A1" activeCellId="0" sqref="A1"/>
      <selection pane="topRight" activeCell="D1" activeCellId="0" sqref="D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7" min="7" style="0" width="7"/>
    <col collapsed="false" customWidth="true" hidden="false" outlineLevel="0" max="8" min="8" style="0" width="9"/>
    <col collapsed="false" customWidth="true" hidden="false" outlineLevel="0" max="9" min="9" style="0" width="22"/>
    <col collapsed="false" customWidth="true" hidden="false" outlineLevel="0" max="10" min="10" style="0" width="12"/>
    <col collapsed="false" customWidth="true" hidden="false" outlineLevel="0" max="11" min="11" style="0" width="13"/>
    <col collapsed="false" customWidth="true" hidden="false" outlineLevel="0" max="12" min="12" style="0" width="12"/>
    <col collapsed="false" customWidth="true" hidden="false" outlineLevel="0" max="14" min="13" style="0" width="11"/>
    <col collapsed="false" customWidth="true" hidden="false" outlineLevel="0" max="15" min="15" style="0" width="13"/>
    <col collapsed="false" customWidth="true" hidden="false" outlineLevel="0" max="16" min="16" style="0" width="36"/>
  </cols>
  <sheetData>
    <row r="1" customFormat="false" ht="36" hidden="false" customHeight="true" outlineLevel="0" collapsed="false">
      <c r="A1" s="1" t="s">
        <v>314</v>
      </c>
      <c r="B1" s="2"/>
      <c r="C1" s="2"/>
      <c r="D1" s="2"/>
      <c r="E1" s="2"/>
      <c r="F1" s="2"/>
      <c r="G1" s="2"/>
      <c r="H1" s="2"/>
      <c r="I1" s="2"/>
      <c r="J1" s="2"/>
      <c r="K1" s="2"/>
      <c r="L1" s="2"/>
      <c r="M1" s="2"/>
      <c r="N1" s="2"/>
      <c r="O1" s="2"/>
      <c r="P1" s="2"/>
    </row>
    <row r="2" customFormat="false" ht="21.75" hidden="false" customHeight="true" outlineLevel="0" collapsed="false">
      <c r="A2" s="3" t="s">
        <v>315</v>
      </c>
    </row>
    <row r="3" customFormat="false" ht="7.5" hidden="false" customHeight="true" outlineLevel="0" collapsed="false"/>
    <row r="4" customFormat="false" ht="24.75" hidden="false" customHeight="true" outlineLevel="0" collapsed="false">
      <c r="A4" s="4" t="s">
        <v>316</v>
      </c>
    </row>
    <row r="5" customFormat="false" ht="37.5" hidden="false" customHeight="true" outlineLevel="0" collapsed="false">
      <c r="A5" s="7" t="s">
        <v>317</v>
      </c>
      <c r="B5" s="7" t="s">
        <v>318</v>
      </c>
      <c r="C5" s="7" t="s">
        <v>319</v>
      </c>
      <c r="D5" s="7" t="s">
        <v>320</v>
      </c>
      <c r="E5" s="7" t="s">
        <v>321</v>
      </c>
      <c r="F5" s="7" t="s">
        <v>322</v>
      </c>
      <c r="G5" s="7" t="s">
        <v>323</v>
      </c>
    </row>
    <row r="6" customFormat="false" ht="21.75" hidden="false" customHeight="true" outlineLevel="0" collapsed="false">
      <c r="A6" s="13" t="s">
        <v>324</v>
      </c>
      <c r="B6" s="13" t="s">
        <v>325</v>
      </c>
      <c r="C6" s="44" t="n">
        <f aca="false">_xlfn.MAXIFS($H$28:$H$99,$A$28:$A$99,"Today (no screens)",$B$28:$B$99,"Central CT")</f>
        <v>0.984348</v>
      </c>
      <c r="D6" s="45" t="n">
        <f aca="false">COUNTIFS($A$28:$A$99,"Today (no screens)",$B$28:$B$99,"Central CT",$H$28:$H$99,"&gt;=1")</f>
        <v>0</v>
      </c>
      <c r="E6" s="46" t="n">
        <f aca="false">COUNTIFS($A$28:$A$99,"Today (no screens)",$B$28:$B$99,"Central CT",$H$28:$H$99,"&gt;=0.85",$H$28:$H$99,"&lt;1")</f>
        <v>2</v>
      </c>
      <c r="F6" s="47" t="n">
        <f aca="false">_xlfn.MAXIFS($L$28:$L$99,$A$28:$A$99,"Today (no screens)",$B$28:$B$99,"Central CT")</f>
        <v>0.3055</v>
      </c>
      <c r="G6" s="47" t="n">
        <f aca="false">SUMPRODUCT(($A$28:$A$99="Today (no screens)")*($B$28:$B$99="Central CT")*$L$28:$L$99*$D$28:$D$99)/SUMPRODUCT(($A$28:$A$99="Today (no screens)")*($B$28:$B$99="Central CT")*$D$28:$D$99)</f>
        <v>0.107520698936125</v>
      </c>
    </row>
    <row r="7" customFormat="false" ht="21.75" hidden="false" customHeight="true" outlineLevel="0" collapsed="false">
      <c r="A7" s="13" t="s">
        <v>324</v>
      </c>
      <c r="B7" s="13" t="s">
        <v>326</v>
      </c>
      <c r="C7" s="44" t="n">
        <f aca="false">_xlfn.MAXIFS($H$28:$H$99,$A$28:$A$99,"Today (no screens)",$B$28:$B$99,"Munch Mess")</f>
        <v>0.2490725</v>
      </c>
      <c r="D7" s="45" t="n">
        <f aca="false">COUNTIFS($A$28:$A$99,"Today (no screens)",$B$28:$B$99,"Munch Mess",$H$28:$H$99,"&gt;=1")</f>
        <v>0</v>
      </c>
      <c r="E7" s="46" t="n">
        <f aca="false">COUNTIFS($A$28:$A$99,"Today (no screens)",$B$28:$B$99,"Munch Mess",$H$28:$H$99,"&gt;=0.85",$H$28:$H$99,"&lt;1")</f>
        <v>0</v>
      </c>
      <c r="F7" s="47" t="n">
        <f aca="false">_xlfn.MAXIFS($L$28:$L$99,$A$28:$A$99,"Today (no screens)",$B$28:$B$99,"Munch Mess")</f>
        <v>0.0067</v>
      </c>
      <c r="G7" s="47" t="n">
        <f aca="false">SUMPRODUCT(($A$28:$A$99="Today (no screens)")*($B$28:$B$99="Munch Mess")*$L$28:$L$99*$D$28:$D$99)/SUMPRODUCT(($A$28:$A$99="Today (no screens)")*($B$28:$B$99="Munch Mess")*$D$28:$D$99)</f>
        <v>0.00417600434310532</v>
      </c>
    </row>
    <row r="8" customFormat="false" ht="21.75" hidden="false" customHeight="true" outlineLevel="0" collapsed="false">
      <c r="A8" s="13" t="s">
        <v>327</v>
      </c>
      <c r="B8" s="13" t="s">
        <v>325</v>
      </c>
      <c r="C8" s="44" t="n">
        <f aca="false">_xlfn.MAXIFS($H$28:$H$99,$A$28:$A$99,"With Smart Scan screens",$B$28:$B$99,"Central CT")</f>
        <v>0.7251075</v>
      </c>
      <c r="D8" s="45" t="n">
        <f aca="false">COUNTIFS($A$28:$A$99,"With Smart Scan screens",$B$28:$B$99,"Central CT",$H$28:$H$99,"&gt;=1")</f>
        <v>0</v>
      </c>
      <c r="E8" s="46" t="n">
        <f aca="false">COUNTIFS($A$28:$A$99,"With Smart Scan screens",$B$28:$B$99,"Central CT",$H$28:$H$99,"&gt;=0.85",$H$28:$H$99,"&lt;1")</f>
        <v>0</v>
      </c>
      <c r="F8" s="47" t="n">
        <f aca="false">_xlfn.MAXIFS($L$28:$L$99,$A$28:$A$99,"With Smart Scan screens",$B$28:$B$99,"Central CT")</f>
        <v>0.0696</v>
      </c>
      <c r="G8" s="47" t="n">
        <f aca="false">SUMPRODUCT(($A$28:$A$99="With Smart Scan screens")*($B$28:$B$99="Central CT")*$L$28:$L$99*$D$28:$D$99)/SUMPRODUCT(($A$28:$A$99="With Smart Scan screens")*($B$28:$B$99="Central CT")*$D$28:$D$99)</f>
        <v>0.0406714561441132</v>
      </c>
    </row>
    <row r="9" customFormat="false" ht="21.75" hidden="false" customHeight="true" outlineLevel="0" collapsed="false">
      <c r="A9" s="13" t="s">
        <v>327</v>
      </c>
      <c r="B9" s="13" t="s">
        <v>326</v>
      </c>
      <c r="C9" s="44" t="n">
        <f aca="false">_xlfn.MAXIFS($H$28:$H$99,$A$28:$A$99,"With Smart Scan screens",$B$28:$B$99,"Munch Mess")</f>
        <v>0.534901</v>
      </c>
      <c r="D9" s="45" t="n">
        <f aca="false">COUNTIFS($A$28:$A$99,"With Smart Scan screens",$B$28:$B$99,"Munch Mess",$H$28:$H$99,"&gt;=1")</f>
        <v>0</v>
      </c>
      <c r="E9" s="46" t="n">
        <f aca="false">COUNTIFS($A$28:$A$99,"With Smart Scan screens",$B$28:$B$99,"Munch Mess",$H$28:$H$99,"&gt;=0.85",$H$28:$H$99,"&lt;1")</f>
        <v>0</v>
      </c>
      <c r="F9" s="47" t="n">
        <f aca="false">_xlfn.MAXIFS($L$28:$L$99,$A$28:$A$99,"With Smart Scan screens",$B$28:$B$99,"Munch Mess")</f>
        <v>0.0349</v>
      </c>
      <c r="G9" s="47" t="n">
        <f aca="false">SUMPRODUCT(($A$28:$A$99="With Smart Scan screens")*($B$28:$B$99="Munch Mess")*$L$28:$L$99*$D$28:$D$99)/SUMPRODUCT(($A$28:$A$99="With Smart Scan screens")*($B$28:$B$99="Munch Mess")*$D$28:$D$99)</f>
        <v>0.0162139948813402</v>
      </c>
    </row>
    <row r="10" customFormat="false" ht="20.25" hidden="false" customHeight="true" outlineLevel="0" collapsed="false">
      <c r="A10" s="48" t="s">
        <v>328</v>
      </c>
    </row>
    <row r="12" customFormat="false" ht="18" hidden="false" customHeight="true" outlineLevel="0" collapsed="false">
      <c r="A12" s="49" t="s">
        <v>329</v>
      </c>
      <c r="B12" s="49"/>
      <c r="C12" s="49"/>
      <c r="D12" s="49"/>
      <c r="E12" s="49"/>
      <c r="F12" s="49"/>
      <c r="G12" s="49"/>
    </row>
    <row r="13" customFormat="false" ht="15" hidden="false" customHeight="false" outlineLevel="0" collapsed="false">
      <c r="A13" s="49"/>
      <c r="B13" s="49"/>
      <c r="C13" s="49"/>
      <c r="D13" s="49"/>
      <c r="E13" s="49"/>
      <c r="F13" s="49"/>
      <c r="G13" s="49"/>
    </row>
    <row r="14" customFormat="false" ht="15" hidden="false" customHeight="false" outlineLevel="0" collapsed="false">
      <c r="A14" s="49"/>
      <c r="B14" s="49"/>
      <c r="C14" s="49"/>
      <c r="D14" s="49"/>
      <c r="E14" s="49"/>
      <c r="F14" s="49"/>
      <c r="G14" s="49"/>
    </row>
    <row r="15" customFormat="false" ht="15" hidden="false" customHeight="false" outlineLevel="0" collapsed="false">
      <c r="A15" s="49"/>
      <c r="B15" s="49"/>
      <c r="C15" s="49"/>
      <c r="D15" s="49"/>
      <c r="E15" s="49"/>
      <c r="F15" s="49"/>
      <c r="G15" s="49"/>
    </row>
    <row r="16" customFormat="false" ht="15" hidden="false" customHeight="false" outlineLevel="0" collapsed="false">
      <c r="A16" s="49"/>
      <c r="B16" s="49"/>
      <c r="C16" s="49"/>
      <c r="D16" s="49"/>
      <c r="E16" s="49"/>
      <c r="F16" s="49"/>
      <c r="G16" s="49"/>
    </row>
    <row r="17" customFormat="false" ht="15" hidden="false" customHeight="false" outlineLevel="0" collapsed="false">
      <c r="A17" s="49"/>
      <c r="B17" s="49"/>
      <c r="C17" s="49"/>
      <c r="D17" s="49"/>
      <c r="E17" s="49"/>
      <c r="F17" s="49"/>
      <c r="G17" s="49"/>
    </row>
    <row r="18" customFormat="false" ht="15" hidden="false" customHeight="false" outlineLevel="0" collapsed="false">
      <c r="A18" s="49"/>
      <c r="B18" s="49"/>
      <c r="C18" s="49"/>
      <c r="D18" s="49"/>
      <c r="E18" s="49"/>
      <c r="F18" s="49"/>
      <c r="G18" s="49"/>
    </row>
    <row r="20" customFormat="false" ht="20.25" hidden="false" customHeight="true" outlineLevel="0" collapsed="false">
      <c r="A20" s="48" t="s">
        <v>330</v>
      </c>
    </row>
    <row r="26" customFormat="false" ht="24.75" hidden="false" customHeight="true" outlineLevel="0" collapsed="false">
      <c r="A26" s="4" t="s">
        <v>331</v>
      </c>
    </row>
    <row r="27" customFormat="false" ht="37.5" hidden="false" customHeight="true" outlineLevel="0" collapsed="false">
      <c r="A27" s="7" t="s">
        <v>317</v>
      </c>
      <c r="B27" s="7" t="s">
        <v>318</v>
      </c>
      <c r="C27" s="7" t="s">
        <v>332</v>
      </c>
      <c r="D27" s="7" t="s">
        <v>333</v>
      </c>
      <c r="E27" s="7" t="s">
        <v>334</v>
      </c>
      <c r="F27" s="7" t="s">
        <v>335</v>
      </c>
      <c r="G27" s="7" t="s">
        <v>186</v>
      </c>
      <c r="H27" s="7" t="s">
        <v>194</v>
      </c>
      <c r="I27" s="7" t="s">
        <v>198</v>
      </c>
      <c r="J27" s="7" t="s">
        <v>336</v>
      </c>
      <c r="K27" s="7" t="s">
        <v>337</v>
      </c>
      <c r="L27" s="7" t="s">
        <v>338</v>
      </c>
      <c r="M27" s="7" t="s">
        <v>339</v>
      </c>
      <c r="N27" s="7" t="s">
        <v>340</v>
      </c>
      <c r="O27" s="7" t="s">
        <v>341</v>
      </c>
      <c r="P27" s="7" t="s">
        <v>342</v>
      </c>
    </row>
    <row r="28" customFormat="false" ht="21.75" hidden="false" customHeight="true" outlineLevel="0" collapsed="false">
      <c r="A28" s="13" t="s">
        <v>324</v>
      </c>
      <c r="B28" s="13" t="s">
        <v>325</v>
      </c>
      <c r="C28" s="26" t="s">
        <v>343</v>
      </c>
      <c r="D28" s="50" t="n">
        <f aca="false">'Sim Data'!$E$5</f>
        <v>0</v>
      </c>
      <c r="E28" s="51" t="n">
        <f aca="false">'Sim Data'!$G$5</f>
        <v>0</v>
      </c>
      <c r="F28" s="52" t="n">
        <f aca="false">IF(E28&gt;0,1/E28,60/Assumptions!$B$16)</f>
        <v>30</v>
      </c>
      <c r="G28" s="53" t="n">
        <f aca="false">Assumptions!$B$15</f>
        <v>1</v>
      </c>
      <c r="H28" s="54" t="n">
        <f aca="false">D28/(G28*F28)</f>
        <v>0</v>
      </c>
      <c r="I28" s="26" t="str">
        <f aca="false">IF(D28=0,"no arrivals",IF(H28&lt;0.85,"stable",IF(H28&lt;1,"near capacity","over capacity")))</f>
        <v>no arrivals</v>
      </c>
      <c r="J28" s="47" t="str">
        <f aca="false">IF(AND(D28&gt;0,H28&lt;1),H28/(F28-D28),"—")</f>
        <v>—</v>
      </c>
      <c r="K28" s="47" t="str">
        <f aca="false">IF(ISNUMBER(J28),(1+0.3^2)/2*J28,"—")</f>
        <v>—</v>
      </c>
      <c r="L28" s="55" t="n">
        <f aca="false">'Sim Data'!$F$5</f>
        <v>0</v>
      </c>
      <c r="M28" s="50" t="n">
        <f aca="false">'Sim Data'!$H$5</f>
        <v>0</v>
      </c>
      <c r="N28" s="52" t="n">
        <f aca="false">D28*L28</f>
        <v>0</v>
      </c>
      <c r="O28" s="47" t="str">
        <f aca="false">IF(MAX(M28,N28)&lt;0.5,"both ≈ 0",IF(N28=0,"no new arrivals",M28/N28))</f>
        <v>both ≈ 0</v>
      </c>
      <c r="P28" s="13" t="str">
        <f aca="false">IF(D28=0,"",IF(H28&gt;=1,"No steady state: the line grows by about "&amp;TEXT((D28-G28*F28)*10,"0")&amp;" in 10 min",IF(ISNUMBER(O28),IF(ABS(O28-1)&lt;=0.2,"Steady: Little's Law holds",IF(O28&gt;1,"Draining a line left from earlier","Line still building")),"Hardly any line")))</f>
        <v/>
      </c>
    </row>
    <row r="29" customFormat="false" ht="21.75" hidden="false" customHeight="true" outlineLevel="0" collapsed="false">
      <c r="A29" s="13" t="s">
        <v>324</v>
      </c>
      <c r="B29" s="13" t="s">
        <v>325</v>
      </c>
      <c r="C29" s="26" t="s">
        <v>344</v>
      </c>
      <c r="D29" s="50" t="n">
        <f aca="false">'Sim Data'!$E$6</f>
        <v>0</v>
      </c>
      <c r="E29" s="51" t="n">
        <f aca="false">'Sim Data'!$G$6</f>
        <v>0</v>
      </c>
      <c r="F29" s="52" t="n">
        <f aca="false">IF(E29&gt;0,1/E29,60/Assumptions!$B$16)</f>
        <v>30</v>
      </c>
      <c r="G29" s="53" t="n">
        <f aca="false">Assumptions!$B$15</f>
        <v>1</v>
      </c>
      <c r="H29" s="54" t="n">
        <f aca="false">D29/(G29*F29)</f>
        <v>0</v>
      </c>
      <c r="I29" s="26" t="str">
        <f aca="false">IF(D29=0,"no arrivals",IF(H29&lt;0.85,"stable",IF(H29&lt;1,"near capacity","over capacity")))</f>
        <v>no arrivals</v>
      </c>
      <c r="J29" s="47" t="str">
        <f aca="false">IF(AND(D29&gt;0,H29&lt;1),H29/(F29-D29),"—")</f>
        <v>—</v>
      </c>
      <c r="K29" s="47" t="str">
        <f aca="false">IF(ISNUMBER(J29),(1+0.3^2)/2*J29,"—")</f>
        <v>—</v>
      </c>
      <c r="L29" s="55" t="n">
        <f aca="false">'Sim Data'!$F$6</f>
        <v>0</v>
      </c>
      <c r="M29" s="50" t="n">
        <f aca="false">'Sim Data'!$H$6</f>
        <v>0</v>
      </c>
      <c r="N29" s="52" t="n">
        <f aca="false">D29*L29</f>
        <v>0</v>
      </c>
      <c r="O29" s="47" t="str">
        <f aca="false">IF(MAX(M29,N29)&lt;0.5,"both ≈ 0",IF(N29=0,"no new arrivals",M29/N29))</f>
        <v>both ≈ 0</v>
      </c>
      <c r="P29" s="13" t="str">
        <f aca="false">IF(D29=0,"",IF(H29&gt;=1,"No steady state: the line grows by about "&amp;TEXT((D29-G29*F29)*10,"0")&amp;" in 10 min",IF(ISNUMBER(O29),IF(ABS(O29-1)&lt;=0.2,"Steady: Little's Law holds",IF(O29&gt;1,"Draining a line left from earlier","Line still building")),"Hardly any line")))</f>
        <v/>
      </c>
    </row>
    <row r="30" customFormat="false" ht="21.75" hidden="false" customHeight="true" outlineLevel="0" collapsed="false">
      <c r="A30" s="13" t="s">
        <v>324</v>
      </c>
      <c r="B30" s="13" t="s">
        <v>325</v>
      </c>
      <c r="C30" s="26" t="s">
        <v>345</v>
      </c>
      <c r="D30" s="50" t="n">
        <f aca="false">'Sim Data'!$E$7</f>
        <v>0</v>
      </c>
      <c r="E30" s="51" t="n">
        <f aca="false">'Sim Data'!$G$7</f>
        <v>0</v>
      </c>
      <c r="F30" s="52" t="n">
        <f aca="false">IF(E30&gt;0,1/E30,60/Assumptions!$B$16)</f>
        <v>30</v>
      </c>
      <c r="G30" s="53" t="n">
        <f aca="false">Assumptions!$B$15</f>
        <v>1</v>
      </c>
      <c r="H30" s="54" t="n">
        <f aca="false">D30/(G30*F30)</f>
        <v>0</v>
      </c>
      <c r="I30" s="26" t="str">
        <f aca="false">IF(D30=0,"no arrivals",IF(H30&lt;0.85,"stable",IF(H30&lt;1,"near capacity","over capacity")))</f>
        <v>no arrivals</v>
      </c>
      <c r="J30" s="47" t="str">
        <f aca="false">IF(AND(D30&gt;0,H30&lt;1),H30/(F30-D30),"—")</f>
        <v>—</v>
      </c>
      <c r="K30" s="47" t="str">
        <f aca="false">IF(ISNUMBER(J30),(1+0.3^2)/2*J30,"—")</f>
        <v>—</v>
      </c>
      <c r="L30" s="55" t="n">
        <f aca="false">'Sim Data'!$F$7</f>
        <v>0</v>
      </c>
      <c r="M30" s="50" t="n">
        <f aca="false">'Sim Data'!$H$7</f>
        <v>0</v>
      </c>
      <c r="N30" s="52" t="n">
        <f aca="false">D30*L30</f>
        <v>0</v>
      </c>
      <c r="O30" s="47" t="str">
        <f aca="false">IF(MAX(M30,N30)&lt;0.5,"both ≈ 0",IF(N30=0,"no new arrivals",M30/N30))</f>
        <v>both ≈ 0</v>
      </c>
      <c r="P30" s="13" t="str">
        <f aca="false">IF(D30=0,"",IF(H30&gt;=1,"No steady state: the line grows by about "&amp;TEXT((D30-G30*F30)*10,"0")&amp;" in 10 min",IF(ISNUMBER(O30),IF(ABS(O30-1)&lt;=0.2,"Steady: Little's Law holds",IF(O30&gt;1,"Draining a line left from earlier","Line still building")),"Hardly any line")))</f>
        <v/>
      </c>
    </row>
    <row r="31" customFormat="false" ht="21.75" hidden="false" customHeight="true" outlineLevel="0" collapsed="false">
      <c r="A31" s="13" t="s">
        <v>324</v>
      </c>
      <c r="B31" s="13" t="s">
        <v>325</v>
      </c>
      <c r="C31" s="26" t="s">
        <v>146</v>
      </c>
      <c r="D31" s="50" t="n">
        <f aca="false">'Sim Data'!$E$8</f>
        <v>14.52</v>
      </c>
      <c r="E31" s="51" t="n">
        <f aca="false">'Sim Data'!$G$8</f>
        <v>0.0335</v>
      </c>
      <c r="F31" s="52" t="n">
        <f aca="false">IF(E31&gt;0,1/E31,60/Assumptions!$B$16)</f>
        <v>29.8507462686567</v>
      </c>
      <c r="G31" s="53" t="n">
        <f aca="false">Assumptions!$B$15</f>
        <v>1</v>
      </c>
      <c r="H31" s="54" t="n">
        <f aca="false">D31/(G31*F31)</f>
        <v>0.48642</v>
      </c>
      <c r="I31" s="26" t="str">
        <f aca="false">IF(D31=0,"no arrivals",IF(H31&lt;0.85,"stable",IF(H31&lt;1,"near capacity","over capacity")))</f>
        <v>stable</v>
      </c>
      <c r="J31" s="47" t="n">
        <f aca="false">IF(AND(D31&gt;0,H31&lt;1),H31/(F31-D31),"—")</f>
        <v>0.0317283967444215</v>
      </c>
      <c r="K31" s="47" t="n">
        <f aca="false">IF(ISNUMBER(J31),(1+0.3^2)/2*J31,"—")</f>
        <v>0.0172919762257097</v>
      </c>
      <c r="L31" s="55" t="n">
        <f aca="false">'Sim Data'!$F$8</f>
        <v>0.0195</v>
      </c>
      <c r="M31" s="50" t="n">
        <f aca="false">'Sim Data'!$H$8</f>
        <v>0.2811</v>
      </c>
      <c r="N31" s="52" t="n">
        <f aca="false">D31*L31</f>
        <v>0.28314</v>
      </c>
      <c r="O31" s="47" t="str">
        <f aca="false">IF(MAX(M31,N31)&lt;0.5,"both ≈ 0",IF(N31=0,"no new arrivals",M31/N31))</f>
        <v>both ≈ 0</v>
      </c>
      <c r="P31" s="13" t="str">
        <f aca="false">IF(D31=0,"",IF(H31&gt;=1,"No steady state: the line grows by about "&amp;TEXT((D31-G31*F31)*10,"0")&amp;" in 10 min",IF(ISNUMBER(O31),IF(ABS(O31-1)&lt;=0.2,"Steady: Little's Law holds",IF(O31&gt;1,"Draining a line left from earlier","Line still building")),"Hardly any line")))</f>
        <v>Hardly any line</v>
      </c>
    </row>
    <row r="32" customFormat="false" ht="21.75" hidden="false" customHeight="true" outlineLevel="0" collapsed="false">
      <c r="A32" s="13" t="s">
        <v>324</v>
      </c>
      <c r="B32" s="13" t="s">
        <v>325</v>
      </c>
      <c r="C32" s="26" t="s">
        <v>346</v>
      </c>
      <c r="D32" s="50" t="n">
        <f aca="false">'Sim Data'!$E$9</f>
        <v>18.77</v>
      </c>
      <c r="E32" s="51" t="n">
        <f aca="false">'Sim Data'!$G$9</f>
        <v>0.0333</v>
      </c>
      <c r="F32" s="52" t="n">
        <f aca="false">IF(E32&gt;0,1/E32,60/Assumptions!$B$16)</f>
        <v>30.03003003003</v>
      </c>
      <c r="G32" s="53" t="n">
        <f aca="false">Assumptions!$B$15</f>
        <v>1</v>
      </c>
      <c r="H32" s="54" t="n">
        <f aca="false">D32/(G32*F32)</f>
        <v>0.625041</v>
      </c>
      <c r="I32" s="26" t="str">
        <f aca="false">IF(D32=0,"no arrivals",IF(H32&lt;0.85,"stable",IF(H32&lt;1,"near capacity","over capacity")))</f>
        <v>stable</v>
      </c>
      <c r="J32" s="47" t="n">
        <f aca="false">IF(AND(D32&gt;0,H32&lt;1),H32/(F32-D32),"—")</f>
        <v>0.0555097098616116</v>
      </c>
      <c r="K32" s="47" t="n">
        <f aca="false">IF(ISNUMBER(J32),(1+0.3^2)/2*J32,"—")</f>
        <v>0.0302527918745783</v>
      </c>
      <c r="L32" s="55" t="n">
        <f aca="false">'Sim Data'!$F$9</f>
        <v>0.0272</v>
      </c>
      <c r="M32" s="50" t="n">
        <f aca="false">'Sim Data'!$H$9</f>
        <v>0.5063</v>
      </c>
      <c r="N32" s="52" t="n">
        <f aca="false">D32*L32</f>
        <v>0.510544</v>
      </c>
      <c r="O32" s="47" t="n">
        <f aca="false">IF(MAX(M32,N32)&lt;0.5,"both ≈ 0",IF(N32=0,"no new arrivals",M32/N32))</f>
        <v>0.991687298254411</v>
      </c>
      <c r="P32" s="13" t="str">
        <f aca="false">IF(D32=0,"",IF(H32&gt;=1,"No steady state: the line grows by about "&amp;TEXT((D32-G32*F32)*10,"0")&amp;" in 10 min",IF(ISNUMBER(O32),IF(ABS(O32-1)&lt;=0.2,"Steady: Little's Law holds",IF(O32&gt;1,"Draining a line left from earlier","Line still building")),"Hardly any line")))</f>
        <v>Steady: Little's Law holds</v>
      </c>
    </row>
    <row r="33" customFormat="false" ht="21.75" hidden="false" customHeight="true" outlineLevel="0" collapsed="false">
      <c r="A33" s="13" t="s">
        <v>324</v>
      </c>
      <c r="B33" s="13" t="s">
        <v>325</v>
      </c>
      <c r="C33" s="26" t="s">
        <v>347</v>
      </c>
      <c r="D33" s="50" t="n">
        <f aca="false">'Sim Data'!$E$10</f>
        <v>18.825</v>
      </c>
      <c r="E33" s="51" t="n">
        <f aca="false">'Sim Data'!$G$10</f>
        <v>0.0335</v>
      </c>
      <c r="F33" s="52" t="n">
        <f aca="false">IF(E33&gt;0,1/E33,60/Assumptions!$B$16)</f>
        <v>29.8507462686567</v>
      </c>
      <c r="G33" s="53" t="n">
        <f aca="false">Assumptions!$B$15</f>
        <v>1</v>
      </c>
      <c r="H33" s="54" t="n">
        <f aca="false">D33/(G33*F33)</f>
        <v>0.6306375</v>
      </c>
      <c r="I33" s="26" t="str">
        <f aca="false">IF(D33=0,"no arrivals",IF(H33&lt;0.85,"stable",IF(H33&lt;1,"near capacity","over capacity")))</f>
        <v>stable</v>
      </c>
      <c r="J33" s="47" t="n">
        <f aca="false">IF(AND(D33&gt;0,H33&lt;1),H33/(F33-D33),"—")</f>
        <v>0.0571968086906495</v>
      </c>
      <c r="K33" s="47" t="n">
        <f aca="false">IF(ISNUMBER(J33),(1+0.3^2)/2*J33,"—")</f>
        <v>0.031172260736404</v>
      </c>
      <c r="L33" s="55" t="n">
        <f aca="false">'Sim Data'!$F$10</f>
        <v>0.037</v>
      </c>
      <c r="M33" s="50" t="n">
        <f aca="false">'Sim Data'!$H$10</f>
        <v>0.701</v>
      </c>
      <c r="N33" s="52" t="n">
        <f aca="false">D33*L33</f>
        <v>0.696525</v>
      </c>
      <c r="O33" s="47" t="n">
        <f aca="false">IF(MAX(M33,N33)&lt;0.5,"both ≈ 0",IF(N33=0,"no new arrivals",M33/N33))</f>
        <v>1.00642475144467</v>
      </c>
      <c r="P33" s="13" t="str">
        <f aca="false">IF(D33=0,"",IF(H33&gt;=1,"No steady state: the line grows by about "&amp;TEXT((D33-G33*F33)*10,"0")&amp;" in 10 min",IF(ISNUMBER(O33),IF(ABS(O33-1)&lt;=0.2,"Steady: Little's Law holds",IF(O33&gt;1,"Draining a line left from earlier","Line still building")),"Hardly any line")))</f>
        <v>Steady: Little's Law holds</v>
      </c>
    </row>
    <row r="34" customFormat="false" ht="21.75" hidden="false" customHeight="true" outlineLevel="0" collapsed="false">
      <c r="A34" s="13" t="s">
        <v>324</v>
      </c>
      <c r="B34" s="13" t="s">
        <v>325</v>
      </c>
      <c r="C34" s="26" t="s">
        <v>155</v>
      </c>
      <c r="D34" s="50" t="n">
        <f aca="false">'Sim Data'!$E$11</f>
        <v>22.915</v>
      </c>
      <c r="E34" s="51" t="n">
        <f aca="false">'Sim Data'!$G$11</f>
        <v>0.0335</v>
      </c>
      <c r="F34" s="52" t="n">
        <f aca="false">IF(E34&gt;0,1/E34,60/Assumptions!$B$16)</f>
        <v>29.8507462686567</v>
      </c>
      <c r="G34" s="53" t="n">
        <f aca="false">Assumptions!$B$15</f>
        <v>1</v>
      </c>
      <c r="H34" s="54" t="n">
        <f aca="false">D34/(G34*F34)</f>
        <v>0.7676525</v>
      </c>
      <c r="I34" s="26" t="str">
        <f aca="false">IF(D34=0,"no arrivals",IF(H34&lt;0.85,"stable",IF(H34&lt;1,"near capacity","over capacity")))</f>
        <v>stable</v>
      </c>
      <c r="J34" s="47" t="n">
        <f aca="false">IF(AND(D34&gt;0,H34&lt;1),H34/(F34-D34),"—")</f>
        <v>0.110680591570815</v>
      </c>
      <c r="K34" s="47" t="n">
        <f aca="false">IF(ISNUMBER(J34),(1+0.3^2)/2*J34,"—")</f>
        <v>0.0603209224060943</v>
      </c>
      <c r="L34" s="55" t="n">
        <f aca="false">'Sim Data'!$F$11</f>
        <v>0.068</v>
      </c>
      <c r="M34" s="50" t="n">
        <f aca="false">'Sim Data'!$H$11</f>
        <v>1.5535</v>
      </c>
      <c r="N34" s="52" t="n">
        <f aca="false">D34*L34</f>
        <v>1.55822</v>
      </c>
      <c r="O34" s="47" t="n">
        <f aca="false">IF(MAX(M34,N34)&lt;0.5,"both ≈ 0",IF(N34=0,"no new arrivals",M34/N34))</f>
        <v>0.996970902696667</v>
      </c>
      <c r="P34" s="13" t="str">
        <f aca="false">IF(D34=0,"",IF(H34&gt;=1,"No steady state: the line grows by about "&amp;TEXT((D34-G34*F34)*10,"0")&amp;" in 10 min",IF(ISNUMBER(O34),IF(ABS(O34-1)&lt;=0.2,"Steady: Little's Law holds",IF(O34&gt;1,"Draining a line left from earlier","Line still building")),"Hardly any line")))</f>
        <v>Steady: Little's Law holds</v>
      </c>
    </row>
    <row r="35" customFormat="false" ht="21.75" hidden="false" customHeight="true" outlineLevel="0" collapsed="false">
      <c r="A35" s="13" t="s">
        <v>324</v>
      </c>
      <c r="B35" s="13" t="s">
        <v>325</v>
      </c>
      <c r="C35" s="26" t="s">
        <v>159</v>
      </c>
      <c r="D35" s="50" t="n">
        <f aca="false">'Sim Data'!$E$12</f>
        <v>20.35</v>
      </c>
      <c r="E35" s="51" t="n">
        <f aca="false">'Sim Data'!$G$12</f>
        <v>0.0334</v>
      </c>
      <c r="F35" s="52" t="n">
        <f aca="false">IF(E35&gt;0,1/E35,60/Assumptions!$B$16)</f>
        <v>29.940119760479</v>
      </c>
      <c r="G35" s="53" t="n">
        <f aca="false">Assumptions!$B$15</f>
        <v>1</v>
      </c>
      <c r="H35" s="54" t="n">
        <f aca="false">D35/(G35*F35)</f>
        <v>0.67969</v>
      </c>
      <c r="I35" s="26" t="str">
        <f aca="false">IF(D35=0,"no arrivals",IF(H35&lt;0.85,"stable",IF(H35&lt;1,"near capacity","over capacity")))</f>
        <v>stable</v>
      </c>
      <c r="J35" s="47" t="n">
        <f aca="false">IF(AND(D35&gt;0,H35&lt;1),H35/(F35-D35),"—")</f>
        <v>0.0708739845774406</v>
      </c>
      <c r="K35" s="47" t="n">
        <f aca="false">IF(ISNUMBER(J35),(1+0.3^2)/2*J35,"—")</f>
        <v>0.0386263215947051</v>
      </c>
      <c r="L35" s="55" t="n">
        <f aca="false">'Sim Data'!$F$12</f>
        <v>0.0399</v>
      </c>
      <c r="M35" s="50" t="n">
        <f aca="false">'Sim Data'!$H$12</f>
        <v>0.8137</v>
      </c>
      <c r="N35" s="52" t="n">
        <f aca="false">D35*L35</f>
        <v>0.811965</v>
      </c>
      <c r="O35" s="47" t="n">
        <f aca="false">IF(MAX(M35,N35)&lt;0.5,"both ≈ 0",IF(N35=0,"no new arrivals",M35/N35))</f>
        <v>1.00213679161048</v>
      </c>
      <c r="P35" s="13" t="str">
        <f aca="false">IF(D35=0,"",IF(H35&gt;=1,"No steady state: the line grows by about "&amp;TEXT((D35-G35*F35)*10,"0")&amp;" in 10 min",IF(ISNUMBER(O35),IF(ABS(O35-1)&lt;=0.2,"Steady: Little's Law holds",IF(O35&gt;1,"Draining a line left from earlier","Line still building")),"Hardly any line")))</f>
        <v>Steady: Little's Law holds</v>
      </c>
    </row>
    <row r="36" customFormat="false" ht="21.75" hidden="false" customHeight="true" outlineLevel="0" collapsed="false">
      <c r="A36" s="13" t="s">
        <v>324</v>
      </c>
      <c r="B36" s="13" t="s">
        <v>325</v>
      </c>
      <c r="C36" s="26" t="s">
        <v>162</v>
      </c>
      <c r="D36" s="50" t="n">
        <f aca="false">'Sim Data'!$E$13</f>
        <v>16.86</v>
      </c>
      <c r="E36" s="51" t="n">
        <f aca="false">'Sim Data'!$G$13</f>
        <v>0.0334</v>
      </c>
      <c r="F36" s="52" t="n">
        <f aca="false">IF(E36&gt;0,1/E36,60/Assumptions!$B$16)</f>
        <v>29.940119760479</v>
      </c>
      <c r="G36" s="53" t="n">
        <f aca="false">Assumptions!$B$15</f>
        <v>1</v>
      </c>
      <c r="H36" s="54" t="n">
        <f aca="false">D36/(G36*F36)</f>
        <v>0.563124</v>
      </c>
      <c r="I36" s="26" t="str">
        <f aca="false">IF(D36=0,"no arrivals",IF(H36&lt;0.85,"stable",IF(H36&lt;1,"near capacity","over capacity")))</f>
        <v>stable</v>
      </c>
      <c r="J36" s="47" t="n">
        <f aca="false">IF(AND(D36&gt;0,H36&lt;1),H36/(F36-D36),"—")</f>
        <v>0.0430518993947939</v>
      </c>
      <c r="K36" s="47" t="n">
        <f aca="false">IF(ISNUMBER(J36),(1+0.3^2)/2*J36,"—")</f>
        <v>0.0234632851701627</v>
      </c>
      <c r="L36" s="55" t="n">
        <f aca="false">'Sim Data'!$F$13</f>
        <v>0.0222</v>
      </c>
      <c r="M36" s="50" t="n">
        <f aca="false">'Sim Data'!$H$13</f>
        <v>0.3785</v>
      </c>
      <c r="N36" s="52" t="n">
        <f aca="false">D36*L36</f>
        <v>0.374292</v>
      </c>
      <c r="O36" s="47" t="str">
        <f aca="false">IF(MAX(M36,N36)&lt;0.5,"both ≈ 0",IF(N36=0,"no new arrivals",M36/N36))</f>
        <v>both ≈ 0</v>
      </c>
      <c r="P36" s="13" t="str">
        <f aca="false">IF(D36=0,"",IF(H36&gt;=1,"No steady state: the line grows by about "&amp;TEXT((D36-G36*F36)*10,"0")&amp;" in 10 min",IF(ISNUMBER(O36),IF(ABS(O36-1)&lt;=0.2,"Steady: Little's Law holds",IF(O36&gt;1,"Draining a line left from earlier","Line still building")),"Hardly any line")))</f>
        <v>Hardly any line</v>
      </c>
    </row>
    <row r="37" customFormat="false" ht="21.75" hidden="false" customHeight="true" outlineLevel="0" collapsed="false">
      <c r="A37" s="13" t="s">
        <v>324</v>
      </c>
      <c r="B37" s="13" t="s">
        <v>325</v>
      </c>
      <c r="C37" s="26" t="s">
        <v>147</v>
      </c>
      <c r="D37" s="50" t="n">
        <f aca="false">'Sim Data'!$E$14</f>
        <v>22.705</v>
      </c>
      <c r="E37" s="51" t="n">
        <f aca="false">'Sim Data'!$G$14</f>
        <v>0.0333</v>
      </c>
      <c r="F37" s="52" t="n">
        <f aca="false">IF(E37&gt;0,1/E37,60/Assumptions!$B$16)</f>
        <v>30.03003003003</v>
      </c>
      <c r="G37" s="53" t="n">
        <f aca="false">Assumptions!$B$15</f>
        <v>1</v>
      </c>
      <c r="H37" s="54" t="n">
        <f aca="false">D37/(G37*F37)</f>
        <v>0.7560765</v>
      </c>
      <c r="I37" s="26" t="str">
        <f aca="false">IF(D37=0,"no arrivals",IF(H37&lt;0.85,"stable",IF(H37&lt;1,"near capacity","over capacity")))</f>
        <v>stable</v>
      </c>
      <c r="J37" s="47" t="n">
        <f aca="false">IF(AND(D37&gt;0,H37&lt;1),H37/(F37-D37),"—")</f>
        <v>0.103218211652424</v>
      </c>
      <c r="K37" s="47" t="n">
        <f aca="false">IF(ISNUMBER(J37),(1+0.3^2)/2*J37,"—")</f>
        <v>0.056253925350571</v>
      </c>
      <c r="L37" s="55" t="n">
        <f aca="false">'Sim Data'!$F$14</f>
        <v>0.0897</v>
      </c>
      <c r="M37" s="50" t="n">
        <f aca="false">'Sim Data'!$H$14</f>
        <v>1.9655</v>
      </c>
      <c r="N37" s="52" t="n">
        <f aca="false">D37*L37</f>
        <v>2.0366385</v>
      </c>
      <c r="O37" s="47" t="n">
        <f aca="false">IF(MAX(M37,N37)&lt;0.5,"both ≈ 0",IF(N37=0,"no new arrivals",M37/N37))</f>
        <v>0.965070629863866</v>
      </c>
      <c r="P37" s="13" t="str">
        <f aca="false">IF(D37=0,"",IF(H37&gt;=1,"No steady state: the line grows by about "&amp;TEXT((D37-G37*F37)*10,"0")&amp;" in 10 min",IF(ISNUMBER(O37),IF(ABS(O37-1)&lt;=0.2,"Steady: Little's Law holds",IF(O37&gt;1,"Draining a line left from earlier","Line still building")),"Hardly any line")))</f>
        <v>Steady: Little's Law holds</v>
      </c>
    </row>
    <row r="38" customFormat="false" ht="21.75" hidden="false" customHeight="true" outlineLevel="0" collapsed="false">
      <c r="A38" s="13" t="s">
        <v>324</v>
      </c>
      <c r="B38" s="13" t="s">
        <v>325</v>
      </c>
      <c r="C38" s="26" t="s">
        <v>348</v>
      </c>
      <c r="D38" s="50" t="n">
        <f aca="false">'Sim Data'!$E$15</f>
        <v>29.56</v>
      </c>
      <c r="E38" s="51" t="n">
        <f aca="false">'Sim Data'!$G$15</f>
        <v>0.0333</v>
      </c>
      <c r="F38" s="52" t="n">
        <f aca="false">IF(E38&gt;0,1/E38,60/Assumptions!$B$16)</f>
        <v>30.03003003003</v>
      </c>
      <c r="G38" s="53" t="n">
        <f aca="false">Assumptions!$B$15</f>
        <v>1</v>
      </c>
      <c r="H38" s="54" t="n">
        <f aca="false">D38/(G38*F38)</f>
        <v>0.984348</v>
      </c>
      <c r="I38" s="26" t="str">
        <f aca="false">IF(D38=0,"no arrivals",IF(H38&lt;0.85,"stable",IF(H38&lt;1,"near capacity","over capacity")))</f>
        <v>near capacity</v>
      </c>
      <c r="J38" s="47" t="n">
        <f aca="false">IF(AND(D38&gt;0,H38&lt;1),H38/(F38-D38),"—")</f>
        <v>2.09422363915156</v>
      </c>
      <c r="K38" s="47" t="n">
        <f aca="false">IF(ISNUMBER(J38),(1+0.3^2)/2*J38,"—")</f>
        <v>1.1413518833376</v>
      </c>
      <c r="L38" s="55" t="n">
        <f aca="false">'Sim Data'!$F$15</f>
        <v>0.3055</v>
      </c>
      <c r="M38" s="50" t="n">
        <f aca="false">'Sim Data'!$H$15</f>
        <v>8.9063</v>
      </c>
      <c r="N38" s="52" t="n">
        <f aca="false">D38*L38</f>
        <v>9.03058</v>
      </c>
      <c r="O38" s="47" t="n">
        <f aca="false">IF(MAX(M38,N38)&lt;0.5,"both ≈ 0",IF(N38=0,"no new arrivals",M38/N38))</f>
        <v>0.986237871764604</v>
      </c>
      <c r="P38" s="13" t="str">
        <f aca="false">IF(D38=0,"",IF(H38&gt;=1,"No steady state: the line grows by about "&amp;TEXT((D38-G38*F38)*10,"0")&amp;" in 10 min",IF(ISNUMBER(O38),IF(ABS(O38-1)&lt;=0.2,"Steady: Little's Law holds",IF(O38&gt;1,"Draining a line left from earlier","Line still building")),"Hardly any line")))</f>
        <v>Steady: Little's Law holds</v>
      </c>
    </row>
    <row r="39" customFormat="false" ht="21.75" hidden="false" customHeight="true" outlineLevel="0" collapsed="false">
      <c r="A39" s="13" t="s">
        <v>324</v>
      </c>
      <c r="B39" s="13" t="s">
        <v>325</v>
      </c>
      <c r="C39" s="26" t="s">
        <v>349</v>
      </c>
      <c r="D39" s="50" t="n">
        <f aca="false">'Sim Data'!$E$16</f>
        <v>28.33</v>
      </c>
      <c r="E39" s="51" t="n">
        <f aca="false">'Sim Data'!$G$16</f>
        <v>0.0332</v>
      </c>
      <c r="F39" s="52" t="n">
        <f aca="false">IF(E39&gt;0,1/E39,60/Assumptions!$B$16)</f>
        <v>30.1204819277108</v>
      </c>
      <c r="G39" s="53" t="n">
        <f aca="false">Assumptions!$B$15</f>
        <v>1</v>
      </c>
      <c r="H39" s="54" t="n">
        <f aca="false">D39/(G39*F39)</f>
        <v>0.940556</v>
      </c>
      <c r="I39" s="26" t="str">
        <f aca="false">IF(D39=0,"no arrivals",IF(H39&lt;0.85,"stable",IF(H39&lt;1,"near capacity","over capacity")))</f>
        <v>near capacity</v>
      </c>
      <c r="J39" s="47" t="n">
        <f aca="false">IF(AND(D39&gt;0,H39&lt;1),H39/(F39-D39),"—")</f>
        <v>0.525308848664289</v>
      </c>
      <c r="K39" s="47" t="n">
        <f aca="false">IF(ISNUMBER(J39),(1+0.3^2)/2*J39,"—")</f>
        <v>0.286293322522038</v>
      </c>
      <c r="L39" s="55" t="n">
        <f aca="false">'Sim Data'!$F$16</f>
        <v>0.3</v>
      </c>
      <c r="M39" s="50" t="n">
        <f aca="false">'Sim Data'!$H$16</f>
        <v>8.6</v>
      </c>
      <c r="N39" s="52" t="n">
        <f aca="false">D39*L39</f>
        <v>8.499</v>
      </c>
      <c r="O39" s="47" t="n">
        <f aca="false">IF(MAX(M39,N39)&lt;0.5,"both ≈ 0",IF(N39=0,"no new arrivals",M39/N39))</f>
        <v>1.01188375102953</v>
      </c>
      <c r="P39" s="13" t="str">
        <f aca="false">IF(D39=0,"",IF(H39&gt;=1,"No steady state: the line grows by about "&amp;TEXT((D39-G39*F39)*10,"0")&amp;" in 10 min",IF(ISNUMBER(O39),IF(ABS(O39-1)&lt;=0.2,"Steady: Little's Law holds",IF(O39&gt;1,"Draining a line left from earlier","Line still building")),"Hardly any line")))</f>
        <v>Steady: Little's Law holds</v>
      </c>
    </row>
    <row r="40" customFormat="false" ht="21.75" hidden="false" customHeight="true" outlineLevel="0" collapsed="false">
      <c r="A40" s="13" t="s">
        <v>324</v>
      </c>
      <c r="B40" s="13" t="s">
        <v>325</v>
      </c>
      <c r="C40" s="26" t="s">
        <v>156</v>
      </c>
      <c r="D40" s="50" t="n">
        <f aca="false">'Sim Data'!$E$17</f>
        <v>21.35</v>
      </c>
      <c r="E40" s="51" t="n">
        <f aca="false">'Sim Data'!$G$17</f>
        <v>0.0334</v>
      </c>
      <c r="F40" s="52" t="n">
        <f aca="false">IF(E40&gt;0,1/E40,60/Assumptions!$B$16)</f>
        <v>29.940119760479</v>
      </c>
      <c r="G40" s="53" t="n">
        <f aca="false">Assumptions!$B$15</f>
        <v>1</v>
      </c>
      <c r="H40" s="54" t="n">
        <f aca="false">D40/(G40*F40)</f>
        <v>0.71309</v>
      </c>
      <c r="I40" s="26" t="str">
        <f aca="false">IF(D40=0,"no arrivals",IF(H40&lt;0.85,"stable",IF(H40&lt;1,"near capacity","over capacity")))</f>
        <v>stable</v>
      </c>
      <c r="J40" s="47" t="n">
        <f aca="false">IF(AND(D40&gt;0,H40&lt;1),H40/(F40-D40),"—")</f>
        <v>0.0830128123801889</v>
      </c>
      <c r="K40" s="47" t="n">
        <f aca="false">IF(ISNUMBER(J40),(1+0.3^2)/2*J40,"—")</f>
        <v>0.045241982747203</v>
      </c>
      <c r="L40" s="55" t="n">
        <f aca="false">'Sim Data'!$F$17</f>
        <v>0.059</v>
      </c>
      <c r="M40" s="50" t="n">
        <f aca="false">'Sim Data'!$H$17</f>
        <v>1.3529</v>
      </c>
      <c r="N40" s="52" t="n">
        <f aca="false">D40*L40</f>
        <v>1.25965</v>
      </c>
      <c r="O40" s="47" t="n">
        <f aca="false">IF(MAX(M40,N40)&lt;0.5,"both ≈ 0",IF(N40=0,"no new arrivals",M40/N40))</f>
        <v>1.07402849998015</v>
      </c>
      <c r="P40" s="13" t="str">
        <f aca="false">IF(D40=0,"",IF(H40&gt;=1,"No steady state: the line grows by about "&amp;TEXT((D40-G40*F40)*10,"0")&amp;" in 10 min",IF(ISNUMBER(O40),IF(ABS(O40-1)&lt;=0.2,"Steady: Little's Law holds",IF(O40&gt;1,"Draining a line left from earlier","Line still building")),"Hardly any line")))</f>
        <v>Steady: Little's Law holds</v>
      </c>
    </row>
    <row r="41" customFormat="false" ht="21.75" hidden="false" customHeight="true" outlineLevel="0" collapsed="false">
      <c r="A41" s="13" t="s">
        <v>324</v>
      </c>
      <c r="B41" s="13" t="s">
        <v>325</v>
      </c>
      <c r="C41" s="26" t="s">
        <v>160</v>
      </c>
      <c r="D41" s="50" t="n">
        <f aca="false">'Sim Data'!$E$18</f>
        <v>14.575</v>
      </c>
      <c r="E41" s="51" t="n">
        <f aca="false">'Sim Data'!$G$18</f>
        <v>0.0333</v>
      </c>
      <c r="F41" s="52" t="n">
        <f aca="false">IF(E41&gt;0,1/E41,60/Assumptions!$B$16)</f>
        <v>30.03003003003</v>
      </c>
      <c r="G41" s="53" t="n">
        <f aca="false">Assumptions!$B$15</f>
        <v>1</v>
      </c>
      <c r="H41" s="54" t="n">
        <f aca="false">D41/(G41*F41)</f>
        <v>0.4853475</v>
      </c>
      <c r="I41" s="26" t="str">
        <f aca="false">IF(D41=0,"no arrivals",IF(H41&lt;0.85,"stable",IF(H41&lt;1,"near capacity","over capacity")))</f>
        <v>stable</v>
      </c>
      <c r="J41" s="47" t="n">
        <f aca="false">IF(AND(D41&gt;0,H41&lt;1),H41/(F41-D41),"—")</f>
        <v>0.031403853571099</v>
      </c>
      <c r="K41" s="47" t="n">
        <f aca="false">IF(ISNUMBER(J41),(1+0.3^2)/2*J41,"—")</f>
        <v>0.0171151001962489</v>
      </c>
      <c r="L41" s="55" t="n">
        <f aca="false">'Sim Data'!$F$18</f>
        <v>0.018</v>
      </c>
      <c r="M41" s="50" t="n">
        <f aca="false">'Sim Data'!$H$18</f>
        <v>0.263</v>
      </c>
      <c r="N41" s="52" t="n">
        <f aca="false">D41*L41</f>
        <v>0.26235</v>
      </c>
      <c r="O41" s="47" t="str">
        <f aca="false">IF(MAX(M41,N41)&lt;0.5,"both ≈ 0",IF(N41=0,"no new arrivals",M41/N41))</f>
        <v>both ≈ 0</v>
      </c>
      <c r="P41" s="13" t="str">
        <f aca="false">IF(D41=0,"",IF(H41&gt;=1,"No steady state: the line grows by about "&amp;TEXT((D41-G41*F41)*10,"0")&amp;" in 10 min",IF(ISNUMBER(O41),IF(ABS(O41-1)&lt;=0.2,"Steady: Little's Law holds",IF(O41&gt;1,"Draining a line left from earlier","Line still building")),"Hardly any line")))</f>
        <v>Hardly any line</v>
      </c>
    </row>
    <row r="42" customFormat="false" ht="21.75" hidden="false" customHeight="true" outlineLevel="0" collapsed="false">
      <c r="A42" s="13" t="s">
        <v>324</v>
      </c>
      <c r="B42" s="13" t="s">
        <v>325</v>
      </c>
      <c r="C42" s="26" t="s">
        <v>163</v>
      </c>
      <c r="D42" s="50" t="n">
        <f aca="false">'Sim Data'!$E$19</f>
        <v>7.17</v>
      </c>
      <c r="E42" s="51" t="n">
        <f aca="false">'Sim Data'!$G$19</f>
        <v>0.0333</v>
      </c>
      <c r="F42" s="52" t="n">
        <f aca="false">IF(E42&gt;0,1/E42,60/Assumptions!$B$16)</f>
        <v>30.03003003003</v>
      </c>
      <c r="G42" s="53" t="n">
        <f aca="false">Assumptions!$B$15</f>
        <v>1</v>
      </c>
      <c r="H42" s="54" t="n">
        <f aca="false">D42/(G42*F42)</f>
        <v>0.238761</v>
      </c>
      <c r="I42" s="26" t="str">
        <f aca="false">IF(D42=0,"no arrivals",IF(H42&lt;0.85,"stable",IF(H42&lt;1,"near capacity","over capacity")))</f>
        <v>stable</v>
      </c>
      <c r="J42" s="47" t="n">
        <f aca="false">IF(AND(D42&gt;0,H42&lt;1),H42/(F42-D42),"—")</f>
        <v>0.0104444744685966</v>
      </c>
      <c r="K42" s="47" t="n">
        <f aca="false">IF(ISNUMBER(J42),(1+0.3^2)/2*J42,"—")</f>
        <v>0.00569223858538514</v>
      </c>
      <c r="L42" s="55" t="n">
        <f aca="false">'Sim Data'!$F$19</f>
        <v>0.0062</v>
      </c>
      <c r="M42" s="50" t="n">
        <f aca="false">'Sim Data'!$H$19</f>
        <v>0.0447</v>
      </c>
      <c r="N42" s="52" t="n">
        <f aca="false">D42*L42</f>
        <v>0.044454</v>
      </c>
      <c r="O42" s="47" t="str">
        <f aca="false">IF(MAX(M42,N42)&lt;0.5,"both ≈ 0",IF(N42=0,"no new arrivals",M42/N42))</f>
        <v>both ≈ 0</v>
      </c>
      <c r="P42" s="13" t="str">
        <f aca="false">IF(D42=0,"",IF(H42&gt;=1,"No steady state: the line grows by about "&amp;TEXT((D42-G42*F42)*10,"0")&amp;" in 10 min",IF(ISNUMBER(O42),IF(ABS(O42-1)&lt;=0.2,"Steady: Little's Law holds",IF(O42&gt;1,"Draining a line left from earlier","Line still building")),"Hardly any line")))</f>
        <v>Hardly any line</v>
      </c>
    </row>
    <row r="43" customFormat="false" ht="21.75" hidden="false" customHeight="true" outlineLevel="0" collapsed="false">
      <c r="A43" s="13" t="s">
        <v>324</v>
      </c>
      <c r="B43" s="13" t="s">
        <v>325</v>
      </c>
      <c r="C43" s="26" t="s">
        <v>150</v>
      </c>
      <c r="D43" s="50" t="n">
        <f aca="false">'Sim Data'!$E$20</f>
        <v>0</v>
      </c>
      <c r="E43" s="51" t="n">
        <f aca="false">'Sim Data'!$G$20</f>
        <v>0</v>
      </c>
      <c r="F43" s="52" t="n">
        <f aca="false">IF(E43&gt;0,1/E43,60/Assumptions!$B$16)</f>
        <v>30</v>
      </c>
      <c r="G43" s="53" t="n">
        <f aca="false">Assumptions!$B$15</f>
        <v>1</v>
      </c>
      <c r="H43" s="54" t="n">
        <f aca="false">D43/(G43*F43)</f>
        <v>0</v>
      </c>
      <c r="I43" s="26" t="str">
        <f aca="false">IF(D43=0,"no arrivals",IF(H43&lt;0.85,"stable",IF(H43&lt;1,"near capacity","over capacity")))</f>
        <v>no arrivals</v>
      </c>
      <c r="J43" s="47" t="str">
        <f aca="false">IF(AND(D43&gt;0,H43&lt;1),H43/(F43-D43),"—")</f>
        <v>—</v>
      </c>
      <c r="K43" s="47" t="str">
        <f aca="false">IF(ISNUMBER(J43),(1+0.3^2)/2*J43,"—")</f>
        <v>—</v>
      </c>
      <c r="L43" s="55" t="n">
        <f aca="false">'Sim Data'!$F$20</f>
        <v>0</v>
      </c>
      <c r="M43" s="50" t="n">
        <f aca="false">'Sim Data'!$H$20</f>
        <v>0</v>
      </c>
      <c r="N43" s="52" t="n">
        <f aca="false">D43*L43</f>
        <v>0</v>
      </c>
      <c r="O43" s="47" t="str">
        <f aca="false">IF(MAX(M43,N43)&lt;0.5,"both ≈ 0",IF(N43=0,"no new arrivals",M43/N43))</f>
        <v>both ≈ 0</v>
      </c>
      <c r="P43" s="13" t="str">
        <f aca="false">IF(D43=0,"",IF(H43&gt;=1,"No steady state: the line grows by about "&amp;TEXT((D43-G43*F43)*10,"0")&amp;" in 10 min",IF(ISNUMBER(O43),IF(ABS(O43-1)&lt;=0.2,"Steady: Little's Law holds",IF(O43&gt;1,"Draining a line left from earlier","Line still building")),"Hardly any line")))</f>
        <v/>
      </c>
    </row>
    <row r="44" customFormat="false" ht="21.75" hidden="false" customHeight="true" outlineLevel="0" collapsed="false">
      <c r="A44" s="13" t="s">
        <v>324</v>
      </c>
      <c r="B44" s="13" t="s">
        <v>325</v>
      </c>
      <c r="C44" s="26" t="s">
        <v>350</v>
      </c>
      <c r="D44" s="50" t="n">
        <f aca="false">'Sim Data'!$E$21</f>
        <v>0</v>
      </c>
      <c r="E44" s="51" t="n">
        <f aca="false">'Sim Data'!$G$21</f>
        <v>0</v>
      </c>
      <c r="F44" s="52" t="n">
        <f aca="false">IF(E44&gt;0,1/E44,60/Assumptions!$B$16)</f>
        <v>30</v>
      </c>
      <c r="G44" s="53" t="n">
        <f aca="false">Assumptions!$B$15</f>
        <v>1</v>
      </c>
      <c r="H44" s="54" t="n">
        <f aca="false">D44/(G44*F44)</f>
        <v>0</v>
      </c>
      <c r="I44" s="26" t="str">
        <f aca="false">IF(D44=0,"no arrivals",IF(H44&lt;0.85,"stable",IF(H44&lt;1,"near capacity","over capacity")))</f>
        <v>no arrivals</v>
      </c>
      <c r="J44" s="47" t="str">
        <f aca="false">IF(AND(D44&gt;0,H44&lt;1),H44/(F44-D44),"—")</f>
        <v>—</v>
      </c>
      <c r="K44" s="47" t="str">
        <f aca="false">IF(ISNUMBER(J44),(1+0.3^2)/2*J44,"—")</f>
        <v>—</v>
      </c>
      <c r="L44" s="55" t="n">
        <f aca="false">'Sim Data'!$F$21</f>
        <v>0</v>
      </c>
      <c r="M44" s="50" t="n">
        <f aca="false">'Sim Data'!$H$21</f>
        <v>0</v>
      </c>
      <c r="N44" s="52" t="n">
        <f aca="false">D44*L44</f>
        <v>0</v>
      </c>
      <c r="O44" s="47" t="str">
        <f aca="false">IF(MAX(M44,N44)&lt;0.5,"both ≈ 0",IF(N44=0,"no new arrivals",M44/N44))</f>
        <v>both ≈ 0</v>
      </c>
      <c r="P44" s="13" t="str">
        <f aca="false">IF(D44=0,"",IF(H44&gt;=1,"No steady state: the line grows by about "&amp;TEXT((D44-G44*F44)*10,"0")&amp;" in 10 min",IF(ISNUMBER(O44),IF(ABS(O44-1)&lt;=0.2,"Steady: Little's Law holds",IF(O44&gt;1,"Draining a line left from earlier","Line still building")),"Hardly any line")))</f>
        <v/>
      </c>
    </row>
    <row r="45" customFormat="false" ht="21.75" hidden="false" customHeight="true" outlineLevel="0" collapsed="false">
      <c r="A45" s="13" t="s">
        <v>324</v>
      </c>
      <c r="B45" s="13" t="s">
        <v>325</v>
      </c>
      <c r="C45" s="26" t="s">
        <v>351</v>
      </c>
      <c r="D45" s="50" t="n">
        <f aca="false">'Sim Data'!$E$22</f>
        <v>0</v>
      </c>
      <c r="E45" s="51" t="n">
        <f aca="false">'Sim Data'!$G$22</f>
        <v>0</v>
      </c>
      <c r="F45" s="52" t="n">
        <f aca="false">IF(E45&gt;0,1/E45,60/Assumptions!$B$16)</f>
        <v>30</v>
      </c>
      <c r="G45" s="53" t="n">
        <f aca="false">Assumptions!$B$15</f>
        <v>1</v>
      </c>
      <c r="H45" s="54" t="n">
        <f aca="false">D45/(G45*F45)</f>
        <v>0</v>
      </c>
      <c r="I45" s="26" t="str">
        <f aca="false">IF(D45=0,"no arrivals",IF(H45&lt;0.85,"stable",IF(H45&lt;1,"near capacity","over capacity")))</f>
        <v>no arrivals</v>
      </c>
      <c r="J45" s="47" t="str">
        <f aca="false">IF(AND(D45&gt;0,H45&lt;1),H45/(F45-D45),"—")</f>
        <v>—</v>
      </c>
      <c r="K45" s="47" t="str">
        <f aca="false">IF(ISNUMBER(J45),(1+0.3^2)/2*J45,"—")</f>
        <v>—</v>
      </c>
      <c r="L45" s="55" t="n">
        <f aca="false">'Sim Data'!$F$22</f>
        <v>0</v>
      </c>
      <c r="M45" s="50" t="n">
        <f aca="false">'Sim Data'!$H$22</f>
        <v>0</v>
      </c>
      <c r="N45" s="52" t="n">
        <f aca="false">D45*L45</f>
        <v>0</v>
      </c>
      <c r="O45" s="47" t="str">
        <f aca="false">IF(MAX(M45,N45)&lt;0.5,"both ≈ 0",IF(N45=0,"no new arrivals",M45/N45))</f>
        <v>both ≈ 0</v>
      </c>
      <c r="P45" s="13" t="str">
        <f aca="false">IF(D45=0,"",IF(H45&gt;=1,"No steady state: the line grows by about "&amp;TEXT((D45-G45*F45)*10,"0")&amp;" in 10 min",IF(ISNUMBER(O45),IF(ABS(O45-1)&lt;=0.2,"Steady: Little's Law holds",IF(O45&gt;1,"Draining a line left from earlier","Line still building")),"Hardly any line")))</f>
        <v/>
      </c>
    </row>
    <row r="46" customFormat="false" ht="21.75" hidden="false" customHeight="true" outlineLevel="0" collapsed="false">
      <c r="A46" s="13" t="s">
        <v>324</v>
      </c>
      <c r="B46" s="13" t="s">
        <v>326</v>
      </c>
      <c r="C46" s="26" t="s">
        <v>343</v>
      </c>
      <c r="D46" s="50" t="n">
        <f aca="false">'Sim Data'!$E$95</f>
        <v>0</v>
      </c>
      <c r="E46" s="51" t="n">
        <f aca="false">'Sim Data'!$G$95</f>
        <v>0</v>
      </c>
      <c r="F46" s="52" t="n">
        <f aca="false">IF(E46&gt;0,1/E46,60/Assumptions!$B$16)</f>
        <v>30</v>
      </c>
      <c r="G46" s="53" t="n">
        <f aca="false">Assumptions!$B$15</f>
        <v>1</v>
      </c>
      <c r="H46" s="54" t="n">
        <f aca="false">D46/(G46*F46)</f>
        <v>0</v>
      </c>
      <c r="I46" s="26" t="str">
        <f aca="false">IF(D46=0,"no arrivals",IF(H46&lt;0.85,"stable",IF(H46&lt;1,"near capacity","over capacity")))</f>
        <v>no arrivals</v>
      </c>
      <c r="J46" s="47" t="str">
        <f aca="false">IF(AND(D46&gt;0,H46&lt;1),H46/(F46-D46),"—")</f>
        <v>—</v>
      </c>
      <c r="K46" s="47" t="str">
        <f aca="false">IF(ISNUMBER(J46),(1+0.3^2)/2*J46,"—")</f>
        <v>—</v>
      </c>
      <c r="L46" s="55" t="n">
        <f aca="false">'Sim Data'!$F$95</f>
        <v>0</v>
      </c>
      <c r="M46" s="50" t="n">
        <f aca="false">'Sim Data'!$H$95</f>
        <v>0</v>
      </c>
      <c r="N46" s="52" t="n">
        <f aca="false">D46*L46</f>
        <v>0</v>
      </c>
      <c r="O46" s="47" t="str">
        <f aca="false">IF(MAX(M46,N46)&lt;0.5,"both ≈ 0",IF(N46=0,"no new arrivals",M46/N46))</f>
        <v>both ≈ 0</v>
      </c>
      <c r="P46" s="13" t="str">
        <f aca="false">IF(D46=0,"",IF(H46&gt;=1,"No steady state: the line grows by about "&amp;TEXT((D46-G46*F46)*10,"0")&amp;" in 10 min",IF(ISNUMBER(O46),IF(ABS(O46-1)&lt;=0.2,"Steady: Little's Law holds",IF(O46&gt;1,"Draining a line left from earlier","Line still building")),"Hardly any line")))</f>
        <v/>
      </c>
    </row>
    <row r="47" customFormat="false" ht="21.75" hidden="false" customHeight="true" outlineLevel="0" collapsed="false">
      <c r="A47" s="13" t="s">
        <v>324</v>
      </c>
      <c r="B47" s="13" t="s">
        <v>326</v>
      </c>
      <c r="C47" s="26" t="s">
        <v>344</v>
      </c>
      <c r="D47" s="50" t="n">
        <f aca="false">'Sim Data'!$E$96</f>
        <v>0</v>
      </c>
      <c r="E47" s="51" t="n">
        <f aca="false">'Sim Data'!$G$96</f>
        <v>0</v>
      </c>
      <c r="F47" s="52" t="n">
        <f aca="false">IF(E47&gt;0,1/E47,60/Assumptions!$B$16)</f>
        <v>30</v>
      </c>
      <c r="G47" s="53" t="n">
        <f aca="false">Assumptions!$B$15</f>
        <v>1</v>
      </c>
      <c r="H47" s="54" t="n">
        <f aca="false">D47/(G47*F47)</f>
        <v>0</v>
      </c>
      <c r="I47" s="26" t="str">
        <f aca="false">IF(D47=0,"no arrivals",IF(H47&lt;0.85,"stable",IF(H47&lt;1,"near capacity","over capacity")))</f>
        <v>no arrivals</v>
      </c>
      <c r="J47" s="47" t="str">
        <f aca="false">IF(AND(D47&gt;0,H47&lt;1),H47/(F47-D47),"—")</f>
        <v>—</v>
      </c>
      <c r="K47" s="47" t="str">
        <f aca="false">IF(ISNUMBER(J47),(1+0.3^2)/2*J47,"—")</f>
        <v>—</v>
      </c>
      <c r="L47" s="55" t="n">
        <f aca="false">'Sim Data'!$F$96</f>
        <v>0</v>
      </c>
      <c r="M47" s="50" t="n">
        <f aca="false">'Sim Data'!$H$96</f>
        <v>0</v>
      </c>
      <c r="N47" s="52" t="n">
        <f aca="false">D47*L47</f>
        <v>0</v>
      </c>
      <c r="O47" s="47" t="str">
        <f aca="false">IF(MAX(M47,N47)&lt;0.5,"both ≈ 0",IF(N47=0,"no new arrivals",M47/N47))</f>
        <v>both ≈ 0</v>
      </c>
      <c r="P47" s="13" t="str">
        <f aca="false">IF(D47=0,"",IF(H47&gt;=1,"No steady state: the line grows by about "&amp;TEXT((D47-G47*F47)*10,"0")&amp;" in 10 min",IF(ISNUMBER(O47),IF(ABS(O47-1)&lt;=0.2,"Steady: Little's Law holds",IF(O47&gt;1,"Draining a line left from earlier","Line still building")),"Hardly any line")))</f>
        <v/>
      </c>
    </row>
    <row r="48" customFormat="false" ht="21.75" hidden="false" customHeight="true" outlineLevel="0" collapsed="false">
      <c r="A48" s="13" t="s">
        <v>324</v>
      </c>
      <c r="B48" s="13" t="s">
        <v>326</v>
      </c>
      <c r="C48" s="26" t="s">
        <v>345</v>
      </c>
      <c r="D48" s="50" t="n">
        <f aca="false">'Sim Data'!$E$97</f>
        <v>0</v>
      </c>
      <c r="E48" s="51" t="n">
        <f aca="false">'Sim Data'!$G$97</f>
        <v>0</v>
      </c>
      <c r="F48" s="52" t="n">
        <f aca="false">IF(E48&gt;0,1/E48,60/Assumptions!$B$16)</f>
        <v>30</v>
      </c>
      <c r="G48" s="53" t="n">
        <f aca="false">Assumptions!$B$15</f>
        <v>1</v>
      </c>
      <c r="H48" s="54" t="n">
        <f aca="false">D48/(G48*F48)</f>
        <v>0</v>
      </c>
      <c r="I48" s="26" t="str">
        <f aca="false">IF(D48=0,"no arrivals",IF(H48&lt;0.85,"stable",IF(H48&lt;1,"near capacity","over capacity")))</f>
        <v>no arrivals</v>
      </c>
      <c r="J48" s="47" t="str">
        <f aca="false">IF(AND(D48&gt;0,H48&lt;1),H48/(F48-D48),"—")</f>
        <v>—</v>
      </c>
      <c r="K48" s="47" t="str">
        <f aca="false">IF(ISNUMBER(J48),(1+0.3^2)/2*J48,"—")</f>
        <v>—</v>
      </c>
      <c r="L48" s="55" t="n">
        <f aca="false">'Sim Data'!$F$97</f>
        <v>0</v>
      </c>
      <c r="M48" s="50" t="n">
        <f aca="false">'Sim Data'!$H$97</f>
        <v>0</v>
      </c>
      <c r="N48" s="52" t="n">
        <f aca="false">D48*L48</f>
        <v>0</v>
      </c>
      <c r="O48" s="47" t="str">
        <f aca="false">IF(MAX(M48,N48)&lt;0.5,"both ≈ 0",IF(N48=0,"no new arrivals",M48/N48))</f>
        <v>both ≈ 0</v>
      </c>
      <c r="P48" s="13" t="str">
        <f aca="false">IF(D48=0,"",IF(H48&gt;=1,"No steady state: the line grows by about "&amp;TEXT((D48-G48*F48)*10,"0")&amp;" in 10 min",IF(ISNUMBER(O48),IF(ABS(O48-1)&lt;=0.2,"Steady: Little's Law holds",IF(O48&gt;1,"Draining a line left from earlier","Line still building")),"Hardly any line")))</f>
        <v/>
      </c>
    </row>
    <row r="49" customFormat="false" ht="21.75" hidden="false" customHeight="true" outlineLevel="0" collapsed="false">
      <c r="A49" s="13" t="s">
        <v>324</v>
      </c>
      <c r="B49" s="13" t="s">
        <v>326</v>
      </c>
      <c r="C49" s="26" t="s">
        <v>146</v>
      </c>
      <c r="D49" s="50" t="n">
        <f aca="false">'Sim Data'!$E$98</f>
        <v>3.88</v>
      </c>
      <c r="E49" s="51" t="n">
        <f aca="false">'Sim Data'!$G$98</f>
        <v>0.0333</v>
      </c>
      <c r="F49" s="52" t="n">
        <f aca="false">IF(E49&gt;0,1/E49,60/Assumptions!$B$16)</f>
        <v>30.03003003003</v>
      </c>
      <c r="G49" s="53" t="n">
        <f aca="false">Assumptions!$B$15</f>
        <v>1</v>
      </c>
      <c r="H49" s="54" t="n">
        <f aca="false">D49/(G49*F49)</f>
        <v>0.129204</v>
      </c>
      <c r="I49" s="26" t="str">
        <f aca="false">IF(D49=0,"no arrivals",IF(H49&lt;0.85,"stable",IF(H49&lt;1,"near capacity","over capacity")))</f>
        <v>stable</v>
      </c>
      <c r="J49" s="47" t="n">
        <f aca="false">IF(AND(D49&gt;0,H49&lt;1),H49/(F49-D49),"—")</f>
        <v>0.00494087386712847</v>
      </c>
      <c r="K49" s="47" t="n">
        <f aca="false">IF(ISNUMBER(J49),(1+0.3^2)/2*J49,"—")</f>
        <v>0.00269277625758502</v>
      </c>
      <c r="L49" s="55" t="n">
        <f aca="false">'Sim Data'!$F$98</f>
        <v>0.003</v>
      </c>
      <c r="M49" s="50" t="n">
        <f aca="false">'Sim Data'!$H$98</f>
        <v>0.0117</v>
      </c>
      <c r="N49" s="52" t="n">
        <f aca="false">D49*L49</f>
        <v>0.01164</v>
      </c>
      <c r="O49" s="47" t="str">
        <f aca="false">IF(MAX(M49,N49)&lt;0.5,"both ≈ 0",IF(N49=0,"no new arrivals",M49/N49))</f>
        <v>both ≈ 0</v>
      </c>
      <c r="P49" s="13" t="str">
        <f aca="false">IF(D49=0,"",IF(H49&gt;=1,"No steady state: the line grows by about "&amp;TEXT((D49-G49*F49)*10,"0")&amp;" in 10 min",IF(ISNUMBER(O49),IF(ABS(O49-1)&lt;=0.2,"Steady: Little's Law holds",IF(O49&gt;1,"Draining a line left from earlier","Line still building")),"Hardly any line")))</f>
        <v>Hardly any line</v>
      </c>
    </row>
    <row r="50" customFormat="false" ht="21.75" hidden="false" customHeight="true" outlineLevel="0" collapsed="false">
      <c r="A50" s="13" t="s">
        <v>324</v>
      </c>
      <c r="B50" s="13" t="s">
        <v>326</v>
      </c>
      <c r="C50" s="26" t="s">
        <v>346</v>
      </c>
      <c r="D50" s="50" t="n">
        <f aca="false">'Sim Data'!$E$99</f>
        <v>4.64</v>
      </c>
      <c r="E50" s="51" t="n">
        <f aca="false">'Sim Data'!$G$99</f>
        <v>0.0334</v>
      </c>
      <c r="F50" s="52" t="n">
        <f aca="false">IF(E50&gt;0,1/E50,60/Assumptions!$B$16)</f>
        <v>29.940119760479</v>
      </c>
      <c r="G50" s="53" t="n">
        <f aca="false">Assumptions!$B$15</f>
        <v>1</v>
      </c>
      <c r="H50" s="54" t="n">
        <f aca="false">D50/(G50*F50)</f>
        <v>0.154976</v>
      </c>
      <c r="I50" s="26" t="str">
        <f aca="false">IF(D50=0,"no arrivals",IF(H50&lt;0.85,"stable",IF(H50&lt;1,"near capacity","over capacity")))</f>
        <v>stable</v>
      </c>
      <c r="J50" s="47" t="n">
        <f aca="false">IF(AND(D50&gt;0,H50&lt;1),H50/(F50-D50),"—")</f>
        <v>0.00612550460105275</v>
      </c>
      <c r="K50" s="47" t="n">
        <f aca="false">IF(ISNUMBER(J50),(1+0.3^2)/2*J50,"—")</f>
        <v>0.00333840000757375</v>
      </c>
      <c r="L50" s="55" t="n">
        <f aca="false">'Sim Data'!$F$99</f>
        <v>0.003</v>
      </c>
      <c r="M50" s="50" t="n">
        <f aca="false">'Sim Data'!$H$99</f>
        <v>0.0138</v>
      </c>
      <c r="N50" s="52" t="n">
        <f aca="false">D50*L50</f>
        <v>0.01392</v>
      </c>
      <c r="O50" s="47" t="str">
        <f aca="false">IF(MAX(M50,N50)&lt;0.5,"both ≈ 0",IF(N50=0,"no new arrivals",M50/N50))</f>
        <v>both ≈ 0</v>
      </c>
      <c r="P50" s="13" t="str">
        <f aca="false">IF(D50=0,"",IF(H50&gt;=1,"No steady state: the line grows by about "&amp;TEXT((D50-G50*F50)*10,"0")&amp;" in 10 min",IF(ISNUMBER(O50),IF(ABS(O50-1)&lt;=0.2,"Steady: Little's Law holds",IF(O50&gt;1,"Draining a line left from earlier","Line still building")),"Hardly any line")))</f>
        <v>Hardly any line</v>
      </c>
    </row>
    <row r="51" customFormat="false" ht="21.75" hidden="false" customHeight="true" outlineLevel="0" collapsed="false">
      <c r="A51" s="13" t="s">
        <v>324</v>
      </c>
      <c r="B51" s="13" t="s">
        <v>326</v>
      </c>
      <c r="C51" s="26" t="s">
        <v>347</v>
      </c>
      <c r="D51" s="50" t="n">
        <f aca="false">'Sim Data'!$E$100</f>
        <v>4.78</v>
      </c>
      <c r="E51" s="51" t="n">
        <f aca="false">'Sim Data'!$G$100</f>
        <v>0.0338</v>
      </c>
      <c r="F51" s="52" t="n">
        <f aca="false">IF(E51&gt;0,1/E51,60/Assumptions!$B$16)</f>
        <v>29.5857988165681</v>
      </c>
      <c r="G51" s="53" t="n">
        <f aca="false">Assumptions!$B$15</f>
        <v>1</v>
      </c>
      <c r="H51" s="54" t="n">
        <f aca="false">D51/(G51*F51)</f>
        <v>0.161564</v>
      </c>
      <c r="I51" s="26" t="str">
        <f aca="false">IF(D51=0,"no arrivals",IF(H51&lt;0.85,"stable",IF(H51&lt;1,"near capacity","over capacity")))</f>
        <v>stable</v>
      </c>
      <c r="J51" s="47" t="n">
        <f aca="false">IF(AND(D51&gt;0,H51&lt;1),H51/(F51-D51),"—")</f>
        <v>0.00651315449241206</v>
      </c>
      <c r="K51" s="47" t="n">
        <f aca="false">IF(ISNUMBER(J51),(1+0.3^2)/2*J51,"—")</f>
        <v>0.00354966919836457</v>
      </c>
      <c r="L51" s="55" t="n">
        <f aca="false">'Sim Data'!$F$100</f>
        <v>0.0039</v>
      </c>
      <c r="M51" s="50" t="n">
        <f aca="false">'Sim Data'!$H$100</f>
        <v>0.0188</v>
      </c>
      <c r="N51" s="52" t="n">
        <f aca="false">D51*L51</f>
        <v>0.018642</v>
      </c>
      <c r="O51" s="47" t="str">
        <f aca="false">IF(MAX(M51,N51)&lt;0.5,"both ≈ 0",IF(N51=0,"no new arrivals",M51/N51))</f>
        <v>both ≈ 0</v>
      </c>
      <c r="P51" s="13" t="str">
        <f aca="false">IF(D51=0,"",IF(H51&gt;=1,"No steady state: the line grows by about "&amp;TEXT((D51-G51*F51)*10,"0")&amp;" in 10 min",IF(ISNUMBER(O51),IF(ABS(O51-1)&lt;=0.2,"Steady: Little's Law holds",IF(O51&gt;1,"Draining a line left from earlier","Line still building")),"Hardly any line")))</f>
        <v>Hardly any line</v>
      </c>
    </row>
    <row r="52" customFormat="false" ht="21.75" hidden="false" customHeight="true" outlineLevel="0" collapsed="false">
      <c r="A52" s="13" t="s">
        <v>324</v>
      </c>
      <c r="B52" s="13" t="s">
        <v>326</v>
      </c>
      <c r="C52" s="26" t="s">
        <v>155</v>
      </c>
      <c r="D52" s="50" t="n">
        <f aca="false">'Sim Data'!$E$101</f>
        <v>5.73</v>
      </c>
      <c r="E52" s="51" t="n">
        <f aca="false">'Sim Data'!$G$101</f>
        <v>0.0338</v>
      </c>
      <c r="F52" s="52" t="n">
        <f aca="false">IF(E52&gt;0,1/E52,60/Assumptions!$B$16)</f>
        <v>29.5857988165681</v>
      </c>
      <c r="G52" s="53" t="n">
        <f aca="false">Assumptions!$B$15</f>
        <v>1</v>
      </c>
      <c r="H52" s="54" t="n">
        <f aca="false">D52/(G52*F52)</f>
        <v>0.193674</v>
      </c>
      <c r="I52" s="26" t="str">
        <f aca="false">IF(D52=0,"no arrivals",IF(H52&lt;0.85,"stable",IF(H52&lt;1,"near capacity","over capacity")))</f>
        <v>stable</v>
      </c>
      <c r="J52" s="47" t="n">
        <f aca="false">IF(AND(D52&gt;0,H52&lt;1),H52/(F52-D52),"—")</f>
        <v>0.00811852923011288</v>
      </c>
      <c r="K52" s="47" t="n">
        <f aca="false">IF(ISNUMBER(J52),(1+0.3^2)/2*J52,"—")</f>
        <v>0.00442459843041152</v>
      </c>
      <c r="L52" s="55" t="n">
        <f aca="false">'Sim Data'!$F$101</f>
        <v>0.0044</v>
      </c>
      <c r="M52" s="50" t="n">
        <f aca="false">'Sim Data'!$H$101</f>
        <v>0.0254</v>
      </c>
      <c r="N52" s="52" t="n">
        <f aca="false">D52*L52</f>
        <v>0.025212</v>
      </c>
      <c r="O52" s="47" t="str">
        <f aca="false">IF(MAX(M52,N52)&lt;0.5,"both ≈ 0",IF(N52=0,"no new arrivals",M52/N52))</f>
        <v>both ≈ 0</v>
      </c>
      <c r="P52" s="13" t="str">
        <f aca="false">IF(D52=0,"",IF(H52&gt;=1,"No steady state: the line grows by about "&amp;TEXT((D52-G52*F52)*10,"0")&amp;" in 10 min",IF(ISNUMBER(O52),IF(ABS(O52-1)&lt;=0.2,"Steady: Little's Law holds",IF(O52&gt;1,"Draining a line left from earlier","Line still building")),"Hardly any line")))</f>
        <v>Hardly any line</v>
      </c>
    </row>
    <row r="53" customFormat="false" ht="21.75" hidden="false" customHeight="true" outlineLevel="0" collapsed="false">
      <c r="A53" s="13" t="s">
        <v>324</v>
      </c>
      <c r="B53" s="13" t="s">
        <v>326</v>
      </c>
      <c r="C53" s="26" t="s">
        <v>159</v>
      </c>
      <c r="D53" s="50" t="n">
        <f aca="false">'Sim Data'!$E$102</f>
        <v>5.36</v>
      </c>
      <c r="E53" s="51" t="n">
        <f aca="false">'Sim Data'!$G$102</f>
        <v>0.0336</v>
      </c>
      <c r="F53" s="52" t="n">
        <f aca="false">IF(E53&gt;0,1/E53,60/Assumptions!$B$16)</f>
        <v>29.7619047619048</v>
      </c>
      <c r="G53" s="53" t="n">
        <f aca="false">Assumptions!$B$15</f>
        <v>1</v>
      </c>
      <c r="H53" s="54" t="n">
        <f aca="false">D53/(G53*F53)</f>
        <v>0.180096</v>
      </c>
      <c r="I53" s="26" t="str">
        <f aca="false">IF(D53=0,"no arrivals",IF(H53&lt;0.85,"stable",IF(H53&lt;1,"near capacity","over capacity")))</f>
        <v>stable</v>
      </c>
      <c r="J53" s="47" t="n">
        <f aca="false">IF(AND(D53&gt;0,H53&lt;1),H53/(F53-D53),"—")</f>
        <v>0.00738040746233705</v>
      </c>
      <c r="K53" s="47" t="n">
        <f aca="false">IF(ISNUMBER(J53),(1+0.3^2)/2*J53,"—")</f>
        <v>0.0040223220669737</v>
      </c>
      <c r="L53" s="55" t="n">
        <f aca="false">'Sim Data'!$F$102</f>
        <v>0.0039</v>
      </c>
      <c r="M53" s="50" t="n">
        <f aca="false">'Sim Data'!$H$102</f>
        <v>0.0209</v>
      </c>
      <c r="N53" s="52" t="n">
        <f aca="false">D53*L53</f>
        <v>0.020904</v>
      </c>
      <c r="O53" s="47" t="str">
        <f aca="false">IF(MAX(M53,N53)&lt;0.5,"both ≈ 0",IF(N53=0,"no new arrivals",M53/N53))</f>
        <v>both ≈ 0</v>
      </c>
      <c r="P53" s="13" t="str">
        <f aca="false">IF(D53=0,"",IF(H53&gt;=1,"No steady state: the line grows by about "&amp;TEXT((D53-G53*F53)*10,"0")&amp;" in 10 min",IF(ISNUMBER(O53),IF(ABS(O53-1)&lt;=0.2,"Steady: Little's Law holds",IF(O53&gt;1,"Draining a line left from earlier","Line still building")),"Hardly any line")))</f>
        <v>Hardly any line</v>
      </c>
    </row>
    <row r="54" customFormat="false" ht="21.75" hidden="false" customHeight="true" outlineLevel="0" collapsed="false">
      <c r="A54" s="13" t="s">
        <v>324</v>
      </c>
      <c r="B54" s="13" t="s">
        <v>326</v>
      </c>
      <c r="C54" s="26" t="s">
        <v>162</v>
      </c>
      <c r="D54" s="50" t="n">
        <f aca="false">'Sim Data'!$E$103</f>
        <v>4.375</v>
      </c>
      <c r="E54" s="51" t="n">
        <f aca="false">'Sim Data'!$G$103</f>
        <v>0.0336</v>
      </c>
      <c r="F54" s="52" t="n">
        <f aca="false">IF(E54&gt;0,1/E54,60/Assumptions!$B$16)</f>
        <v>29.7619047619048</v>
      </c>
      <c r="G54" s="53" t="n">
        <f aca="false">Assumptions!$B$15</f>
        <v>1</v>
      </c>
      <c r="H54" s="54" t="n">
        <f aca="false">D54/(G54*F54)</f>
        <v>0.147</v>
      </c>
      <c r="I54" s="26" t="str">
        <f aca="false">IF(D54=0,"no arrivals",IF(H54&lt;0.85,"stable",IF(H54&lt;1,"near capacity","over capacity")))</f>
        <v>stable</v>
      </c>
      <c r="J54" s="47" t="n">
        <f aca="false">IF(AND(D54&gt;0,H54&lt;1),H54/(F54-D54),"—")</f>
        <v>0.00579038686987104</v>
      </c>
      <c r="K54" s="47" t="n">
        <f aca="false">IF(ISNUMBER(J54),(1+0.3^2)/2*J54,"—")</f>
        <v>0.00315576084407972</v>
      </c>
      <c r="L54" s="55" t="n">
        <f aca="false">'Sim Data'!$F$103</f>
        <v>0.0032</v>
      </c>
      <c r="M54" s="50" t="n">
        <f aca="false">'Sim Data'!$H$103</f>
        <v>0.0141</v>
      </c>
      <c r="N54" s="52" t="n">
        <f aca="false">D54*L54</f>
        <v>0.014</v>
      </c>
      <c r="O54" s="47" t="str">
        <f aca="false">IF(MAX(M54,N54)&lt;0.5,"both ≈ 0",IF(N54=0,"no new arrivals",M54/N54))</f>
        <v>both ≈ 0</v>
      </c>
      <c r="P54" s="13" t="str">
        <f aca="false">IF(D54=0,"",IF(H54&gt;=1,"No steady state: the line grows by about "&amp;TEXT((D54-G54*F54)*10,"0")&amp;" in 10 min",IF(ISNUMBER(O54),IF(ABS(O54-1)&lt;=0.2,"Steady: Little's Law holds",IF(O54&gt;1,"Draining a line left from earlier","Line still building")),"Hardly any line")))</f>
        <v>Hardly any line</v>
      </c>
    </row>
    <row r="55" customFormat="false" ht="21.75" hidden="false" customHeight="true" outlineLevel="0" collapsed="false">
      <c r="A55" s="13" t="s">
        <v>324</v>
      </c>
      <c r="B55" s="13" t="s">
        <v>326</v>
      </c>
      <c r="C55" s="26" t="s">
        <v>147</v>
      </c>
      <c r="D55" s="50" t="n">
        <f aca="false">'Sim Data'!$E$104</f>
        <v>5.67</v>
      </c>
      <c r="E55" s="51" t="n">
        <f aca="false">'Sim Data'!$G$104</f>
        <v>0.0331</v>
      </c>
      <c r="F55" s="52" t="n">
        <f aca="false">IF(E55&gt;0,1/E55,60/Assumptions!$B$16)</f>
        <v>30.2114803625378</v>
      </c>
      <c r="G55" s="53" t="n">
        <f aca="false">Assumptions!$B$15</f>
        <v>1</v>
      </c>
      <c r="H55" s="54" t="n">
        <f aca="false">D55/(G55*F55)</f>
        <v>0.187677</v>
      </c>
      <c r="I55" s="26" t="str">
        <f aca="false">IF(D55=0,"no arrivals",IF(H55&lt;0.85,"stable",IF(H55&lt;1,"near capacity","over capacity")))</f>
        <v>stable</v>
      </c>
      <c r="J55" s="47" t="n">
        <f aca="false">IF(AND(D55&gt;0,H55&lt;1),H55/(F55-D55),"—")</f>
        <v>0.00764733818936556</v>
      </c>
      <c r="K55" s="47" t="n">
        <f aca="false">IF(ISNUMBER(J55),(1+0.3^2)/2*J55,"—")</f>
        <v>0.00416779931320423</v>
      </c>
      <c r="L55" s="55" t="n">
        <f aca="false">'Sim Data'!$F$104</f>
        <v>0.004</v>
      </c>
      <c r="M55" s="50" t="n">
        <f aca="false">'Sim Data'!$H$104</f>
        <v>0.0228</v>
      </c>
      <c r="N55" s="52" t="n">
        <f aca="false">D55*L55</f>
        <v>0.02268</v>
      </c>
      <c r="O55" s="47" t="str">
        <f aca="false">IF(MAX(M55,N55)&lt;0.5,"both ≈ 0",IF(N55=0,"no new arrivals",M55/N55))</f>
        <v>both ≈ 0</v>
      </c>
      <c r="P55" s="13" t="str">
        <f aca="false">IF(D55=0,"",IF(H55&gt;=1,"No steady state: the line grows by about "&amp;TEXT((D55-G55*F55)*10,"0")&amp;" in 10 min",IF(ISNUMBER(O55),IF(ABS(O55-1)&lt;=0.2,"Steady: Little's Law holds",IF(O55&gt;1,"Draining a line left from earlier","Line still building")),"Hardly any line")))</f>
        <v>Hardly any line</v>
      </c>
    </row>
    <row r="56" customFormat="false" ht="21.75" hidden="false" customHeight="true" outlineLevel="0" collapsed="false">
      <c r="A56" s="13" t="s">
        <v>324</v>
      </c>
      <c r="B56" s="13" t="s">
        <v>326</v>
      </c>
      <c r="C56" s="26" t="s">
        <v>348</v>
      </c>
      <c r="D56" s="50" t="n">
        <f aca="false">'Sim Data'!$E$105</f>
        <v>7.435</v>
      </c>
      <c r="E56" s="51" t="n">
        <f aca="false">'Sim Data'!$G$105</f>
        <v>0.0335</v>
      </c>
      <c r="F56" s="52" t="n">
        <f aca="false">IF(E56&gt;0,1/E56,60/Assumptions!$B$16)</f>
        <v>29.8507462686567</v>
      </c>
      <c r="G56" s="53" t="n">
        <f aca="false">Assumptions!$B$15</f>
        <v>1</v>
      </c>
      <c r="H56" s="54" t="n">
        <f aca="false">D56/(G56*F56)</f>
        <v>0.2490725</v>
      </c>
      <c r="I56" s="26" t="str">
        <f aca="false">IF(D56=0,"no arrivals",IF(H56&lt;0.85,"stable",IF(H56&lt;1,"near capacity","over capacity")))</f>
        <v>stable</v>
      </c>
      <c r="J56" s="47" t="n">
        <f aca="false">IF(AND(D56&gt;0,H56&lt;1),H56/(F56-D56),"—")</f>
        <v>0.0111114971152342</v>
      </c>
      <c r="K56" s="47" t="n">
        <f aca="false">IF(ISNUMBER(J56),(1+0.3^2)/2*J56,"—")</f>
        <v>0.00605576592780262</v>
      </c>
      <c r="L56" s="55" t="n">
        <f aca="false">'Sim Data'!$F$105</f>
        <v>0.0063</v>
      </c>
      <c r="M56" s="50" t="n">
        <f aca="false">'Sim Data'!$H$105</f>
        <v>0.0469</v>
      </c>
      <c r="N56" s="52" t="n">
        <f aca="false">D56*L56</f>
        <v>0.0468405</v>
      </c>
      <c r="O56" s="47" t="str">
        <f aca="false">IF(MAX(M56,N56)&lt;0.5,"both ≈ 0",IF(N56=0,"no new arrivals",M56/N56))</f>
        <v>both ≈ 0</v>
      </c>
      <c r="P56" s="13" t="str">
        <f aca="false">IF(D56=0,"",IF(H56&gt;=1,"No steady state: the line grows by about "&amp;TEXT((D56-G56*F56)*10,"0")&amp;" in 10 min",IF(ISNUMBER(O56),IF(ABS(O56-1)&lt;=0.2,"Steady: Little's Law holds",IF(O56&gt;1,"Draining a line left from earlier","Line still building")),"Hardly any line")))</f>
        <v>Hardly any line</v>
      </c>
    </row>
    <row r="57" customFormat="false" ht="21.75" hidden="false" customHeight="true" outlineLevel="0" collapsed="false">
      <c r="A57" s="13" t="s">
        <v>324</v>
      </c>
      <c r="B57" s="13" t="s">
        <v>326</v>
      </c>
      <c r="C57" s="26" t="s">
        <v>349</v>
      </c>
      <c r="D57" s="50" t="n">
        <f aca="false">'Sim Data'!$E$106</f>
        <v>7.35</v>
      </c>
      <c r="E57" s="51" t="n">
        <f aca="false">'Sim Data'!$G$106</f>
        <v>0.0334</v>
      </c>
      <c r="F57" s="52" t="n">
        <f aca="false">IF(E57&gt;0,1/E57,60/Assumptions!$B$16)</f>
        <v>29.940119760479</v>
      </c>
      <c r="G57" s="53" t="n">
        <f aca="false">Assumptions!$B$15</f>
        <v>1</v>
      </c>
      <c r="H57" s="54" t="n">
        <f aca="false">D57/(G57*F57)</f>
        <v>0.24549</v>
      </c>
      <c r="I57" s="26" t="str">
        <f aca="false">IF(D57=0,"no arrivals",IF(H57&lt;0.85,"stable",IF(H57&lt;1,"near capacity","over capacity")))</f>
        <v>stable</v>
      </c>
      <c r="J57" s="47" t="n">
        <f aca="false">IF(AND(D57&gt;0,H57&lt;1),H57/(F57-D57),"—")</f>
        <v>0.0108671402632172</v>
      </c>
      <c r="K57" s="47" t="n">
        <f aca="false">IF(ISNUMBER(J57),(1+0.3^2)/2*J57,"—")</f>
        <v>0.00592259144345337</v>
      </c>
      <c r="L57" s="55" t="n">
        <f aca="false">'Sim Data'!$F$106</f>
        <v>0.0067</v>
      </c>
      <c r="M57" s="50" t="n">
        <f aca="false">'Sim Data'!$H$106</f>
        <v>0.0492</v>
      </c>
      <c r="N57" s="52" t="n">
        <f aca="false">D57*L57</f>
        <v>0.049245</v>
      </c>
      <c r="O57" s="47" t="str">
        <f aca="false">IF(MAX(M57,N57)&lt;0.5,"both ≈ 0",IF(N57=0,"no new arrivals",M57/N57))</f>
        <v>both ≈ 0</v>
      </c>
      <c r="P57" s="13" t="str">
        <f aca="false">IF(D57=0,"",IF(H57&gt;=1,"No steady state: the line grows by about "&amp;TEXT((D57-G57*F57)*10,"0")&amp;" in 10 min",IF(ISNUMBER(O57),IF(ABS(O57-1)&lt;=0.2,"Steady: Little's Law holds",IF(O57&gt;1,"Draining a line left from earlier","Line still building")),"Hardly any line")))</f>
        <v>Hardly any line</v>
      </c>
    </row>
    <row r="58" customFormat="false" ht="21.75" hidden="false" customHeight="true" outlineLevel="0" collapsed="false">
      <c r="A58" s="13" t="s">
        <v>324</v>
      </c>
      <c r="B58" s="13" t="s">
        <v>326</v>
      </c>
      <c r="C58" s="26" t="s">
        <v>156</v>
      </c>
      <c r="D58" s="50" t="n">
        <f aca="false">'Sim Data'!$E$107</f>
        <v>5.32</v>
      </c>
      <c r="E58" s="51" t="n">
        <f aca="false">'Sim Data'!$G$107</f>
        <v>0.0325</v>
      </c>
      <c r="F58" s="52" t="n">
        <f aca="false">IF(E58&gt;0,1/E58,60/Assumptions!$B$16)</f>
        <v>30.7692307692308</v>
      </c>
      <c r="G58" s="53" t="n">
        <f aca="false">Assumptions!$B$15</f>
        <v>1</v>
      </c>
      <c r="H58" s="54" t="n">
        <f aca="false">D58/(G58*F58)</f>
        <v>0.1729</v>
      </c>
      <c r="I58" s="26" t="str">
        <f aca="false">IF(D58=0,"no arrivals",IF(H58&lt;0.85,"stable",IF(H58&lt;1,"near capacity","over capacity")))</f>
        <v>stable</v>
      </c>
      <c r="J58" s="47" t="n">
        <f aca="false">IF(AND(D58&gt;0,H58&lt;1),H58/(F58-D58),"—")</f>
        <v>0.00679391851045823</v>
      </c>
      <c r="K58" s="47" t="n">
        <f aca="false">IF(ISNUMBER(J58),(1+0.3^2)/2*J58,"—")</f>
        <v>0.00370268558819974</v>
      </c>
      <c r="L58" s="55" t="n">
        <f aca="false">'Sim Data'!$F$107</f>
        <v>0.0034</v>
      </c>
      <c r="M58" s="50" t="n">
        <f aca="false">'Sim Data'!$H$107</f>
        <v>0.0182</v>
      </c>
      <c r="N58" s="52" t="n">
        <f aca="false">D58*L58</f>
        <v>0.018088</v>
      </c>
      <c r="O58" s="47" t="str">
        <f aca="false">IF(MAX(M58,N58)&lt;0.5,"both ≈ 0",IF(N58=0,"no new arrivals",M58/N58))</f>
        <v>both ≈ 0</v>
      </c>
      <c r="P58" s="13" t="str">
        <f aca="false">IF(D58=0,"",IF(H58&gt;=1,"No steady state: the line grows by about "&amp;TEXT((D58-G58*F58)*10,"0")&amp;" in 10 min",IF(ISNUMBER(O58),IF(ABS(O58-1)&lt;=0.2,"Steady: Little's Law holds",IF(O58&gt;1,"Draining a line left from earlier","Line still building")),"Hardly any line")))</f>
        <v>Hardly any line</v>
      </c>
    </row>
    <row r="59" customFormat="false" ht="21.75" hidden="false" customHeight="true" outlineLevel="0" collapsed="false">
      <c r="A59" s="13" t="s">
        <v>324</v>
      </c>
      <c r="B59" s="13" t="s">
        <v>326</v>
      </c>
      <c r="C59" s="26" t="s">
        <v>160</v>
      </c>
      <c r="D59" s="50" t="n">
        <f aca="false">'Sim Data'!$E$108</f>
        <v>3.5</v>
      </c>
      <c r="E59" s="51" t="n">
        <f aca="false">'Sim Data'!$G$108</f>
        <v>0.0335</v>
      </c>
      <c r="F59" s="52" t="n">
        <f aca="false">IF(E59&gt;0,1/E59,60/Assumptions!$B$16)</f>
        <v>29.8507462686567</v>
      </c>
      <c r="G59" s="53" t="n">
        <f aca="false">Assumptions!$B$15</f>
        <v>1</v>
      </c>
      <c r="H59" s="54" t="n">
        <f aca="false">D59/(G59*F59)</f>
        <v>0.11725</v>
      </c>
      <c r="I59" s="26" t="str">
        <f aca="false">IF(D59=0,"no arrivals",IF(H59&lt;0.85,"stable",IF(H59&lt;1,"near capacity","over capacity")))</f>
        <v>stable</v>
      </c>
      <c r="J59" s="47" t="n">
        <f aca="false">IF(AND(D59&gt;0,H59&lt;1),H59/(F59-D59),"—")</f>
        <v>0.00444958935145851</v>
      </c>
      <c r="K59" s="47" t="n">
        <f aca="false">IF(ISNUMBER(J59),(1+0.3^2)/2*J59,"—")</f>
        <v>0.00242502619654489</v>
      </c>
      <c r="L59" s="55" t="n">
        <f aca="false">'Sim Data'!$F$108</f>
        <v>0.002</v>
      </c>
      <c r="M59" s="50" t="n">
        <f aca="false">'Sim Data'!$H$108</f>
        <v>0.0069</v>
      </c>
      <c r="N59" s="52" t="n">
        <f aca="false">D59*L59</f>
        <v>0.007</v>
      </c>
      <c r="O59" s="47" t="str">
        <f aca="false">IF(MAX(M59,N59)&lt;0.5,"both ≈ 0",IF(N59=0,"no new arrivals",M59/N59))</f>
        <v>both ≈ 0</v>
      </c>
      <c r="P59" s="13" t="str">
        <f aca="false">IF(D59=0,"",IF(H59&gt;=1,"No steady state: the line grows by about "&amp;TEXT((D59-G59*F59)*10,"0")&amp;" in 10 min",IF(ISNUMBER(O59),IF(ABS(O59-1)&lt;=0.2,"Steady: Little's Law holds",IF(O59&gt;1,"Draining a line left from earlier","Line still building")),"Hardly any line")))</f>
        <v>Hardly any line</v>
      </c>
    </row>
    <row r="60" customFormat="false" ht="21.75" hidden="false" customHeight="true" outlineLevel="0" collapsed="false">
      <c r="A60" s="13" t="s">
        <v>324</v>
      </c>
      <c r="B60" s="13" t="s">
        <v>326</v>
      </c>
      <c r="C60" s="26" t="s">
        <v>163</v>
      </c>
      <c r="D60" s="50" t="n">
        <f aca="false">'Sim Data'!$E$109</f>
        <v>1.825</v>
      </c>
      <c r="E60" s="51" t="n">
        <f aca="false">'Sim Data'!$G$109</f>
        <v>0.0327</v>
      </c>
      <c r="F60" s="52" t="n">
        <f aca="false">IF(E60&gt;0,1/E60,60/Assumptions!$B$16)</f>
        <v>30.5810397553517</v>
      </c>
      <c r="G60" s="53" t="n">
        <f aca="false">Assumptions!$B$15</f>
        <v>1</v>
      </c>
      <c r="H60" s="54" t="n">
        <f aca="false">D60/(G60*F60)</f>
        <v>0.0596775</v>
      </c>
      <c r="I60" s="26" t="str">
        <f aca="false">IF(D60=0,"no arrivals",IF(H60&lt;0.85,"stable",IF(H60&lt;1,"near capacity","over capacity")))</f>
        <v>stable</v>
      </c>
      <c r="J60" s="47" t="n">
        <f aca="false">IF(AND(D60&gt;0,H60&lt;1),H60/(F60-D60),"—")</f>
        <v>0.00207530315397111</v>
      </c>
      <c r="K60" s="47" t="n">
        <f aca="false">IF(ISNUMBER(J60),(1+0.3^2)/2*J60,"—")</f>
        <v>0.00113104021891426</v>
      </c>
      <c r="L60" s="55" t="n">
        <f aca="false">'Sim Data'!$F$109</f>
        <v>0.001</v>
      </c>
      <c r="M60" s="50" t="n">
        <f aca="false">'Sim Data'!$H$109</f>
        <v>0.0019</v>
      </c>
      <c r="N60" s="52" t="n">
        <f aca="false">D60*L60</f>
        <v>0.001825</v>
      </c>
      <c r="O60" s="47" t="str">
        <f aca="false">IF(MAX(M60,N60)&lt;0.5,"both ≈ 0",IF(N60=0,"no new arrivals",M60/N60))</f>
        <v>both ≈ 0</v>
      </c>
      <c r="P60" s="13" t="str">
        <f aca="false">IF(D60=0,"",IF(H60&gt;=1,"No steady state: the line grows by about "&amp;TEXT((D60-G60*F60)*10,"0")&amp;" in 10 min",IF(ISNUMBER(O60),IF(ABS(O60-1)&lt;=0.2,"Steady: Little's Law holds",IF(O60&gt;1,"Draining a line left from earlier","Line still building")),"Hardly any line")))</f>
        <v>Hardly any line</v>
      </c>
    </row>
    <row r="61" customFormat="false" ht="21.75" hidden="false" customHeight="true" outlineLevel="0" collapsed="false">
      <c r="A61" s="13" t="s">
        <v>324</v>
      </c>
      <c r="B61" s="13" t="s">
        <v>326</v>
      </c>
      <c r="C61" s="26" t="s">
        <v>150</v>
      </c>
      <c r="D61" s="50" t="n">
        <f aca="false">'Sim Data'!$E$110</f>
        <v>0</v>
      </c>
      <c r="E61" s="51" t="n">
        <f aca="false">'Sim Data'!$G$110</f>
        <v>0</v>
      </c>
      <c r="F61" s="52" t="n">
        <f aca="false">IF(E61&gt;0,1/E61,60/Assumptions!$B$16)</f>
        <v>30</v>
      </c>
      <c r="G61" s="53" t="n">
        <f aca="false">Assumptions!$B$15</f>
        <v>1</v>
      </c>
      <c r="H61" s="54" t="n">
        <f aca="false">D61/(G61*F61)</f>
        <v>0</v>
      </c>
      <c r="I61" s="26" t="str">
        <f aca="false">IF(D61=0,"no arrivals",IF(H61&lt;0.85,"stable",IF(H61&lt;1,"near capacity","over capacity")))</f>
        <v>no arrivals</v>
      </c>
      <c r="J61" s="47" t="str">
        <f aca="false">IF(AND(D61&gt;0,H61&lt;1),H61/(F61-D61),"—")</f>
        <v>—</v>
      </c>
      <c r="K61" s="47" t="str">
        <f aca="false">IF(ISNUMBER(J61),(1+0.3^2)/2*J61,"—")</f>
        <v>—</v>
      </c>
      <c r="L61" s="55" t="n">
        <f aca="false">'Sim Data'!$F$110</f>
        <v>0</v>
      </c>
      <c r="M61" s="50" t="n">
        <f aca="false">'Sim Data'!$H$110</f>
        <v>0</v>
      </c>
      <c r="N61" s="52" t="n">
        <f aca="false">D61*L61</f>
        <v>0</v>
      </c>
      <c r="O61" s="47" t="str">
        <f aca="false">IF(MAX(M61,N61)&lt;0.5,"both ≈ 0",IF(N61=0,"no new arrivals",M61/N61))</f>
        <v>both ≈ 0</v>
      </c>
      <c r="P61" s="13" t="str">
        <f aca="false">IF(D61=0,"",IF(H61&gt;=1,"No steady state: the line grows by about "&amp;TEXT((D61-G61*F61)*10,"0")&amp;" in 10 min",IF(ISNUMBER(O61),IF(ABS(O61-1)&lt;=0.2,"Steady: Little's Law holds",IF(O61&gt;1,"Draining a line left from earlier","Line still building")),"Hardly any line")))</f>
        <v/>
      </c>
    </row>
    <row r="62" customFormat="false" ht="21.75" hidden="false" customHeight="true" outlineLevel="0" collapsed="false">
      <c r="A62" s="13" t="s">
        <v>324</v>
      </c>
      <c r="B62" s="13" t="s">
        <v>326</v>
      </c>
      <c r="C62" s="26" t="s">
        <v>350</v>
      </c>
      <c r="D62" s="50" t="n">
        <f aca="false">'Sim Data'!$E$111</f>
        <v>0</v>
      </c>
      <c r="E62" s="51" t="n">
        <f aca="false">'Sim Data'!$G$111</f>
        <v>0</v>
      </c>
      <c r="F62" s="52" t="n">
        <f aca="false">IF(E62&gt;0,1/E62,60/Assumptions!$B$16)</f>
        <v>30</v>
      </c>
      <c r="G62" s="53" t="n">
        <f aca="false">Assumptions!$B$15</f>
        <v>1</v>
      </c>
      <c r="H62" s="54" t="n">
        <f aca="false">D62/(G62*F62)</f>
        <v>0</v>
      </c>
      <c r="I62" s="26" t="str">
        <f aca="false">IF(D62=0,"no arrivals",IF(H62&lt;0.85,"stable",IF(H62&lt;1,"near capacity","over capacity")))</f>
        <v>no arrivals</v>
      </c>
      <c r="J62" s="47" t="str">
        <f aca="false">IF(AND(D62&gt;0,H62&lt;1),H62/(F62-D62),"—")</f>
        <v>—</v>
      </c>
      <c r="K62" s="47" t="str">
        <f aca="false">IF(ISNUMBER(J62),(1+0.3^2)/2*J62,"—")</f>
        <v>—</v>
      </c>
      <c r="L62" s="55" t="n">
        <f aca="false">'Sim Data'!$F$111</f>
        <v>0</v>
      </c>
      <c r="M62" s="50" t="n">
        <f aca="false">'Sim Data'!$H$111</f>
        <v>0</v>
      </c>
      <c r="N62" s="52" t="n">
        <f aca="false">D62*L62</f>
        <v>0</v>
      </c>
      <c r="O62" s="47" t="str">
        <f aca="false">IF(MAX(M62,N62)&lt;0.5,"both ≈ 0",IF(N62=0,"no new arrivals",M62/N62))</f>
        <v>both ≈ 0</v>
      </c>
      <c r="P62" s="13" t="str">
        <f aca="false">IF(D62=0,"",IF(H62&gt;=1,"No steady state: the line grows by about "&amp;TEXT((D62-G62*F62)*10,"0")&amp;" in 10 min",IF(ISNUMBER(O62),IF(ABS(O62-1)&lt;=0.2,"Steady: Little's Law holds",IF(O62&gt;1,"Draining a line left from earlier","Line still building")),"Hardly any line")))</f>
        <v/>
      </c>
    </row>
    <row r="63" customFormat="false" ht="21.75" hidden="false" customHeight="true" outlineLevel="0" collapsed="false">
      <c r="A63" s="13" t="s">
        <v>324</v>
      </c>
      <c r="B63" s="13" t="s">
        <v>326</v>
      </c>
      <c r="C63" s="26" t="s">
        <v>351</v>
      </c>
      <c r="D63" s="50" t="n">
        <f aca="false">'Sim Data'!$E$112</f>
        <v>0</v>
      </c>
      <c r="E63" s="51" t="n">
        <f aca="false">'Sim Data'!$G$112</f>
        <v>0</v>
      </c>
      <c r="F63" s="52" t="n">
        <f aca="false">IF(E63&gt;0,1/E63,60/Assumptions!$B$16)</f>
        <v>30</v>
      </c>
      <c r="G63" s="53" t="n">
        <f aca="false">Assumptions!$B$15</f>
        <v>1</v>
      </c>
      <c r="H63" s="54" t="n">
        <f aca="false">D63/(G63*F63)</f>
        <v>0</v>
      </c>
      <c r="I63" s="26" t="str">
        <f aca="false">IF(D63=0,"no arrivals",IF(H63&lt;0.85,"stable",IF(H63&lt;1,"near capacity","over capacity")))</f>
        <v>no arrivals</v>
      </c>
      <c r="J63" s="47" t="str">
        <f aca="false">IF(AND(D63&gt;0,H63&lt;1),H63/(F63-D63),"—")</f>
        <v>—</v>
      </c>
      <c r="K63" s="47" t="str">
        <f aca="false">IF(ISNUMBER(J63),(1+0.3^2)/2*J63,"—")</f>
        <v>—</v>
      </c>
      <c r="L63" s="55" t="n">
        <f aca="false">'Sim Data'!$F$112</f>
        <v>0</v>
      </c>
      <c r="M63" s="50" t="n">
        <f aca="false">'Sim Data'!$H$112</f>
        <v>0</v>
      </c>
      <c r="N63" s="52" t="n">
        <f aca="false">D63*L63</f>
        <v>0</v>
      </c>
      <c r="O63" s="47" t="str">
        <f aca="false">IF(MAX(M63,N63)&lt;0.5,"both ≈ 0",IF(N63=0,"no new arrivals",M63/N63))</f>
        <v>both ≈ 0</v>
      </c>
      <c r="P63" s="13" t="str">
        <f aca="false">IF(D63=0,"",IF(H63&gt;=1,"No steady state: the line grows by about "&amp;TEXT((D63-G63*F63)*10,"0")&amp;" in 10 min",IF(ISNUMBER(O63),IF(ABS(O63-1)&lt;=0.2,"Steady: Little's Law holds",IF(O63&gt;1,"Draining a line left from earlier","Line still building")),"Hardly any line")))</f>
        <v/>
      </c>
    </row>
    <row r="64" customFormat="false" ht="21.75" hidden="false" customHeight="true" outlineLevel="0" collapsed="false">
      <c r="A64" s="13" t="s">
        <v>327</v>
      </c>
      <c r="B64" s="13" t="s">
        <v>325</v>
      </c>
      <c r="C64" s="26" t="s">
        <v>343</v>
      </c>
      <c r="D64" s="50" t="n">
        <f aca="false">'Sim Data'!$E$185</f>
        <v>0</v>
      </c>
      <c r="E64" s="51" t="n">
        <f aca="false">'Sim Data'!$G$185</f>
        <v>0</v>
      </c>
      <c r="F64" s="52" t="n">
        <f aca="false">IF(E64&gt;0,1/E64,60/Assumptions!$B$16)</f>
        <v>30</v>
      </c>
      <c r="G64" s="53" t="n">
        <f aca="false">Assumptions!$B$15</f>
        <v>1</v>
      </c>
      <c r="H64" s="54" t="n">
        <f aca="false">D64/(G64*F64)</f>
        <v>0</v>
      </c>
      <c r="I64" s="26" t="str">
        <f aca="false">IF(D64=0,"no arrivals",IF(H64&lt;0.85,"stable",IF(H64&lt;1,"near capacity","over capacity")))</f>
        <v>no arrivals</v>
      </c>
      <c r="J64" s="47" t="str">
        <f aca="false">IF(AND(D64&gt;0,H64&lt;1),H64/(F64-D64),"—")</f>
        <v>—</v>
      </c>
      <c r="K64" s="47" t="str">
        <f aca="false">IF(ISNUMBER(J64),(1+0.3^2)/2*J64,"—")</f>
        <v>—</v>
      </c>
      <c r="L64" s="55" t="n">
        <f aca="false">'Sim Data'!$F$185</f>
        <v>0</v>
      </c>
      <c r="M64" s="50" t="n">
        <f aca="false">'Sim Data'!$H$185</f>
        <v>0</v>
      </c>
      <c r="N64" s="52" t="n">
        <f aca="false">D64*L64</f>
        <v>0</v>
      </c>
      <c r="O64" s="47" t="str">
        <f aca="false">IF(MAX(M64,N64)&lt;0.5,"both ≈ 0",IF(N64=0,"no new arrivals",M64/N64))</f>
        <v>both ≈ 0</v>
      </c>
      <c r="P64" s="13" t="str">
        <f aca="false">IF(D64=0,"",IF(H64&gt;=1,"No steady state: the line grows by about "&amp;TEXT((D64-G64*F64)*10,"0")&amp;" in 10 min",IF(ISNUMBER(O64),IF(ABS(O64-1)&lt;=0.2,"Steady: Little's Law holds",IF(O64&gt;1,"Draining a line left from earlier","Line still building")),"Hardly any line")))</f>
        <v/>
      </c>
    </row>
    <row r="65" customFormat="false" ht="21.75" hidden="false" customHeight="true" outlineLevel="0" collapsed="false">
      <c r="A65" s="13" t="s">
        <v>327</v>
      </c>
      <c r="B65" s="13" t="s">
        <v>325</v>
      </c>
      <c r="C65" s="26" t="s">
        <v>344</v>
      </c>
      <c r="D65" s="50" t="n">
        <f aca="false">'Sim Data'!$E$186</f>
        <v>0</v>
      </c>
      <c r="E65" s="51" t="n">
        <f aca="false">'Sim Data'!$G$186</f>
        <v>0</v>
      </c>
      <c r="F65" s="52" t="n">
        <f aca="false">IF(E65&gt;0,1/E65,60/Assumptions!$B$16)</f>
        <v>30</v>
      </c>
      <c r="G65" s="53" t="n">
        <f aca="false">Assumptions!$B$15</f>
        <v>1</v>
      </c>
      <c r="H65" s="54" t="n">
        <f aca="false">D65/(G65*F65)</f>
        <v>0</v>
      </c>
      <c r="I65" s="26" t="str">
        <f aca="false">IF(D65=0,"no arrivals",IF(H65&lt;0.85,"stable",IF(H65&lt;1,"near capacity","over capacity")))</f>
        <v>no arrivals</v>
      </c>
      <c r="J65" s="47" t="str">
        <f aca="false">IF(AND(D65&gt;0,H65&lt;1),H65/(F65-D65),"—")</f>
        <v>—</v>
      </c>
      <c r="K65" s="47" t="str">
        <f aca="false">IF(ISNUMBER(J65),(1+0.3^2)/2*J65,"—")</f>
        <v>—</v>
      </c>
      <c r="L65" s="55" t="n">
        <f aca="false">'Sim Data'!$F$186</f>
        <v>0</v>
      </c>
      <c r="M65" s="50" t="n">
        <f aca="false">'Sim Data'!$H$186</f>
        <v>0</v>
      </c>
      <c r="N65" s="52" t="n">
        <f aca="false">D65*L65</f>
        <v>0</v>
      </c>
      <c r="O65" s="47" t="str">
        <f aca="false">IF(MAX(M65,N65)&lt;0.5,"both ≈ 0",IF(N65=0,"no new arrivals",M65/N65))</f>
        <v>both ≈ 0</v>
      </c>
      <c r="P65" s="13" t="str">
        <f aca="false">IF(D65=0,"",IF(H65&gt;=1,"No steady state: the line grows by about "&amp;TEXT((D65-G65*F65)*10,"0")&amp;" in 10 min",IF(ISNUMBER(O65),IF(ABS(O65-1)&lt;=0.2,"Steady: Little's Law holds",IF(O65&gt;1,"Draining a line left from earlier","Line still building")),"Hardly any line")))</f>
        <v/>
      </c>
    </row>
    <row r="66" customFormat="false" ht="21.75" hidden="false" customHeight="true" outlineLevel="0" collapsed="false">
      <c r="A66" s="13" t="s">
        <v>327</v>
      </c>
      <c r="B66" s="13" t="s">
        <v>325</v>
      </c>
      <c r="C66" s="26" t="s">
        <v>345</v>
      </c>
      <c r="D66" s="50" t="n">
        <f aca="false">'Sim Data'!$E$187</f>
        <v>0</v>
      </c>
      <c r="E66" s="51" t="n">
        <f aca="false">'Sim Data'!$G$187</f>
        <v>0</v>
      </c>
      <c r="F66" s="52" t="n">
        <f aca="false">IF(E66&gt;0,1/E66,60/Assumptions!$B$16)</f>
        <v>30</v>
      </c>
      <c r="G66" s="53" t="n">
        <f aca="false">Assumptions!$B$15</f>
        <v>1</v>
      </c>
      <c r="H66" s="54" t="n">
        <f aca="false">D66/(G66*F66)</f>
        <v>0</v>
      </c>
      <c r="I66" s="26" t="str">
        <f aca="false">IF(D66=0,"no arrivals",IF(H66&lt;0.85,"stable",IF(H66&lt;1,"near capacity","over capacity")))</f>
        <v>no arrivals</v>
      </c>
      <c r="J66" s="47" t="str">
        <f aca="false">IF(AND(D66&gt;0,H66&lt;1),H66/(F66-D66),"—")</f>
        <v>—</v>
      </c>
      <c r="K66" s="47" t="str">
        <f aca="false">IF(ISNUMBER(J66),(1+0.3^2)/2*J66,"—")</f>
        <v>—</v>
      </c>
      <c r="L66" s="55" t="n">
        <f aca="false">'Sim Data'!$F$187</f>
        <v>0</v>
      </c>
      <c r="M66" s="50" t="n">
        <f aca="false">'Sim Data'!$H$187</f>
        <v>0</v>
      </c>
      <c r="N66" s="52" t="n">
        <f aca="false">D66*L66</f>
        <v>0</v>
      </c>
      <c r="O66" s="47" t="str">
        <f aca="false">IF(MAX(M66,N66)&lt;0.5,"both ≈ 0",IF(N66=0,"no new arrivals",M66/N66))</f>
        <v>both ≈ 0</v>
      </c>
      <c r="P66" s="13" t="str">
        <f aca="false">IF(D66=0,"",IF(H66&gt;=1,"No steady state: the line grows by about "&amp;TEXT((D66-G66*F66)*10,"0")&amp;" in 10 min",IF(ISNUMBER(O66),IF(ABS(O66-1)&lt;=0.2,"Steady: Little's Law holds",IF(O66&gt;1,"Draining a line left from earlier","Line still building")),"Hardly any line")))</f>
        <v/>
      </c>
    </row>
    <row r="67" customFormat="false" ht="21.75" hidden="false" customHeight="true" outlineLevel="0" collapsed="false">
      <c r="A67" s="13" t="s">
        <v>327</v>
      </c>
      <c r="B67" s="13" t="s">
        <v>325</v>
      </c>
      <c r="C67" s="26" t="s">
        <v>146</v>
      </c>
      <c r="D67" s="50" t="n">
        <f aca="false">'Sim Data'!$E$188</f>
        <v>14.52</v>
      </c>
      <c r="E67" s="51" t="n">
        <f aca="false">'Sim Data'!$G$188</f>
        <v>0.0335</v>
      </c>
      <c r="F67" s="52" t="n">
        <f aca="false">IF(E67&gt;0,1/E67,60/Assumptions!$B$16)</f>
        <v>29.8507462686567</v>
      </c>
      <c r="G67" s="53" t="n">
        <f aca="false">Assumptions!$B$15</f>
        <v>1</v>
      </c>
      <c r="H67" s="54" t="n">
        <f aca="false">D67/(G67*F67)</f>
        <v>0.48642</v>
      </c>
      <c r="I67" s="26" t="str">
        <f aca="false">IF(D67=0,"no arrivals",IF(H67&lt;0.85,"stable",IF(H67&lt;1,"near capacity","over capacity")))</f>
        <v>stable</v>
      </c>
      <c r="J67" s="47" t="n">
        <f aca="false">IF(AND(D67&gt;0,H67&lt;1),H67/(F67-D67),"—")</f>
        <v>0.0317283967444215</v>
      </c>
      <c r="K67" s="47" t="n">
        <f aca="false">IF(ISNUMBER(J67),(1+0.3^2)/2*J67,"—")</f>
        <v>0.0172919762257097</v>
      </c>
      <c r="L67" s="55" t="n">
        <f aca="false">'Sim Data'!$F$188</f>
        <v>0.0195</v>
      </c>
      <c r="M67" s="50" t="n">
        <f aca="false">'Sim Data'!$H$188</f>
        <v>0.2811</v>
      </c>
      <c r="N67" s="52" t="n">
        <f aca="false">D67*L67</f>
        <v>0.28314</v>
      </c>
      <c r="O67" s="47" t="str">
        <f aca="false">IF(MAX(M67,N67)&lt;0.5,"both ≈ 0",IF(N67=0,"no new arrivals",M67/N67))</f>
        <v>both ≈ 0</v>
      </c>
      <c r="P67" s="13" t="str">
        <f aca="false">IF(D67=0,"",IF(H67&gt;=1,"No steady state: the line grows by about "&amp;TEXT((D67-G67*F67)*10,"0")&amp;" in 10 min",IF(ISNUMBER(O67),IF(ABS(O67-1)&lt;=0.2,"Steady: Little's Law holds",IF(O67&gt;1,"Draining a line left from earlier","Line still building")),"Hardly any line")))</f>
        <v>Hardly any line</v>
      </c>
    </row>
    <row r="68" customFormat="false" ht="21.75" hidden="false" customHeight="true" outlineLevel="0" collapsed="false">
      <c r="A68" s="13" t="s">
        <v>327</v>
      </c>
      <c r="B68" s="13" t="s">
        <v>325</v>
      </c>
      <c r="C68" s="26" t="s">
        <v>346</v>
      </c>
      <c r="D68" s="50" t="n">
        <f aca="false">'Sim Data'!$E$189</f>
        <v>18.77</v>
      </c>
      <c r="E68" s="51" t="n">
        <f aca="false">'Sim Data'!$G$189</f>
        <v>0.0333</v>
      </c>
      <c r="F68" s="52" t="n">
        <f aca="false">IF(E68&gt;0,1/E68,60/Assumptions!$B$16)</f>
        <v>30.03003003003</v>
      </c>
      <c r="G68" s="53" t="n">
        <f aca="false">Assumptions!$B$15</f>
        <v>1</v>
      </c>
      <c r="H68" s="54" t="n">
        <f aca="false">D68/(G68*F68)</f>
        <v>0.625041</v>
      </c>
      <c r="I68" s="26" t="str">
        <f aca="false">IF(D68=0,"no arrivals",IF(H68&lt;0.85,"stable",IF(H68&lt;1,"near capacity","over capacity")))</f>
        <v>stable</v>
      </c>
      <c r="J68" s="47" t="n">
        <f aca="false">IF(AND(D68&gt;0,H68&lt;1),H68/(F68-D68),"—")</f>
        <v>0.0555097098616116</v>
      </c>
      <c r="K68" s="47" t="n">
        <f aca="false">IF(ISNUMBER(J68),(1+0.3^2)/2*J68,"—")</f>
        <v>0.0302527918745783</v>
      </c>
      <c r="L68" s="55" t="n">
        <f aca="false">'Sim Data'!$F$189</f>
        <v>0.0272</v>
      </c>
      <c r="M68" s="50" t="n">
        <f aca="false">'Sim Data'!$H$189</f>
        <v>0.5063</v>
      </c>
      <c r="N68" s="52" t="n">
        <f aca="false">D68*L68</f>
        <v>0.510544</v>
      </c>
      <c r="O68" s="47" t="n">
        <f aca="false">IF(MAX(M68,N68)&lt;0.5,"both ≈ 0",IF(N68=0,"no new arrivals",M68/N68))</f>
        <v>0.991687298254411</v>
      </c>
      <c r="P68" s="13" t="str">
        <f aca="false">IF(D68=0,"",IF(H68&gt;=1,"No steady state: the line grows by about "&amp;TEXT((D68-G68*F68)*10,"0")&amp;" in 10 min",IF(ISNUMBER(O68),IF(ABS(O68-1)&lt;=0.2,"Steady: Little's Law holds",IF(O68&gt;1,"Draining a line left from earlier","Line still building")),"Hardly any line")))</f>
        <v>Steady: Little's Law holds</v>
      </c>
    </row>
    <row r="69" customFormat="false" ht="21.75" hidden="false" customHeight="true" outlineLevel="0" collapsed="false">
      <c r="A69" s="13" t="s">
        <v>327</v>
      </c>
      <c r="B69" s="13" t="s">
        <v>325</v>
      </c>
      <c r="C69" s="26" t="s">
        <v>347</v>
      </c>
      <c r="D69" s="50" t="n">
        <f aca="false">'Sim Data'!$E$190</f>
        <v>18.595</v>
      </c>
      <c r="E69" s="51" t="n">
        <f aca="false">'Sim Data'!$G$190</f>
        <v>0.0334</v>
      </c>
      <c r="F69" s="52" t="n">
        <f aca="false">IF(E69&gt;0,1/E69,60/Assumptions!$B$16)</f>
        <v>29.940119760479</v>
      </c>
      <c r="G69" s="53" t="n">
        <f aca="false">Assumptions!$B$15</f>
        <v>1</v>
      </c>
      <c r="H69" s="54" t="n">
        <f aca="false">D69/(G69*F69)</f>
        <v>0.621073</v>
      </c>
      <c r="I69" s="26" t="str">
        <f aca="false">IF(D69=0,"no arrivals",IF(H69&lt;0.85,"stable",IF(H69&lt;1,"near capacity","over capacity")))</f>
        <v>stable</v>
      </c>
      <c r="J69" s="47" t="n">
        <f aca="false">IF(AND(D69&gt;0,H69&lt;1),H69/(F69-D69),"—")</f>
        <v>0.0547436266088191</v>
      </c>
      <c r="K69" s="47" t="n">
        <f aca="false">IF(ISNUMBER(J69),(1+0.3^2)/2*J69,"—")</f>
        <v>0.0298352765018064</v>
      </c>
      <c r="L69" s="55" t="n">
        <f aca="false">'Sim Data'!$F$190</f>
        <v>0.0368</v>
      </c>
      <c r="M69" s="50" t="n">
        <f aca="false">'Sim Data'!$H$190</f>
        <v>0.689</v>
      </c>
      <c r="N69" s="52" t="n">
        <f aca="false">D69*L69</f>
        <v>0.684296</v>
      </c>
      <c r="O69" s="47" t="n">
        <f aca="false">IF(MAX(M69,N69)&lt;0.5,"both ≈ 0",IF(N69=0,"no new arrivals",M69/N69))</f>
        <v>1.00687421817459</v>
      </c>
      <c r="P69" s="13" t="str">
        <f aca="false">IF(D69=0,"",IF(H69&gt;=1,"No steady state: the line grows by about "&amp;TEXT((D69-G69*F69)*10,"0")&amp;" in 10 min",IF(ISNUMBER(O69),IF(ABS(O69-1)&lt;=0.2,"Steady: Little's Law holds",IF(O69&gt;1,"Draining a line left from earlier","Line still building")),"Hardly any line")))</f>
        <v>Steady: Little's Law holds</v>
      </c>
    </row>
    <row r="70" customFormat="false" ht="21.75" hidden="false" customHeight="true" outlineLevel="0" collapsed="false">
      <c r="A70" s="13" t="s">
        <v>327</v>
      </c>
      <c r="B70" s="13" t="s">
        <v>325</v>
      </c>
      <c r="C70" s="26" t="s">
        <v>155</v>
      </c>
      <c r="D70" s="50" t="n">
        <f aca="false">'Sim Data'!$E$191</f>
        <v>21.645</v>
      </c>
      <c r="E70" s="51" t="n">
        <f aca="false">'Sim Data'!$G$191</f>
        <v>0.0335</v>
      </c>
      <c r="F70" s="52" t="n">
        <f aca="false">IF(E70&gt;0,1/E70,60/Assumptions!$B$16)</f>
        <v>29.8507462686567</v>
      </c>
      <c r="G70" s="53" t="n">
        <f aca="false">Assumptions!$B$15</f>
        <v>1</v>
      </c>
      <c r="H70" s="54" t="n">
        <f aca="false">D70/(G70*F70)</f>
        <v>0.7251075</v>
      </c>
      <c r="I70" s="26" t="str">
        <f aca="false">IF(D70=0,"no arrivals",IF(H70&lt;0.85,"stable",IF(H70&lt;1,"near capacity","over capacity")))</f>
        <v>stable</v>
      </c>
      <c r="J70" s="47" t="n">
        <f aca="false">IF(AND(D70&gt;0,H70&lt;1),H70/(F70-D70),"—")</f>
        <v>0.0883658202751985</v>
      </c>
      <c r="K70" s="47" t="n">
        <f aca="false">IF(ISNUMBER(J70),(1+0.3^2)/2*J70,"—")</f>
        <v>0.0481593720499832</v>
      </c>
      <c r="L70" s="55" t="n">
        <f aca="false">'Sim Data'!$F$191</f>
        <v>0.0558</v>
      </c>
      <c r="M70" s="50" t="n">
        <f aca="false">'Sim Data'!$H$191</f>
        <v>1.2025</v>
      </c>
      <c r="N70" s="52" t="n">
        <f aca="false">D70*L70</f>
        <v>1.207791</v>
      </c>
      <c r="O70" s="47" t="n">
        <f aca="false">IF(MAX(M70,N70)&lt;0.5,"both ≈ 0",IF(N70=0,"no new arrivals",M70/N70))</f>
        <v>0.995619275189168</v>
      </c>
      <c r="P70" s="13" t="str">
        <f aca="false">IF(D70=0,"",IF(H70&gt;=1,"No steady state: the line grows by about "&amp;TEXT((D70-G70*F70)*10,"0")&amp;" in 10 min",IF(ISNUMBER(O70),IF(ABS(O70-1)&lt;=0.2,"Steady: Little's Law holds",IF(O70&gt;1,"Draining a line left from earlier","Line still building")),"Hardly any line")))</f>
        <v>Steady: Little's Law holds</v>
      </c>
    </row>
    <row r="71" customFormat="false" ht="21.75" hidden="false" customHeight="true" outlineLevel="0" collapsed="false">
      <c r="A71" s="13" t="s">
        <v>327</v>
      </c>
      <c r="B71" s="13" t="s">
        <v>325</v>
      </c>
      <c r="C71" s="26" t="s">
        <v>159</v>
      </c>
      <c r="D71" s="50" t="n">
        <f aca="false">'Sim Data'!$E$192</f>
        <v>18.74</v>
      </c>
      <c r="E71" s="51" t="n">
        <f aca="false">'Sim Data'!$G$192</f>
        <v>0.0333</v>
      </c>
      <c r="F71" s="52" t="n">
        <f aca="false">IF(E71&gt;0,1/E71,60/Assumptions!$B$16)</f>
        <v>30.03003003003</v>
      </c>
      <c r="G71" s="53" t="n">
        <f aca="false">Assumptions!$B$15</f>
        <v>1</v>
      </c>
      <c r="H71" s="54" t="n">
        <f aca="false">D71/(G71*F71)</f>
        <v>0.624042</v>
      </c>
      <c r="I71" s="26" t="str">
        <f aca="false">IF(D71=0,"no arrivals",IF(H71&lt;0.85,"stable",IF(H71&lt;1,"near capacity","over capacity")))</f>
        <v>stable</v>
      </c>
      <c r="J71" s="47" t="n">
        <f aca="false">IF(AND(D71&gt;0,H71&lt;1),H71/(F71-D71),"—")</f>
        <v>0.0552737236606217</v>
      </c>
      <c r="K71" s="47" t="n">
        <f aca="false">IF(ISNUMBER(J71),(1+0.3^2)/2*J71,"—")</f>
        <v>0.0301241793950388</v>
      </c>
      <c r="L71" s="55" t="n">
        <f aca="false">'Sim Data'!$F$192</f>
        <v>0.0348</v>
      </c>
      <c r="M71" s="50" t="n">
        <f aca="false">'Sim Data'!$H$192</f>
        <v>0.6563</v>
      </c>
      <c r="N71" s="52" t="n">
        <f aca="false">D71*L71</f>
        <v>0.652152</v>
      </c>
      <c r="O71" s="47" t="n">
        <f aca="false">IF(MAX(M71,N71)&lt;0.5,"both ≈ 0",IF(N71=0,"no new arrivals",M71/N71))</f>
        <v>1.00636048037881</v>
      </c>
      <c r="P71" s="13" t="str">
        <f aca="false">IF(D71=0,"",IF(H71&gt;=1,"No steady state: the line grows by about "&amp;TEXT((D71-G71*F71)*10,"0")&amp;" in 10 min",IF(ISNUMBER(O71),IF(ABS(O71-1)&lt;=0.2,"Steady: Little's Law holds",IF(O71&gt;1,"Draining a line left from earlier","Line still building")),"Hardly any line")))</f>
        <v>Steady: Little's Law holds</v>
      </c>
    </row>
    <row r="72" customFormat="false" ht="21.75" hidden="false" customHeight="true" outlineLevel="0" collapsed="false">
      <c r="A72" s="13" t="s">
        <v>327</v>
      </c>
      <c r="B72" s="13" t="s">
        <v>325</v>
      </c>
      <c r="C72" s="26" t="s">
        <v>162</v>
      </c>
      <c r="D72" s="50" t="n">
        <f aca="false">'Sim Data'!$E$193</f>
        <v>15.905</v>
      </c>
      <c r="E72" s="51" t="n">
        <f aca="false">'Sim Data'!$G$193</f>
        <v>0.0333</v>
      </c>
      <c r="F72" s="52" t="n">
        <f aca="false">IF(E72&gt;0,1/E72,60/Assumptions!$B$16)</f>
        <v>30.03003003003</v>
      </c>
      <c r="G72" s="53" t="n">
        <f aca="false">Assumptions!$B$15</f>
        <v>1</v>
      </c>
      <c r="H72" s="54" t="n">
        <f aca="false">D72/(G72*F72)</f>
        <v>0.5296365</v>
      </c>
      <c r="I72" s="26" t="str">
        <f aca="false">IF(D72=0,"no arrivals",IF(H72&lt;0.85,"stable",IF(H72&lt;1,"near capacity","over capacity")))</f>
        <v>stable</v>
      </c>
      <c r="J72" s="47" t="n">
        <f aca="false">IF(AND(D72&gt;0,H72&lt;1),H72/(F72-D72),"—")</f>
        <v>0.0374963096626333</v>
      </c>
      <c r="K72" s="47" t="n">
        <f aca="false">IF(ISNUMBER(J72),(1+0.3^2)/2*J72,"—")</f>
        <v>0.0204354887661351</v>
      </c>
      <c r="L72" s="55" t="n">
        <f aca="false">'Sim Data'!$F$193</f>
        <v>0.0212</v>
      </c>
      <c r="M72" s="50" t="n">
        <f aca="false">'Sim Data'!$H$193</f>
        <v>0.3399</v>
      </c>
      <c r="N72" s="52" t="n">
        <f aca="false">D72*L72</f>
        <v>0.337186</v>
      </c>
      <c r="O72" s="47" t="str">
        <f aca="false">IF(MAX(M72,N72)&lt;0.5,"both ≈ 0",IF(N72=0,"no new arrivals",M72/N72))</f>
        <v>both ≈ 0</v>
      </c>
      <c r="P72" s="13" t="str">
        <f aca="false">IF(D72=0,"",IF(H72&gt;=1,"No steady state: the line grows by about "&amp;TEXT((D72-G72*F72)*10,"0")&amp;" in 10 min",IF(ISNUMBER(O72),IF(ABS(O72-1)&lt;=0.2,"Steady: Little's Law holds",IF(O72&gt;1,"Draining a line left from earlier","Line still building")),"Hardly any line")))</f>
        <v>Hardly any line</v>
      </c>
    </row>
    <row r="73" customFormat="false" ht="21.75" hidden="false" customHeight="true" outlineLevel="0" collapsed="false">
      <c r="A73" s="13" t="s">
        <v>327</v>
      </c>
      <c r="B73" s="13" t="s">
        <v>325</v>
      </c>
      <c r="C73" s="26" t="s">
        <v>147</v>
      </c>
      <c r="D73" s="50" t="n">
        <f aca="false">'Sim Data'!$E$194</f>
        <v>21.265</v>
      </c>
      <c r="E73" s="51" t="n">
        <f aca="false">'Sim Data'!$G$194</f>
        <v>0.0332</v>
      </c>
      <c r="F73" s="52" t="n">
        <f aca="false">IF(E73&gt;0,1/E73,60/Assumptions!$B$16)</f>
        <v>30.1204819277108</v>
      </c>
      <c r="G73" s="53" t="n">
        <f aca="false">Assumptions!$B$15</f>
        <v>1</v>
      </c>
      <c r="H73" s="54" t="n">
        <f aca="false">D73/(G73*F73)</f>
        <v>0.705998</v>
      </c>
      <c r="I73" s="26" t="str">
        <f aca="false">IF(D73=0,"no arrivals",IF(H73&lt;0.85,"stable",IF(H73&lt;1,"near capacity","over capacity")))</f>
        <v>stable</v>
      </c>
      <c r="J73" s="47" t="n">
        <f aca="false">IF(AND(D73&gt;0,H73&lt;1),H73/(F73-D73),"—")</f>
        <v>0.0797244018748172</v>
      </c>
      <c r="K73" s="47" t="n">
        <f aca="false">IF(ISNUMBER(J73),(1+0.3^2)/2*J73,"—")</f>
        <v>0.0434497990217754</v>
      </c>
      <c r="L73" s="55" t="n">
        <f aca="false">'Sim Data'!$F$194</f>
        <v>0.0638</v>
      </c>
      <c r="M73" s="50" t="n">
        <f aca="false">'Sim Data'!$H$194</f>
        <v>1.3422</v>
      </c>
      <c r="N73" s="52" t="n">
        <f aca="false">D73*L73</f>
        <v>1.356707</v>
      </c>
      <c r="O73" s="47" t="n">
        <f aca="false">IF(MAX(M73,N73)&lt;0.5,"both ≈ 0",IF(N73=0,"no new arrivals",M73/N73))</f>
        <v>0.989307197501008</v>
      </c>
      <c r="P73" s="13" t="str">
        <f aca="false">IF(D73=0,"",IF(H73&gt;=1,"No steady state: the line grows by about "&amp;TEXT((D73-G73*F73)*10,"0")&amp;" in 10 min",IF(ISNUMBER(O73),IF(ABS(O73-1)&lt;=0.2,"Steady: Little's Law holds",IF(O73&gt;1,"Draining a line left from earlier","Line still building")),"Hardly any line")))</f>
        <v>Steady: Little's Law holds</v>
      </c>
    </row>
    <row r="74" customFormat="false" ht="21.75" hidden="false" customHeight="true" outlineLevel="0" collapsed="false">
      <c r="A74" s="13" t="s">
        <v>327</v>
      </c>
      <c r="B74" s="13" t="s">
        <v>325</v>
      </c>
      <c r="C74" s="26" t="s">
        <v>348</v>
      </c>
      <c r="D74" s="50" t="n">
        <f aca="false">'Sim Data'!$E$195</f>
        <v>21.375</v>
      </c>
      <c r="E74" s="51" t="n">
        <f aca="false">'Sim Data'!$G$195</f>
        <v>0.0334</v>
      </c>
      <c r="F74" s="52" t="n">
        <f aca="false">IF(E74&gt;0,1/E74,60/Assumptions!$B$16)</f>
        <v>29.940119760479</v>
      </c>
      <c r="G74" s="53" t="n">
        <f aca="false">Assumptions!$B$15</f>
        <v>1</v>
      </c>
      <c r="H74" s="54" t="n">
        <f aca="false">D74/(G74*F74)</f>
        <v>0.713925</v>
      </c>
      <c r="I74" s="26" t="str">
        <f aca="false">IF(D74=0,"no arrivals",IF(H74&lt;0.85,"stable",IF(H74&lt;1,"near capacity","over capacity")))</f>
        <v>stable</v>
      </c>
      <c r="J74" s="47" t="n">
        <f aca="false">IF(AND(D74&gt;0,H74&lt;1),H74/(F74-D74),"—")</f>
        <v>0.0833525998426986</v>
      </c>
      <c r="K74" s="47" t="n">
        <f aca="false">IF(ISNUMBER(J74),(1+0.3^2)/2*J74,"—")</f>
        <v>0.0454271669142707</v>
      </c>
      <c r="L74" s="55" t="n">
        <f aca="false">'Sim Data'!$F$195</f>
        <v>0.0696</v>
      </c>
      <c r="M74" s="50" t="n">
        <f aca="false">'Sim Data'!$H$195</f>
        <v>1.4947</v>
      </c>
      <c r="N74" s="52" t="n">
        <f aca="false">D74*L74</f>
        <v>1.4877</v>
      </c>
      <c r="O74" s="47" t="n">
        <f aca="false">IF(MAX(M74,N74)&lt;0.5,"both ≈ 0",IF(N74=0,"no new arrivals",M74/N74))</f>
        <v>1.00470524971432</v>
      </c>
      <c r="P74" s="13" t="str">
        <f aca="false">IF(D74=0,"",IF(H74&gt;=1,"No steady state: the line grows by about "&amp;TEXT((D74-G74*F74)*10,"0")&amp;" in 10 min",IF(ISNUMBER(O74),IF(ABS(O74-1)&lt;=0.2,"Steady: Little's Law holds",IF(O74&gt;1,"Draining a line left from earlier","Line still building")),"Hardly any line")))</f>
        <v>Steady: Little's Law holds</v>
      </c>
    </row>
    <row r="75" customFormat="false" ht="21.75" hidden="false" customHeight="true" outlineLevel="0" collapsed="false">
      <c r="A75" s="13" t="s">
        <v>327</v>
      </c>
      <c r="B75" s="13" t="s">
        <v>325</v>
      </c>
      <c r="C75" s="26" t="s">
        <v>349</v>
      </c>
      <c r="D75" s="50" t="n">
        <f aca="false">'Sim Data'!$E$196</f>
        <v>19.635</v>
      </c>
      <c r="E75" s="51" t="n">
        <f aca="false">'Sim Data'!$G$196</f>
        <v>0.0333</v>
      </c>
      <c r="F75" s="52" t="n">
        <f aca="false">IF(E75&gt;0,1/E75,60/Assumptions!$B$16)</f>
        <v>30.03003003003</v>
      </c>
      <c r="G75" s="53" t="n">
        <f aca="false">Assumptions!$B$15</f>
        <v>1</v>
      </c>
      <c r="H75" s="54" t="n">
        <f aca="false">D75/(G75*F75)</f>
        <v>0.6538455</v>
      </c>
      <c r="I75" s="26" t="str">
        <f aca="false">IF(D75=0,"no arrivals",IF(H75&lt;0.85,"stable",IF(H75&lt;1,"near capacity","over capacity")))</f>
        <v>stable</v>
      </c>
      <c r="J75" s="47" t="n">
        <f aca="false">IF(AND(D75&gt;0,H75&lt;1),H75/(F75-D75),"—")</f>
        <v>0.0628998182892322</v>
      </c>
      <c r="K75" s="47" t="n">
        <f aca="false">IF(ISNUMBER(J75),(1+0.3^2)/2*J75,"—")</f>
        <v>0.0342804009676315</v>
      </c>
      <c r="L75" s="55" t="n">
        <f aca="false">'Sim Data'!$F$196</f>
        <v>0.0562</v>
      </c>
      <c r="M75" s="50" t="n">
        <f aca="false">'Sim Data'!$H$196</f>
        <v>1.1085</v>
      </c>
      <c r="N75" s="52" t="n">
        <f aca="false">D75*L75</f>
        <v>1.103487</v>
      </c>
      <c r="O75" s="47" t="n">
        <f aca="false">IF(MAX(M75,N75)&lt;0.5,"both ≈ 0",IF(N75=0,"no new arrivals",M75/N75))</f>
        <v>1.00454287182359</v>
      </c>
      <c r="P75" s="13" t="str">
        <f aca="false">IF(D75=0,"",IF(H75&gt;=1,"No steady state: the line grows by about "&amp;TEXT((D75-G75*F75)*10,"0")&amp;" in 10 min",IF(ISNUMBER(O75),IF(ABS(O75-1)&lt;=0.2,"Steady: Little's Law holds",IF(O75&gt;1,"Draining a line left from earlier","Line still building")),"Hardly any line")))</f>
        <v>Steady: Little's Law holds</v>
      </c>
    </row>
    <row r="76" customFormat="false" ht="21.75" hidden="false" customHeight="true" outlineLevel="0" collapsed="false">
      <c r="A76" s="13" t="s">
        <v>327</v>
      </c>
      <c r="B76" s="13" t="s">
        <v>325</v>
      </c>
      <c r="C76" s="26" t="s">
        <v>156</v>
      </c>
      <c r="D76" s="50" t="n">
        <f aca="false">'Sim Data'!$E$197</f>
        <v>17.935</v>
      </c>
      <c r="E76" s="51" t="n">
        <f aca="false">'Sim Data'!$G$197</f>
        <v>0.0335</v>
      </c>
      <c r="F76" s="52" t="n">
        <f aca="false">IF(E76&gt;0,1/E76,60/Assumptions!$B$16)</f>
        <v>29.8507462686567</v>
      </c>
      <c r="G76" s="53" t="n">
        <f aca="false">Assumptions!$B$15</f>
        <v>1</v>
      </c>
      <c r="H76" s="54" t="n">
        <f aca="false">D76/(G76*F76)</f>
        <v>0.6008225</v>
      </c>
      <c r="I76" s="26" t="str">
        <f aca="false">IF(D76=0,"no arrivals",IF(H76&lt;0.85,"stable",IF(H76&lt;1,"near capacity","over capacity")))</f>
        <v>stable</v>
      </c>
      <c r="J76" s="47" t="n">
        <f aca="false">IF(AND(D76&gt;0,H76&lt;1),H76/(F76-D76),"—")</f>
        <v>0.0504225657758767</v>
      </c>
      <c r="K76" s="47" t="n">
        <f aca="false">IF(ISNUMBER(J76),(1+0.3^2)/2*J76,"—")</f>
        <v>0.0274802983478528</v>
      </c>
      <c r="L76" s="55" t="n">
        <f aca="false">'Sim Data'!$F$197</f>
        <v>0.0342</v>
      </c>
      <c r="M76" s="50" t="n">
        <f aca="false">'Sim Data'!$H$197</f>
        <v>0.6151</v>
      </c>
      <c r="N76" s="52" t="n">
        <f aca="false">D76*L76</f>
        <v>0.613377</v>
      </c>
      <c r="O76" s="47" t="n">
        <f aca="false">IF(MAX(M76,N76)&lt;0.5,"both ≈ 0",IF(N76=0,"no new arrivals",M76/N76))</f>
        <v>1.00280903913906</v>
      </c>
      <c r="P76" s="13" t="str">
        <f aca="false">IF(D76=0,"",IF(H76&gt;=1,"No steady state: the line grows by about "&amp;TEXT((D76-G76*F76)*10,"0")&amp;" in 10 min",IF(ISNUMBER(O76),IF(ABS(O76-1)&lt;=0.2,"Steady: Little's Law holds",IF(O76&gt;1,"Draining a line left from earlier","Line still building")),"Hardly any line")))</f>
        <v>Steady: Little's Law holds</v>
      </c>
    </row>
    <row r="77" customFormat="false" ht="21.75" hidden="false" customHeight="true" outlineLevel="0" collapsed="false">
      <c r="A77" s="13" t="s">
        <v>327</v>
      </c>
      <c r="B77" s="13" t="s">
        <v>325</v>
      </c>
      <c r="C77" s="26" t="s">
        <v>160</v>
      </c>
      <c r="D77" s="50" t="n">
        <f aca="false">'Sim Data'!$E$198</f>
        <v>14.28</v>
      </c>
      <c r="E77" s="51" t="n">
        <f aca="false">'Sim Data'!$G$198</f>
        <v>0.0335</v>
      </c>
      <c r="F77" s="52" t="n">
        <f aca="false">IF(E77&gt;0,1/E77,60/Assumptions!$B$16)</f>
        <v>29.8507462686567</v>
      </c>
      <c r="G77" s="53" t="n">
        <f aca="false">Assumptions!$B$15</f>
        <v>1</v>
      </c>
      <c r="H77" s="54" t="n">
        <f aca="false">D77/(G77*F77)</f>
        <v>0.47838</v>
      </c>
      <c r="I77" s="26" t="str">
        <f aca="false">IF(D77=0,"no arrivals",IF(H77&lt;0.85,"stable",IF(H77&lt;1,"near capacity","over capacity")))</f>
        <v>stable</v>
      </c>
      <c r="J77" s="47" t="n">
        <f aca="false">IF(AND(D77&gt;0,H77&lt;1),H77/(F77-D77),"—")</f>
        <v>0.0307229975844485</v>
      </c>
      <c r="K77" s="47" t="n">
        <f aca="false">IF(ISNUMBER(J77),(1+0.3^2)/2*J77,"—")</f>
        <v>0.0167440336835244</v>
      </c>
      <c r="L77" s="55" t="n">
        <f aca="false">'Sim Data'!$F$198</f>
        <v>0.0179</v>
      </c>
      <c r="M77" s="50" t="n">
        <f aca="false">'Sim Data'!$H$198</f>
        <v>0.2556</v>
      </c>
      <c r="N77" s="52" t="n">
        <f aca="false">D77*L77</f>
        <v>0.255612</v>
      </c>
      <c r="O77" s="47" t="str">
        <f aca="false">IF(MAX(M77,N77)&lt;0.5,"both ≈ 0",IF(N77=0,"no new arrivals",M77/N77))</f>
        <v>both ≈ 0</v>
      </c>
      <c r="P77" s="13" t="str">
        <f aca="false">IF(D77=0,"",IF(H77&gt;=1,"No steady state: the line grows by about "&amp;TEXT((D77-G77*F77)*10,"0")&amp;" in 10 min",IF(ISNUMBER(O77),IF(ABS(O77-1)&lt;=0.2,"Steady: Little's Law holds",IF(O77&gt;1,"Draining a line left from earlier","Line still building")),"Hardly any line")))</f>
        <v>Hardly any line</v>
      </c>
    </row>
    <row r="78" customFormat="false" ht="21.75" hidden="false" customHeight="true" outlineLevel="0" collapsed="false">
      <c r="A78" s="13" t="s">
        <v>327</v>
      </c>
      <c r="B78" s="13" t="s">
        <v>325</v>
      </c>
      <c r="C78" s="26" t="s">
        <v>163</v>
      </c>
      <c r="D78" s="50" t="n">
        <f aca="false">'Sim Data'!$E$199</f>
        <v>7.17</v>
      </c>
      <c r="E78" s="51" t="n">
        <f aca="false">'Sim Data'!$G$199</f>
        <v>0.0336</v>
      </c>
      <c r="F78" s="52" t="n">
        <f aca="false">IF(E78&gt;0,1/E78,60/Assumptions!$B$16)</f>
        <v>29.7619047619048</v>
      </c>
      <c r="G78" s="53" t="n">
        <f aca="false">Assumptions!$B$15</f>
        <v>1</v>
      </c>
      <c r="H78" s="54" t="n">
        <f aca="false">D78/(G78*F78)</f>
        <v>0.240912</v>
      </c>
      <c r="I78" s="26" t="str">
        <f aca="false">IF(D78=0,"no arrivals",IF(H78&lt;0.85,"stable",IF(H78&lt;1,"near capacity","over capacity")))</f>
        <v>stable</v>
      </c>
      <c r="J78" s="47" t="n">
        <f aca="false">IF(AND(D78&gt;0,H78&lt;1),H78/(F78-D78),"—")</f>
        <v>0.0106636426870139</v>
      </c>
      <c r="K78" s="47" t="n">
        <f aca="false">IF(ISNUMBER(J78),(1+0.3^2)/2*J78,"—")</f>
        <v>0.00581168526442257</v>
      </c>
      <c r="L78" s="55" t="n">
        <f aca="false">'Sim Data'!$F$199</f>
        <v>0.0059</v>
      </c>
      <c r="M78" s="50" t="n">
        <f aca="false">'Sim Data'!$H$199</f>
        <v>0.0423</v>
      </c>
      <c r="N78" s="52" t="n">
        <f aca="false">D78*L78</f>
        <v>0.042303</v>
      </c>
      <c r="O78" s="47" t="str">
        <f aca="false">IF(MAX(M78,N78)&lt;0.5,"both ≈ 0",IF(N78=0,"no new arrivals",M78/N78))</f>
        <v>both ≈ 0</v>
      </c>
      <c r="P78" s="13" t="str">
        <f aca="false">IF(D78=0,"",IF(H78&gt;=1,"No steady state: the line grows by about "&amp;TEXT((D78-G78*F78)*10,"0")&amp;" in 10 min",IF(ISNUMBER(O78),IF(ABS(O78-1)&lt;=0.2,"Steady: Little's Law holds",IF(O78&gt;1,"Draining a line left from earlier","Line still building")),"Hardly any line")))</f>
        <v>Hardly any line</v>
      </c>
    </row>
    <row r="79" customFormat="false" ht="21.75" hidden="false" customHeight="true" outlineLevel="0" collapsed="false">
      <c r="A79" s="13" t="s">
        <v>327</v>
      </c>
      <c r="B79" s="13" t="s">
        <v>325</v>
      </c>
      <c r="C79" s="26" t="s">
        <v>150</v>
      </c>
      <c r="D79" s="50" t="n">
        <f aca="false">'Sim Data'!$E$200</f>
        <v>0</v>
      </c>
      <c r="E79" s="51" t="n">
        <f aca="false">'Sim Data'!$G$200</f>
        <v>0</v>
      </c>
      <c r="F79" s="52" t="n">
        <f aca="false">IF(E79&gt;0,1/E79,60/Assumptions!$B$16)</f>
        <v>30</v>
      </c>
      <c r="G79" s="53" t="n">
        <f aca="false">Assumptions!$B$15</f>
        <v>1</v>
      </c>
      <c r="H79" s="54" t="n">
        <f aca="false">D79/(G79*F79)</f>
        <v>0</v>
      </c>
      <c r="I79" s="26" t="str">
        <f aca="false">IF(D79=0,"no arrivals",IF(H79&lt;0.85,"stable",IF(H79&lt;1,"near capacity","over capacity")))</f>
        <v>no arrivals</v>
      </c>
      <c r="J79" s="47" t="str">
        <f aca="false">IF(AND(D79&gt;0,H79&lt;1),H79/(F79-D79),"—")</f>
        <v>—</v>
      </c>
      <c r="K79" s="47" t="str">
        <f aca="false">IF(ISNUMBER(J79),(1+0.3^2)/2*J79,"—")</f>
        <v>—</v>
      </c>
      <c r="L79" s="55" t="n">
        <f aca="false">'Sim Data'!$F$200</f>
        <v>0</v>
      </c>
      <c r="M79" s="50" t="n">
        <f aca="false">'Sim Data'!$H$200</f>
        <v>0</v>
      </c>
      <c r="N79" s="52" t="n">
        <f aca="false">D79*L79</f>
        <v>0</v>
      </c>
      <c r="O79" s="47" t="str">
        <f aca="false">IF(MAX(M79,N79)&lt;0.5,"both ≈ 0",IF(N79=0,"no new arrivals",M79/N79))</f>
        <v>both ≈ 0</v>
      </c>
      <c r="P79" s="13" t="str">
        <f aca="false">IF(D79=0,"",IF(H79&gt;=1,"No steady state: the line grows by about "&amp;TEXT((D79-G79*F79)*10,"0")&amp;" in 10 min",IF(ISNUMBER(O79),IF(ABS(O79-1)&lt;=0.2,"Steady: Little's Law holds",IF(O79&gt;1,"Draining a line left from earlier","Line still building")),"Hardly any line")))</f>
        <v/>
      </c>
    </row>
    <row r="80" customFormat="false" ht="21.75" hidden="false" customHeight="true" outlineLevel="0" collapsed="false">
      <c r="A80" s="13" t="s">
        <v>327</v>
      </c>
      <c r="B80" s="13" t="s">
        <v>325</v>
      </c>
      <c r="C80" s="26" t="s">
        <v>350</v>
      </c>
      <c r="D80" s="50" t="n">
        <f aca="false">'Sim Data'!$E$201</f>
        <v>0</v>
      </c>
      <c r="E80" s="51" t="n">
        <f aca="false">'Sim Data'!$G$201</f>
        <v>0</v>
      </c>
      <c r="F80" s="52" t="n">
        <f aca="false">IF(E80&gt;0,1/E80,60/Assumptions!$B$16)</f>
        <v>30</v>
      </c>
      <c r="G80" s="53" t="n">
        <f aca="false">Assumptions!$B$15</f>
        <v>1</v>
      </c>
      <c r="H80" s="54" t="n">
        <f aca="false">D80/(G80*F80)</f>
        <v>0</v>
      </c>
      <c r="I80" s="26" t="str">
        <f aca="false">IF(D80=0,"no arrivals",IF(H80&lt;0.85,"stable",IF(H80&lt;1,"near capacity","over capacity")))</f>
        <v>no arrivals</v>
      </c>
      <c r="J80" s="47" t="str">
        <f aca="false">IF(AND(D80&gt;0,H80&lt;1),H80/(F80-D80),"—")</f>
        <v>—</v>
      </c>
      <c r="K80" s="47" t="str">
        <f aca="false">IF(ISNUMBER(J80),(1+0.3^2)/2*J80,"—")</f>
        <v>—</v>
      </c>
      <c r="L80" s="55" t="n">
        <f aca="false">'Sim Data'!$F$201</f>
        <v>0</v>
      </c>
      <c r="M80" s="50" t="n">
        <f aca="false">'Sim Data'!$H$201</f>
        <v>0</v>
      </c>
      <c r="N80" s="52" t="n">
        <f aca="false">D80*L80</f>
        <v>0</v>
      </c>
      <c r="O80" s="47" t="str">
        <f aca="false">IF(MAX(M80,N80)&lt;0.5,"both ≈ 0",IF(N80=0,"no new arrivals",M80/N80))</f>
        <v>both ≈ 0</v>
      </c>
      <c r="P80" s="13" t="str">
        <f aca="false">IF(D80=0,"",IF(H80&gt;=1,"No steady state: the line grows by about "&amp;TEXT((D80-G80*F80)*10,"0")&amp;" in 10 min",IF(ISNUMBER(O80),IF(ABS(O80-1)&lt;=0.2,"Steady: Little's Law holds",IF(O80&gt;1,"Draining a line left from earlier","Line still building")),"Hardly any line")))</f>
        <v/>
      </c>
    </row>
    <row r="81" customFormat="false" ht="21.75" hidden="false" customHeight="true" outlineLevel="0" collapsed="false">
      <c r="A81" s="13" t="s">
        <v>327</v>
      </c>
      <c r="B81" s="13" t="s">
        <v>325</v>
      </c>
      <c r="C81" s="26" t="s">
        <v>351</v>
      </c>
      <c r="D81" s="50" t="n">
        <f aca="false">'Sim Data'!$E$202</f>
        <v>0</v>
      </c>
      <c r="E81" s="51" t="n">
        <f aca="false">'Sim Data'!$G$202</f>
        <v>0</v>
      </c>
      <c r="F81" s="52" t="n">
        <f aca="false">IF(E81&gt;0,1/E81,60/Assumptions!$B$16)</f>
        <v>30</v>
      </c>
      <c r="G81" s="53" t="n">
        <f aca="false">Assumptions!$B$15</f>
        <v>1</v>
      </c>
      <c r="H81" s="54" t="n">
        <f aca="false">D81/(G81*F81)</f>
        <v>0</v>
      </c>
      <c r="I81" s="26" t="str">
        <f aca="false">IF(D81=0,"no arrivals",IF(H81&lt;0.85,"stable",IF(H81&lt;1,"near capacity","over capacity")))</f>
        <v>no arrivals</v>
      </c>
      <c r="J81" s="47" t="str">
        <f aca="false">IF(AND(D81&gt;0,H81&lt;1),H81/(F81-D81),"—")</f>
        <v>—</v>
      </c>
      <c r="K81" s="47" t="str">
        <f aca="false">IF(ISNUMBER(J81),(1+0.3^2)/2*J81,"—")</f>
        <v>—</v>
      </c>
      <c r="L81" s="55" t="n">
        <f aca="false">'Sim Data'!$F$202</f>
        <v>0</v>
      </c>
      <c r="M81" s="50" t="n">
        <f aca="false">'Sim Data'!$H$202</f>
        <v>0</v>
      </c>
      <c r="N81" s="52" t="n">
        <f aca="false">D81*L81</f>
        <v>0</v>
      </c>
      <c r="O81" s="47" t="str">
        <f aca="false">IF(MAX(M81,N81)&lt;0.5,"both ≈ 0",IF(N81=0,"no new arrivals",M81/N81))</f>
        <v>both ≈ 0</v>
      </c>
      <c r="P81" s="13" t="str">
        <f aca="false">IF(D81=0,"",IF(H81&gt;=1,"No steady state: the line grows by about "&amp;TEXT((D81-G81*F81)*10,"0")&amp;" in 10 min",IF(ISNUMBER(O81),IF(ABS(O81-1)&lt;=0.2,"Steady: Little's Law holds",IF(O81&gt;1,"Draining a line left from earlier","Line still building")),"Hardly any line")))</f>
        <v/>
      </c>
    </row>
    <row r="82" customFormat="false" ht="21.75" hidden="false" customHeight="true" outlineLevel="0" collapsed="false">
      <c r="A82" s="13" t="s">
        <v>327</v>
      </c>
      <c r="B82" s="13" t="s">
        <v>326</v>
      </c>
      <c r="C82" s="26" t="s">
        <v>343</v>
      </c>
      <c r="D82" s="50" t="n">
        <f aca="false">'Sim Data'!$E$275</f>
        <v>0</v>
      </c>
      <c r="E82" s="51" t="n">
        <f aca="false">'Sim Data'!$G$275</f>
        <v>0</v>
      </c>
      <c r="F82" s="52" t="n">
        <f aca="false">IF(E82&gt;0,1/E82,60/Assumptions!$B$16)</f>
        <v>30</v>
      </c>
      <c r="G82" s="53" t="n">
        <f aca="false">Assumptions!$B$15</f>
        <v>1</v>
      </c>
      <c r="H82" s="54" t="n">
        <f aca="false">D82/(G82*F82)</f>
        <v>0</v>
      </c>
      <c r="I82" s="26" t="str">
        <f aca="false">IF(D82=0,"no arrivals",IF(H82&lt;0.85,"stable",IF(H82&lt;1,"near capacity","over capacity")))</f>
        <v>no arrivals</v>
      </c>
      <c r="J82" s="47" t="str">
        <f aca="false">IF(AND(D82&gt;0,H82&lt;1),H82/(F82-D82),"—")</f>
        <v>—</v>
      </c>
      <c r="K82" s="47" t="str">
        <f aca="false">IF(ISNUMBER(J82),(1+0.3^2)/2*J82,"—")</f>
        <v>—</v>
      </c>
      <c r="L82" s="55" t="n">
        <f aca="false">'Sim Data'!$F$275</f>
        <v>0</v>
      </c>
      <c r="M82" s="50" t="n">
        <f aca="false">'Sim Data'!$H$275</f>
        <v>0</v>
      </c>
      <c r="N82" s="52" t="n">
        <f aca="false">D82*L82</f>
        <v>0</v>
      </c>
      <c r="O82" s="47" t="str">
        <f aca="false">IF(MAX(M82,N82)&lt;0.5,"both ≈ 0",IF(N82=0,"no new arrivals",M82/N82))</f>
        <v>both ≈ 0</v>
      </c>
      <c r="P82" s="13" t="str">
        <f aca="false">IF(D82=0,"",IF(H82&gt;=1,"No steady state: the line grows by about "&amp;TEXT((D82-G82*F82)*10,"0")&amp;" in 10 min",IF(ISNUMBER(O82),IF(ABS(O82-1)&lt;=0.2,"Steady: Little's Law holds",IF(O82&gt;1,"Draining a line left from earlier","Line still building")),"Hardly any line")))</f>
        <v/>
      </c>
    </row>
    <row r="83" customFormat="false" ht="21.75" hidden="false" customHeight="true" outlineLevel="0" collapsed="false">
      <c r="A83" s="13" t="s">
        <v>327</v>
      </c>
      <c r="B83" s="13" t="s">
        <v>326</v>
      </c>
      <c r="C83" s="26" t="s">
        <v>344</v>
      </c>
      <c r="D83" s="50" t="n">
        <f aca="false">'Sim Data'!$E$276</f>
        <v>0</v>
      </c>
      <c r="E83" s="51" t="n">
        <f aca="false">'Sim Data'!$G$276</f>
        <v>0</v>
      </c>
      <c r="F83" s="52" t="n">
        <f aca="false">IF(E83&gt;0,1/E83,60/Assumptions!$B$16)</f>
        <v>30</v>
      </c>
      <c r="G83" s="53" t="n">
        <f aca="false">Assumptions!$B$15</f>
        <v>1</v>
      </c>
      <c r="H83" s="54" t="n">
        <f aca="false">D83/(G83*F83)</f>
        <v>0</v>
      </c>
      <c r="I83" s="26" t="str">
        <f aca="false">IF(D83=0,"no arrivals",IF(H83&lt;0.85,"stable",IF(H83&lt;1,"near capacity","over capacity")))</f>
        <v>no arrivals</v>
      </c>
      <c r="J83" s="47" t="str">
        <f aca="false">IF(AND(D83&gt;0,H83&lt;1),H83/(F83-D83),"—")</f>
        <v>—</v>
      </c>
      <c r="K83" s="47" t="str">
        <f aca="false">IF(ISNUMBER(J83),(1+0.3^2)/2*J83,"—")</f>
        <v>—</v>
      </c>
      <c r="L83" s="55" t="n">
        <f aca="false">'Sim Data'!$F$276</f>
        <v>0</v>
      </c>
      <c r="M83" s="50" t="n">
        <f aca="false">'Sim Data'!$H$276</f>
        <v>0</v>
      </c>
      <c r="N83" s="52" t="n">
        <f aca="false">D83*L83</f>
        <v>0</v>
      </c>
      <c r="O83" s="47" t="str">
        <f aca="false">IF(MAX(M83,N83)&lt;0.5,"both ≈ 0",IF(N83=0,"no new arrivals",M83/N83))</f>
        <v>both ≈ 0</v>
      </c>
      <c r="P83" s="13" t="str">
        <f aca="false">IF(D83=0,"",IF(H83&gt;=1,"No steady state: the line grows by about "&amp;TEXT((D83-G83*F83)*10,"0")&amp;" in 10 min",IF(ISNUMBER(O83),IF(ABS(O83-1)&lt;=0.2,"Steady: Little's Law holds",IF(O83&gt;1,"Draining a line left from earlier","Line still building")),"Hardly any line")))</f>
        <v/>
      </c>
    </row>
    <row r="84" customFormat="false" ht="21.75" hidden="false" customHeight="true" outlineLevel="0" collapsed="false">
      <c r="A84" s="13" t="s">
        <v>327</v>
      </c>
      <c r="B84" s="13" t="s">
        <v>326</v>
      </c>
      <c r="C84" s="26" t="s">
        <v>345</v>
      </c>
      <c r="D84" s="50" t="n">
        <f aca="false">'Sim Data'!$E$277</f>
        <v>0</v>
      </c>
      <c r="E84" s="51" t="n">
        <f aca="false">'Sim Data'!$G$277</f>
        <v>0</v>
      </c>
      <c r="F84" s="52" t="n">
        <f aca="false">IF(E84&gt;0,1/E84,60/Assumptions!$B$16)</f>
        <v>30</v>
      </c>
      <c r="G84" s="53" t="n">
        <f aca="false">Assumptions!$B$15</f>
        <v>1</v>
      </c>
      <c r="H84" s="54" t="n">
        <f aca="false">D84/(G84*F84)</f>
        <v>0</v>
      </c>
      <c r="I84" s="26" t="str">
        <f aca="false">IF(D84=0,"no arrivals",IF(H84&lt;0.85,"stable",IF(H84&lt;1,"near capacity","over capacity")))</f>
        <v>no arrivals</v>
      </c>
      <c r="J84" s="47" t="str">
        <f aca="false">IF(AND(D84&gt;0,H84&lt;1),H84/(F84-D84),"—")</f>
        <v>—</v>
      </c>
      <c r="K84" s="47" t="str">
        <f aca="false">IF(ISNUMBER(J84),(1+0.3^2)/2*J84,"—")</f>
        <v>—</v>
      </c>
      <c r="L84" s="55" t="n">
        <f aca="false">'Sim Data'!$F$277</f>
        <v>0</v>
      </c>
      <c r="M84" s="50" t="n">
        <f aca="false">'Sim Data'!$H$277</f>
        <v>0</v>
      </c>
      <c r="N84" s="52" t="n">
        <f aca="false">D84*L84</f>
        <v>0</v>
      </c>
      <c r="O84" s="47" t="str">
        <f aca="false">IF(MAX(M84,N84)&lt;0.5,"both ≈ 0",IF(N84=0,"no new arrivals",M84/N84))</f>
        <v>both ≈ 0</v>
      </c>
      <c r="P84" s="13" t="str">
        <f aca="false">IF(D84=0,"",IF(H84&gt;=1,"No steady state: the line grows by about "&amp;TEXT((D84-G84*F84)*10,"0")&amp;" in 10 min",IF(ISNUMBER(O84),IF(ABS(O84-1)&lt;=0.2,"Steady: Little's Law holds",IF(O84&gt;1,"Draining a line left from earlier","Line still building")),"Hardly any line")))</f>
        <v/>
      </c>
    </row>
    <row r="85" customFormat="false" ht="21.75" hidden="false" customHeight="true" outlineLevel="0" collapsed="false">
      <c r="A85" s="13" t="s">
        <v>327</v>
      </c>
      <c r="B85" s="13" t="s">
        <v>326</v>
      </c>
      <c r="C85" s="26" t="s">
        <v>146</v>
      </c>
      <c r="D85" s="50" t="n">
        <f aca="false">'Sim Data'!$E$278</f>
        <v>3.88</v>
      </c>
      <c r="E85" s="51" t="n">
        <f aca="false">'Sim Data'!$G$278</f>
        <v>0.0333</v>
      </c>
      <c r="F85" s="52" t="n">
        <f aca="false">IF(E85&gt;0,1/E85,60/Assumptions!$B$16)</f>
        <v>30.03003003003</v>
      </c>
      <c r="G85" s="53" t="n">
        <f aca="false">Assumptions!$B$15</f>
        <v>1</v>
      </c>
      <c r="H85" s="54" t="n">
        <f aca="false">D85/(G85*F85)</f>
        <v>0.129204</v>
      </c>
      <c r="I85" s="26" t="str">
        <f aca="false">IF(D85=0,"no arrivals",IF(H85&lt;0.85,"stable",IF(H85&lt;1,"near capacity","over capacity")))</f>
        <v>stable</v>
      </c>
      <c r="J85" s="47" t="n">
        <f aca="false">IF(AND(D85&gt;0,H85&lt;1),H85/(F85-D85),"—")</f>
        <v>0.00494087386712847</v>
      </c>
      <c r="K85" s="47" t="n">
        <f aca="false">IF(ISNUMBER(J85),(1+0.3^2)/2*J85,"—")</f>
        <v>0.00269277625758502</v>
      </c>
      <c r="L85" s="55" t="n">
        <f aca="false">'Sim Data'!$F$278</f>
        <v>0.003</v>
      </c>
      <c r="M85" s="50" t="n">
        <f aca="false">'Sim Data'!$H$278</f>
        <v>0.0117</v>
      </c>
      <c r="N85" s="52" t="n">
        <f aca="false">D85*L85</f>
        <v>0.01164</v>
      </c>
      <c r="O85" s="47" t="str">
        <f aca="false">IF(MAX(M85,N85)&lt;0.5,"both ≈ 0",IF(N85=0,"no new arrivals",M85/N85))</f>
        <v>both ≈ 0</v>
      </c>
      <c r="P85" s="13" t="str">
        <f aca="false">IF(D85=0,"",IF(H85&gt;=1,"No steady state: the line grows by about "&amp;TEXT((D85-G85*F85)*10,"0")&amp;" in 10 min",IF(ISNUMBER(O85),IF(ABS(O85-1)&lt;=0.2,"Steady: Little's Law holds",IF(O85&gt;1,"Draining a line left from earlier","Line still building")),"Hardly any line")))</f>
        <v>Hardly any line</v>
      </c>
    </row>
    <row r="86" customFormat="false" ht="21.75" hidden="false" customHeight="true" outlineLevel="0" collapsed="false">
      <c r="A86" s="13" t="s">
        <v>327</v>
      </c>
      <c r="B86" s="13" t="s">
        <v>326</v>
      </c>
      <c r="C86" s="26" t="s">
        <v>346</v>
      </c>
      <c r="D86" s="50" t="n">
        <f aca="false">'Sim Data'!$E$279</f>
        <v>4.64</v>
      </c>
      <c r="E86" s="51" t="n">
        <f aca="false">'Sim Data'!$G$279</f>
        <v>0.0334</v>
      </c>
      <c r="F86" s="52" t="n">
        <f aca="false">IF(E86&gt;0,1/E86,60/Assumptions!$B$16)</f>
        <v>29.940119760479</v>
      </c>
      <c r="G86" s="53" t="n">
        <f aca="false">Assumptions!$B$15</f>
        <v>1</v>
      </c>
      <c r="H86" s="54" t="n">
        <f aca="false">D86/(G86*F86)</f>
        <v>0.154976</v>
      </c>
      <c r="I86" s="26" t="str">
        <f aca="false">IF(D86=0,"no arrivals",IF(H86&lt;0.85,"stable",IF(H86&lt;1,"near capacity","over capacity")))</f>
        <v>stable</v>
      </c>
      <c r="J86" s="47" t="n">
        <f aca="false">IF(AND(D86&gt;0,H86&lt;1),H86/(F86-D86),"—")</f>
        <v>0.00612550460105275</v>
      </c>
      <c r="K86" s="47" t="n">
        <f aca="false">IF(ISNUMBER(J86),(1+0.3^2)/2*J86,"—")</f>
        <v>0.00333840000757375</v>
      </c>
      <c r="L86" s="55" t="n">
        <f aca="false">'Sim Data'!$F$279</f>
        <v>0.003</v>
      </c>
      <c r="M86" s="50" t="n">
        <f aca="false">'Sim Data'!$H$279</f>
        <v>0.0138</v>
      </c>
      <c r="N86" s="52" t="n">
        <f aca="false">D86*L86</f>
        <v>0.01392</v>
      </c>
      <c r="O86" s="47" t="str">
        <f aca="false">IF(MAX(M86,N86)&lt;0.5,"both ≈ 0",IF(N86=0,"no new arrivals",M86/N86))</f>
        <v>both ≈ 0</v>
      </c>
      <c r="P86" s="13" t="str">
        <f aca="false">IF(D86=0,"",IF(H86&gt;=1,"No steady state: the line grows by about "&amp;TEXT((D86-G86*F86)*10,"0")&amp;" in 10 min",IF(ISNUMBER(O86),IF(ABS(O86-1)&lt;=0.2,"Steady: Little's Law holds",IF(O86&gt;1,"Draining a line left from earlier","Line still building")),"Hardly any line")))</f>
        <v>Hardly any line</v>
      </c>
    </row>
    <row r="87" customFormat="false" ht="21.75" hidden="false" customHeight="true" outlineLevel="0" collapsed="false">
      <c r="A87" s="13" t="s">
        <v>327</v>
      </c>
      <c r="B87" s="13" t="s">
        <v>326</v>
      </c>
      <c r="C87" s="26" t="s">
        <v>347</v>
      </c>
      <c r="D87" s="50" t="n">
        <f aca="false">'Sim Data'!$E$280</f>
        <v>4.995</v>
      </c>
      <c r="E87" s="51" t="n">
        <f aca="false">'Sim Data'!$G$280</f>
        <v>0.0338</v>
      </c>
      <c r="F87" s="52" t="n">
        <f aca="false">IF(E87&gt;0,1/E87,60/Assumptions!$B$16)</f>
        <v>29.5857988165681</v>
      </c>
      <c r="G87" s="53" t="n">
        <f aca="false">Assumptions!$B$15</f>
        <v>1</v>
      </c>
      <c r="H87" s="54" t="n">
        <f aca="false">D87/(G87*F87)</f>
        <v>0.168831</v>
      </c>
      <c r="I87" s="26" t="str">
        <f aca="false">IF(D87=0,"no arrivals",IF(H87&lt;0.85,"stable",IF(H87&lt;1,"near capacity","over capacity")))</f>
        <v>stable</v>
      </c>
      <c r="J87" s="47" t="n">
        <f aca="false">IF(AND(D87&gt;0,H87&lt;1),H87/(F87-D87),"—")</f>
        <v>0.0068656167397966</v>
      </c>
      <c r="K87" s="47" t="n">
        <f aca="false">IF(ISNUMBER(J87),(1+0.3^2)/2*J87,"—")</f>
        <v>0.00374176112318915</v>
      </c>
      <c r="L87" s="55" t="n">
        <f aca="false">'Sim Data'!$F$280</f>
        <v>0.0044</v>
      </c>
      <c r="M87" s="50" t="n">
        <f aca="false">'Sim Data'!$H$280</f>
        <v>0.0221</v>
      </c>
      <c r="N87" s="52" t="n">
        <f aca="false">D87*L87</f>
        <v>0.021978</v>
      </c>
      <c r="O87" s="47" t="str">
        <f aca="false">IF(MAX(M87,N87)&lt;0.5,"both ≈ 0",IF(N87=0,"no new arrivals",M87/N87))</f>
        <v>both ≈ 0</v>
      </c>
      <c r="P87" s="13" t="str">
        <f aca="false">IF(D87=0,"",IF(H87&gt;=1,"No steady state: the line grows by about "&amp;TEXT((D87-G87*F87)*10,"0")&amp;" in 10 min",IF(ISNUMBER(O87),IF(ABS(O87-1)&lt;=0.2,"Steady: Little's Law holds",IF(O87&gt;1,"Draining a line left from earlier","Line still building")),"Hardly any line")))</f>
        <v>Hardly any line</v>
      </c>
    </row>
    <row r="88" customFormat="false" ht="21.75" hidden="false" customHeight="true" outlineLevel="0" collapsed="false">
      <c r="A88" s="13" t="s">
        <v>327</v>
      </c>
      <c r="B88" s="13" t="s">
        <v>326</v>
      </c>
      <c r="C88" s="26" t="s">
        <v>155</v>
      </c>
      <c r="D88" s="50" t="n">
        <f aca="false">'Sim Data'!$E$281</f>
        <v>6.985</v>
      </c>
      <c r="E88" s="51" t="n">
        <f aca="false">'Sim Data'!$G$281</f>
        <v>0.0335</v>
      </c>
      <c r="F88" s="52" t="n">
        <f aca="false">IF(E88&gt;0,1/E88,60/Assumptions!$B$16)</f>
        <v>29.8507462686567</v>
      </c>
      <c r="G88" s="53" t="n">
        <f aca="false">Assumptions!$B$15</f>
        <v>1</v>
      </c>
      <c r="H88" s="54" t="n">
        <f aca="false">D88/(G88*F88)</f>
        <v>0.2339975</v>
      </c>
      <c r="I88" s="26" t="str">
        <f aca="false">IF(D88=0,"no arrivals",IF(H88&lt;0.85,"stable",IF(H88&lt;1,"near capacity","over capacity")))</f>
        <v>stable</v>
      </c>
      <c r="J88" s="47" t="n">
        <f aca="false">IF(AND(D88&gt;0,H88&lt;1),H88/(F88-D88),"—")</f>
        <v>0.0102335387286595</v>
      </c>
      <c r="K88" s="47" t="n">
        <f aca="false">IF(ISNUMBER(J88),(1+0.3^2)/2*J88,"—")</f>
        <v>0.00557727860711943</v>
      </c>
      <c r="L88" s="55" t="n">
        <f aca="false">'Sim Data'!$F$281</f>
        <v>0.008</v>
      </c>
      <c r="M88" s="50" t="n">
        <f aca="false">'Sim Data'!$H$281</f>
        <v>0.0555</v>
      </c>
      <c r="N88" s="52" t="n">
        <f aca="false">D88*L88</f>
        <v>0.05588</v>
      </c>
      <c r="O88" s="47" t="str">
        <f aca="false">IF(MAX(M88,N88)&lt;0.5,"both ≈ 0",IF(N88=0,"no new arrivals",M88/N88))</f>
        <v>both ≈ 0</v>
      </c>
      <c r="P88" s="13" t="str">
        <f aca="false">IF(D88=0,"",IF(H88&gt;=1,"No steady state: the line grows by about "&amp;TEXT((D88-G88*F88)*10,"0")&amp;" in 10 min",IF(ISNUMBER(O88),IF(ABS(O88-1)&lt;=0.2,"Steady: Little's Law holds",IF(O88&gt;1,"Draining a line left from earlier","Line still building")),"Hardly any line")))</f>
        <v>Hardly any line</v>
      </c>
    </row>
    <row r="89" customFormat="false" ht="21.75" hidden="false" customHeight="true" outlineLevel="0" collapsed="false">
      <c r="A89" s="13" t="s">
        <v>327</v>
      </c>
      <c r="B89" s="13" t="s">
        <v>326</v>
      </c>
      <c r="C89" s="26" t="s">
        <v>159</v>
      </c>
      <c r="D89" s="50" t="n">
        <f aca="false">'Sim Data'!$E$282</f>
        <v>6.885</v>
      </c>
      <c r="E89" s="51" t="n">
        <f aca="false">'Sim Data'!$G$282</f>
        <v>0.0336</v>
      </c>
      <c r="F89" s="52" t="n">
        <f aca="false">IF(E89&gt;0,1/E89,60/Assumptions!$B$16)</f>
        <v>29.7619047619048</v>
      </c>
      <c r="G89" s="53" t="n">
        <f aca="false">Assumptions!$B$15</f>
        <v>1</v>
      </c>
      <c r="H89" s="54" t="n">
        <f aca="false">D89/(G89*F89)</f>
        <v>0.231336</v>
      </c>
      <c r="I89" s="26" t="str">
        <f aca="false">IF(D89=0,"no arrivals",IF(H89&lt;0.85,"stable",IF(H89&lt;1,"near capacity","over capacity")))</f>
        <v>stable</v>
      </c>
      <c r="J89" s="47" t="n">
        <f aca="false">IF(AND(D89&gt;0,H89&lt;1),H89/(F89-D89),"—")</f>
        <v>0.0101122071542312</v>
      </c>
      <c r="K89" s="47" t="n">
        <f aca="false">IF(ISNUMBER(J89),(1+0.3^2)/2*J89,"—")</f>
        <v>0.00551115289905602</v>
      </c>
      <c r="L89" s="55" t="n">
        <f aca="false">'Sim Data'!$F$282</f>
        <v>0.0086</v>
      </c>
      <c r="M89" s="50" t="n">
        <f aca="false">'Sim Data'!$H$282</f>
        <v>0.0589</v>
      </c>
      <c r="N89" s="52" t="n">
        <f aca="false">D89*L89</f>
        <v>0.059211</v>
      </c>
      <c r="O89" s="47" t="str">
        <f aca="false">IF(MAX(M89,N89)&lt;0.5,"both ≈ 0",IF(N89=0,"no new arrivals",M89/N89))</f>
        <v>both ≈ 0</v>
      </c>
      <c r="P89" s="13" t="str">
        <f aca="false">IF(D89=0,"",IF(H89&gt;=1,"No steady state: the line grows by about "&amp;TEXT((D89-G89*F89)*10,"0")&amp;" in 10 min",IF(ISNUMBER(O89),IF(ABS(O89-1)&lt;=0.2,"Steady: Little's Law holds",IF(O89&gt;1,"Draining a line left from earlier","Line still building")),"Hardly any line")))</f>
        <v>Hardly any line</v>
      </c>
    </row>
    <row r="90" customFormat="false" ht="21.75" hidden="false" customHeight="true" outlineLevel="0" collapsed="false">
      <c r="A90" s="13" t="s">
        <v>327</v>
      </c>
      <c r="B90" s="13" t="s">
        <v>326</v>
      </c>
      <c r="C90" s="26" t="s">
        <v>162</v>
      </c>
      <c r="D90" s="50" t="n">
        <f aca="false">'Sim Data'!$E$283</f>
        <v>5.445</v>
      </c>
      <c r="E90" s="51" t="n">
        <f aca="false">'Sim Data'!$G$283</f>
        <v>0.0332</v>
      </c>
      <c r="F90" s="52" t="n">
        <f aca="false">IF(E90&gt;0,1/E90,60/Assumptions!$B$16)</f>
        <v>30.1204819277108</v>
      </c>
      <c r="G90" s="53" t="n">
        <f aca="false">Assumptions!$B$15</f>
        <v>1</v>
      </c>
      <c r="H90" s="54" t="n">
        <f aca="false">D90/(G90*F90)</f>
        <v>0.180774</v>
      </c>
      <c r="I90" s="26" t="str">
        <f aca="false">IF(D90=0,"no arrivals",IF(H90&lt;0.85,"stable",IF(H90&lt;1,"near capacity","over capacity")))</f>
        <v>stable</v>
      </c>
      <c r="J90" s="47" t="n">
        <f aca="false">IF(AND(D90&gt;0,H90&lt;1),H90/(F90-D90),"—")</f>
        <v>0.0073260575225884</v>
      </c>
      <c r="K90" s="47" t="n">
        <f aca="false">IF(ISNUMBER(J90),(1+0.3^2)/2*J90,"—")</f>
        <v>0.00399270134981068</v>
      </c>
      <c r="L90" s="55" t="n">
        <f aca="false">'Sim Data'!$F$283</f>
        <v>0.0075</v>
      </c>
      <c r="M90" s="50" t="n">
        <f aca="false">'Sim Data'!$H$283</f>
        <v>0.0411</v>
      </c>
      <c r="N90" s="52" t="n">
        <f aca="false">D90*L90</f>
        <v>0.0408375</v>
      </c>
      <c r="O90" s="47" t="str">
        <f aca="false">IF(MAX(M90,N90)&lt;0.5,"both ≈ 0",IF(N90=0,"no new arrivals",M90/N90))</f>
        <v>both ≈ 0</v>
      </c>
      <c r="P90" s="13" t="str">
        <f aca="false">IF(D90=0,"",IF(H90&gt;=1,"No steady state: the line grows by about "&amp;TEXT((D90-G90*F90)*10,"0")&amp;" in 10 min",IF(ISNUMBER(O90),IF(ABS(O90-1)&lt;=0.2,"Steady: Little's Law holds",IF(O90&gt;1,"Draining a line left from earlier","Line still building")),"Hardly any line")))</f>
        <v>Hardly any line</v>
      </c>
    </row>
    <row r="91" customFormat="false" ht="21.75" hidden="false" customHeight="true" outlineLevel="0" collapsed="false">
      <c r="A91" s="13" t="s">
        <v>327</v>
      </c>
      <c r="B91" s="13" t="s">
        <v>326</v>
      </c>
      <c r="C91" s="26" t="s">
        <v>147</v>
      </c>
      <c r="D91" s="50" t="n">
        <f aca="false">'Sim Data'!$E$284</f>
        <v>6.82</v>
      </c>
      <c r="E91" s="51" t="n">
        <f aca="false">'Sim Data'!$G$284</f>
        <v>0.0332</v>
      </c>
      <c r="F91" s="52" t="n">
        <f aca="false">IF(E91&gt;0,1/E91,60/Assumptions!$B$16)</f>
        <v>30.1204819277108</v>
      </c>
      <c r="G91" s="53" t="n">
        <f aca="false">Assumptions!$B$15</f>
        <v>1</v>
      </c>
      <c r="H91" s="54" t="n">
        <f aca="false">D91/(G91*F91)</f>
        <v>0.226424</v>
      </c>
      <c r="I91" s="26" t="str">
        <f aca="false">IF(D91=0,"no arrivals",IF(H91&lt;0.85,"stable",IF(H91&lt;1,"near capacity","over capacity")))</f>
        <v>stable</v>
      </c>
      <c r="J91" s="47" t="n">
        <f aca="false">IF(AND(D91&gt;0,H91&lt;1),H91/(F91-D91),"—")</f>
        <v>0.00971756724614001</v>
      </c>
      <c r="K91" s="47" t="n">
        <f aca="false">IF(ISNUMBER(J91),(1+0.3^2)/2*J91,"—")</f>
        <v>0.0052960741491463</v>
      </c>
      <c r="L91" s="55" t="n">
        <f aca="false">'Sim Data'!$F$284</f>
        <v>0.0105</v>
      </c>
      <c r="M91" s="50" t="n">
        <f aca="false">'Sim Data'!$H$284</f>
        <v>0.0701</v>
      </c>
      <c r="N91" s="52" t="n">
        <f aca="false">D91*L91</f>
        <v>0.07161</v>
      </c>
      <c r="O91" s="47" t="str">
        <f aca="false">IF(MAX(M91,N91)&lt;0.5,"both ≈ 0",IF(N91=0,"no new arrivals",M91/N91))</f>
        <v>both ≈ 0</v>
      </c>
      <c r="P91" s="13" t="str">
        <f aca="false">IF(D91=0,"",IF(H91&gt;=1,"No steady state: the line grows by about "&amp;TEXT((D91-G91*F91)*10,"0")&amp;" in 10 min",IF(ISNUMBER(O91),IF(ABS(O91-1)&lt;=0.2,"Steady: Little's Law holds",IF(O91&gt;1,"Draining a line left from earlier","Line still building")),"Hardly any line")))</f>
        <v>Hardly any line</v>
      </c>
    </row>
    <row r="92" customFormat="false" ht="21.75" hidden="false" customHeight="true" outlineLevel="0" collapsed="false">
      <c r="A92" s="13" t="s">
        <v>327</v>
      </c>
      <c r="B92" s="13" t="s">
        <v>326</v>
      </c>
      <c r="C92" s="26" t="s">
        <v>348</v>
      </c>
      <c r="D92" s="50" t="n">
        <f aca="false">'Sim Data'!$E$285</f>
        <v>15.575</v>
      </c>
      <c r="E92" s="51" t="n">
        <f aca="false">'Sim Data'!$G$285</f>
        <v>0.033</v>
      </c>
      <c r="F92" s="52" t="n">
        <f aca="false">IF(E92&gt;0,1/E92,60/Assumptions!$B$16)</f>
        <v>30.3030303030303</v>
      </c>
      <c r="G92" s="53" t="n">
        <f aca="false">Assumptions!$B$15</f>
        <v>1</v>
      </c>
      <c r="H92" s="54" t="n">
        <f aca="false">D92/(G92*F92)</f>
        <v>0.513975</v>
      </c>
      <c r="I92" s="26" t="str">
        <f aca="false">IF(D92=0,"no arrivals",IF(H92&lt;0.85,"stable",IF(H92&lt;1,"near capacity","over capacity")))</f>
        <v>stable</v>
      </c>
      <c r="J92" s="47" t="n">
        <f aca="false">IF(AND(D92&gt;0,H92&lt;1),H92/(F92-D92),"—")</f>
        <v>0.0348977418857055</v>
      </c>
      <c r="K92" s="47" t="n">
        <f aca="false">IF(ISNUMBER(J92),(1+0.3^2)/2*J92,"—")</f>
        <v>0.0190192693277095</v>
      </c>
      <c r="L92" s="55" t="n">
        <f aca="false">'Sim Data'!$F$285</f>
        <v>0.0262</v>
      </c>
      <c r="M92" s="50" t="n">
        <f aca="false">'Sim Data'!$H$285</f>
        <v>0.4087</v>
      </c>
      <c r="N92" s="52" t="n">
        <f aca="false">D92*L92</f>
        <v>0.408065</v>
      </c>
      <c r="O92" s="47" t="str">
        <f aca="false">IF(MAX(M92,N92)&lt;0.5,"both ≈ 0",IF(N92=0,"no new arrivals",M92/N92))</f>
        <v>both ≈ 0</v>
      </c>
      <c r="P92" s="13" t="str">
        <f aca="false">IF(D92=0,"",IF(H92&gt;=1,"No steady state: the line grows by about "&amp;TEXT((D92-G92*F92)*10,"0")&amp;" in 10 min",IF(ISNUMBER(O92),IF(ABS(O92-1)&lt;=0.2,"Steady: Little's Law holds",IF(O92&gt;1,"Draining a line left from earlier","Line still building")),"Hardly any line")))</f>
        <v>Hardly any line</v>
      </c>
    </row>
    <row r="93" customFormat="false" ht="21.75" hidden="false" customHeight="true" outlineLevel="0" collapsed="false">
      <c r="A93" s="13" t="s">
        <v>327</v>
      </c>
      <c r="B93" s="13" t="s">
        <v>326</v>
      </c>
      <c r="C93" s="26" t="s">
        <v>349</v>
      </c>
      <c r="D93" s="50" t="n">
        <f aca="false">'Sim Data'!$E$286</f>
        <v>16.015</v>
      </c>
      <c r="E93" s="51" t="n">
        <f aca="false">'Sim Data'!$G$286</f>
        <v>0.0334</v>
      </c>
      <c r="F93" s="52" t="n">
        <f aca="false">IF(E93&gt;0,1/E93,60/Assumptions!$B$16)</f>
        <v>29.940119760479</v>
      </c>
      <c r="G93" s="53" t="n">
        <f aca="false">Assumptions!$B$15</f>
        <v>1</v>
      </c>
      <c r="H93" s="54" t="n">
        <f aca="false">D93/(G93*F93)</f>
        <v>0.534901</v>
      </c>
      <c r="I93" s="26" t="str">
        <f aca="false">IF(D93=0,"no arrivals",IF(H93&lt;0.85,"stable",IF(H93&lt;1,"near capacity","over capacity")))</f>
        <v>stable</v>
      </c>
      <c r="J93" s="47" t="n">
        <f aca="false">IF(AND(D93&gt;0,H93&lt;1),H93/(F93-D93),"—")</f>
        <v>0.0384126678406103</v>
      </c>
      <c r="K93" s="47" t="n">
        <f aca="false">IF(ISNUMBER(J93),(1+0.3^2)/2*J93,"—")</f>
        <v>0.0209349039731326</v>
      </c>
      <c r="L93" s="55" t="n">
        <f aca="false">'Sim Data'!$F$286</f>
        <v>0.0349</v>
      </c>
      <c r="M93" s="50" t="n">
        <f aca="false">'Sim Data'!$H$286</f>
        <v>0.5589</v>
      </c>
      <c r="N93" s="52" t="n">
        <f aca="false">D93*L93</f>
        <v>0.5589235</v>
      </c>
      <c r="O93" s="47" t="n">
        <f aca="false">IF(MAX(M93,N93)&lt;0.5,"both ≈ 0",IF(N93=0,"no new arrivals",M93/N93))</f>
        <v>0.99995795489007</v>
      </c>
      <c r="P93" s="13" t="str">
        <f aca="false">IF(D93=0,"",IF(H93&gt;=1,"No steady state: the line grows by about "&amp;TEXT((D93-G93*F93)*10,"0")&amp;" in 10 min",IF(ISNUMBER(O93),IF(ABS(O93-1)&lt;=0.2,"Steady: Little's Law holds",IF(O93&gt;1,"Draining a line left from earlier","Line still building")),"Hardly any line")))</f>
        <v>Steady: Little's Law holds</v>
      </c>
    </row>
    <row r="94" customFormat="false" ht="21.75" hidden="false" customHeight="true" outlineLevel="0" collapsed="false">
      <c r="A94" s="13" t="s">
        <v>327</v>
      </c>
      <c r="B94" s="13" t="s">
        <v>326</v>
      </c>
      <c r="C94" s="26" t="s">
        <v>156</v>
      </c>
      <c r="D94" s="50" t="n">
        <f aca="false">'Sim Data'!$E$287</f>
        <v>9.065</v>
      </c>
      <c r="E94" s="51" t="n">
        <f aca="false">'Sim Data'!$G$287</f>
        <v>0.0335</v>
      </c>
      <c r="F94" s="52" t="n">
        <f aca="false">IF(E94&gt;0,1/E94,60/Assumptions!$B$16)</f>
        <v>29.8507462686567</v>
      </c>
      <c r="G94" s="53" t="n">
        <f aca="false">Assumptions!$B$15</f>
        <v>1</v>
      </c>
      <c r="H94" s="54" t="n">
        <f aca="false">D94/(G94*F94)</f>
        <v>0.3036775</v>
      </c>
      <c r="I94" s="26" t="str">
        <f aca="false">IF(D94=0,"no arrivals",IF(H94&lt;0.85,"stable",IF(H94&lt;1,"near capacity","over capacity")))</f>
        <v>stable</v>
      </c>
      <c r="J94" s="47" t="n">
        <f aca="false">IF(AND(D94&gt;0,H94&lt;1),H94/(F94-D94),"—")</f>
        <v>0.0146098916091323</v>
      </c>
      <c r="K94" s="47" t="n">
        <f aca="false">IF(ISNUMBER(J94),(1+0.3^2)/2*J94,"—")</f>
        <v>0.00796239092697708</v>
      </c>
      <c r="L94" s="55" t="n">
        <f aca="false">'Sim Data'!$F$287</f>
        <v>0.0148</v>
      </c>
      <c r="M94" s="50" t="n">
        <f aca="false">'Sim Data'!$H$287</f>
        <v>0.1323</v>
      </c>
      <c r="N94" s="52" t="n">
        <f aca="false">D94*L94</f>
        <v>0.134162</v>
      </c>
      <c r="O94" s="47" t="str">
        <f aca="false">IF(MAX(M94,N94)&lt;0.5,"both ≈ 0",IF(N94=0,"no new arrivals",M94/N94))</f>
        <v>both ≈ 0</v>
      </c>
      <c r="P94" s="13" t="str">
        <f aca="false">IF(D94=0,"",IF(H94&gt;=1,"No steady state: the line grows by about "&amp;TEXT((D94-G94*F94)*10,"0")&amp;" in 10 min",IF(ISNUMBER(O94),IF(ABS(O94-1)&lt;=0.2,"Steady: Little's Law holds",IF(O94&gt;1,"Draining a line left from earlier","Line still building")),"Hardly any line")))</f>
        <v>Hardly any line</v>
      </c>
    </row>
    <row r="95" customFormat="false" ht="21.75" hidden="false" customHeight="true" outlineLevel="0" collapsed="false">
      <c r="A95" s="13" t="s">
        <v>327</v>
      </c>
      <c r="B95" s="13" t="s">
        <v>326</v>
      </c>
      <c r="C95" s="26" t="s">
        <v>160</v>
      </c>
      <c r="D95" s="50" t="n">
        <f aca="false">'Sim Data'!$E$288</f>
        <v>3.83</v>
      </c>
      <c r="E95" s="51" t="n">
        <f aca="false">'Sim Data'!$G$288</f>
        <v>0.0334</v>
      </c>
      <c r="F95" s="52" t="n">
        <f aca="false">IF(E95&gt;0,1/E95,60/Assumptions!$B$16)</f>
        <v>29.940119760479</v>
      </c>
      <c r="G95" s="53" t="n">
        <f aca="false">Assumptions!$B$15</f>
        <v>1</v>
      </c>
      <c r="H95" s="54" t="n">
        <f aca="false">D95/(G95*F95)</f>
        <v>0.127922</v>
      </c>
      <c r="I95" s="26" t="str">
        <f aca="false">IF(D95=0,"no arrivals",IF(H95&lt;0.85,"stable",IF(H95&lt;1,"near capacity","over capacity")))</f>
        <v>stable</v>
      </c>
      <c r="J95" s="47" t="n">
        <f aca="false">IF(AND(D95&gt;0,H95&lt;1),H95/(F95-D95),"—")</f>
        <v>0.00489932643639674</v>
      </c>
      <c r="K95" s="47" t="n">
        <f aca="false">IF(ISNUMBER(J95),(1+0.3^2)/2*J95,"—")</f>
        <v>0.00267013290783623</v>
      </c>
      <c r="L95" s="55" t="n">
        <f aca="false">'Sim Data'!$F$288</f>
        <v>0.0041</v>
      </c>
      <c r="M95" s="50" t="n">
        <f aca="false">'Sim Data'!$H$288</f>
        <v>0.0185</v>
      </c>
      <c r="N95" s="52" t="n">
        <f aca="false">D95*L95</f>
        <v>0.015703</v>
      </c>
      <c r="O95" s="47" t="str">
        <f aca="false">IF(MAX(M95,N95)&lt;0.5,"both ≈ 0",IF(N95=0,"no new arrivals",M95/N95))</f>
        <v>both ≈ 0</v>
      </c>
      <c r="P95" s="13" t="str">
        <f aca="false">IF(D95=0,"",IF(H95&gt;=1,"No steady state: the line grows by about "&amp;TEXT((D95-G95*F95)*10,"0")&amp;" in 10 min",IF(ISNUMBER(O95),IF(ABS(O95-1)&lt;=0.2,"Steady: Little's Law holds",IF(O95&gt;1,"Draining a line left from earlier","Line still building")),"Hardly any line")))</f>
        <v>Hardly any line</v>
      </c>
    </row>
    <row r="96" customFormat="false" ht="21.75" hidden="false" customHeight="true" outlineLevel="0" collapsed="false">
      <c r="A96" s="13" t="s">
        <v>327</v>
      </c>
      <c r="B96" s="13" t="s">
        <v>326</v>
      </c>
      <c r="C96" s="26" t="s">
        <v>163</v>
      </c>
      <c r="D96" s="50" t="n">
        <f aca="false">'Sim Data'!$E$289</f>
        <v>1.825</v>
      </c>
      <c r="E96" s="51" t="n">
        <f aca="false">'Sim Data'!$G$289</f>
        <v>0.0325</v>
      </c>
      <c r="F96" s="52" t="n">
        <f aca="false">IF(E96&gt;0,1/E96,60/Assumptions!$B$16)</f>
        <v>30.7692307692308</v>
      </c>
      <c r="G96" s="53" t="n">
        <f aca="false">Assumptions!$B$15</f>
        <v>1</v>
      </c>
      <c r="H96" s="54" t="n">
        <f aca="false">D96/(G96*F96)</f>
        <v>0.0593125</v>
      </c>
      <c r="I96" s="26" t="str">
        <f aca="false">IF(D96=0,"no arrivals",IF(H96&lt;0.85,"stable",IF(H96&lt;1,"near capacity","over capacity")))</f>
        <v>stable</v>
      </c>
      <c r="J96" s="47" t="n">
        <f aca="false">IF(AND(D96&gt;0,H96&lt;1),H96/(F96-D96),"—")</f>
        <v>0.00204919938874493</v>
      </c>
      <c r="K96" s="47" t="n">
        <f aca="false">IF(ISNUMBER(J96),(1+0.3^2)/2*J96,"—")</f>
        <v>0.00111681366686599</v>
      </c>
      <c r="L96" s="55" t="n">
        <f aca="false">'Sim Data'!$F$289</f>
        <v>0.001</v>
      </c>
      <c r="M96" s="50" t="n">
        <f aca="false">'Sim Data'!$H$289</f>
        <v>0.0018</v>
      </c>
      <c r="N96" s="52" t="n">
        <f aca="false">D96*L96</f>
        <v>0.001825</v>
      </c>
      <c r="O96" s="47" t="str">
        <f aca="false">IF(MAX(M96,N96)&lt;0.5,"both ≈ 0",IF(N96=0,"no new arrivals",M96/N96))</f>
        <v>both ≈ 0</v>
      </c>
      <c r="P96" s="13" t="str">
        <f aca="false">IF(D96=0,"",IF(H96&gt;=1,"No steady state: the line grows by about "&amp;TEXT((D96-G96*F96)*10,"0")&amp;" in 10 min",IF(ISNUMBER(O96),IF(ABS(O96-1)&lt;=0.2,"Steady: Little's Law holds",IF(O96&gt;1,"Draining a line left from earlier","Line still building")),"Hardly any line")))</f>
        <v>Hardly any line</v>
      </c>
    </row>
    <row r="97" customFormat="false" ht="21.75" hidden="false" customHeight="true" outlineLevel="0" collapsed="false">
      <c r="A97" s="13" t="s">
        <v>327</v>
      </c>
      <c r="B97" s="13" t="s">
        <v>326</v>
      </c>
      <c r="C97" s="26" t="s">
        <v>150</v>
      </c>
      <c r="D97" s="50" t="n">
        <f aca="false">'Sim Data'!$E$290</f>
        <v>0</v>
      </c>
      <c r="E97" s="51" t="n">
        <f aca="false">'Sim Data'!$G$290</f>
        <v>0</v>
      </c>
      <c r="F97" s="52" t="n">
        <f aca="false">IF(E97&gt;0,1/E97,60/Assumptions!$B$16)</f>
        <v>30</v>
      </c>
      <c r="G97" s="53" t="n">
        <f aca="false">Assumptions!$B$15</f>
        <v>1</v>
      </c>
      <c r="H97" s="54" t="n">
        <f aca="false">D97/(G97*F97)</f>
        <v>0</v>
      </c>
      <c r="I97" s="26" t="str">
        <f aca="false">IF(D97=0,"no arrivals",IF(H97&lt;0.85,"stable",IF(H97&lt;1,"near capacity","over capacity")))</f>
        <v>no arrivals</v>
      </c>
      <c r="J97" s="47" t="str">
        <f aca="false">IF(AND(D97&gt;0,H97&lt;1),H97/(F97-D97),"—")</f>
        <v>—</v>
      </c>
      <c r="K97" s="47" t="str">
        <f aca="false">IF(ISNUMBER(J97),(1+0.3^2)/2*J97,"—")</f>
        <v>—</v>
      </c>
      <c r="L97" s="55" t="n">
        <f aca="false">'Sim Data'!$F$290</f>
        <v>0</v>
      </c>
      <c r="M97" s="50" t="n">
        <f aca="false">'Sim Data'!$H$290</f>
        <v>0</v>
      </c>
      <c r="N97" s="52" t="n">
        <f aca="false">D97*L97</f>
        <v>0</v>
      </c>
      <c r="O97" s="47" t="str">
        <f aca="false">IF(MAX(M97,N97)&lt;0.5,"both ≈ 0",IF(N97=0,"no new arrivals",M97/N97))</f>
        <v>both ≈ 0</v>
      </c>
      <c r="P97" s="13" t="str">
        <f aca="false">IF(D97=0,"",IF(H97&gt;=1,"No steady state: the line grows by about "&amp;TEXT((D97-G97*F97)*10,"0")&amp;" in 10 min",IF(ISNUMBER(O97),IF(ABS(O97-1)&lt;=0.2,"Steady: Little's Law holds",IF(O97&gt;1,"Draining a line left from earlier","Line still building")),"Hardly any line")))</f>
        <v/>
      </c>
    </row>
    <row r="98" customFormat="false" ht="21.75" hidden="false" customHeight="true" outlineLevel="0" collapsed="false">
      <c r="A98" s="13" t="s">
        <v>327</v>
      </c>
      <c r="B98" s="13" t="s">
        <v>326</v>
      </c>
      <c r="C98" s="26" t="s">
        <v>350</v>
      </c>
      <c r="D98" s="50" t="n">
        <f aca="false">'Sim Data'!$E$291</f>
        <v>0</v>
      </c>
      <c r="E98" s="51" t="n">
        <f aca="false">'Sim Data'!$G$291</f>
        <v>0</v>
      </c>
      <c r="F98" s="52" t="n">
        <f aca="false">IF(E98&gt;0,1/E98,60/Assumptions!$B$16)</f>
        <v>30</v>
      </c>
      <c r="G98" s="53" t="n">
        <f aca="false">Assumptions!$B$15</f>
        <v>1</v>
      </c>
      <c r="H98" s="54" t="n">
        <f aca="false">D98/(G98*F98)</f>
        <v>0</v>
      </c>
      <c r="I98" s="26" t="str">
        <f aca="false">IF(D98=0,"no arrivals",IF(H98&lt;0.85,"stable",IF(H98&lt;1,"near capacity","over capacity")))</f>
        <v>no arrivals</v>
      </c>
      <c r="J98" s="47" t="str">
        <f aca="false">IF(AND(D98&gt;0,H98&lt;1),H98/(F98-D98),"—")</f>
        <v>—</v>
      </c>
      <c r="K98" s="47" t="str">
        <f aca="false">IF(ISNUMBER(J98),(1+0.3^2)/2*J98,"—")</f>
        <v>—</v>
      </c>
      <c r="L98" s="55" t="n">
        <f aca="false">'Sim Data'!$F$291</f>
        <v>0</v>
      </c>
      <c r="M98" s="50" t="n">
        <f aca="false">'Sim Data'!$H$291</f>
        <v>0</v>
      </c>
      <c r="N98" s="52" t="n">
        <f aca="false">D98*L98</f>
        <v>0</v>
      </c>
      <c r="O98" s="47" t="str">
        <f aca="false">IF(MAX(M98,N98)&lt;0.5,"both ≈ 0",IF(N98=0,"no new arrivals",M98/N98))</f>
        <v>both ≈ 0</v>
      </c>
      <c r="P98" s="13" t="str">
        <f aca="false">IF(D98=0,"",IF(H98&gt;=1,"No steady state: the line grows by about "&amp;TEXT((D98-G98*F98)*10,"0")&amp;" in 10 min",IF(ISNUMBER(O98),IF(ABS(O98-1)&lt;=0.2,"Steady: Little's Law holds",IF(O98&gt;1,"Draining a line left from earlier","Line still building")),"Hardly any line")))</f>
        <v/>
      </c>
    </row>
    <row r="99" customFormat="false" ht="21.75" hidden="false" customHeight="true" outlineLevel="0" collapsed="false">
      <c r="A99" s="13" t="s">
        <v>327</v>
      </c>
      <c r="B99" s="13" t="s">
        <v>326</v>
      </c>
      <c r="C99" s="26" t="s">
        <v>351</v>
      </c>
      <c r="D99" s="50" t="n">
        <f aca="false">'Sim Data'!$E$292</f>
        <v>0</v>
      </c>
      <c r="E99" s="51" t="n">
        <f aca="false">'Sim Data'!$G$292</f>
        <v>0</v>
      </c>
      <c r="F99" s="52" t="n">
        <f aca="false">IF(E99&gt;0,1/E99,60/Assumptions!$B$16)</f>
        <v>30</v>
      </c>
      <c r="G99" s="53" t="n">
        <f aca="false">Assumptions!$B$15</f>
        <v>1</v>
      </c>
      <c r="H99" s="54" t="n">
        <f aca="false">D99/(G99*F99)</f>
        <v>0</v>
      </c>
      <c r="I99" s="26" t="str">
        <f aca="false">IF(D99=0,"no arrivals",IF(H99&lt;0.85,"stable",IF(H99&lt;1,"near capacity","over capacity")))</f>
        <v>no arrivals</v>
      </c>
      <c r="J99" s="47" t="str">
        <f aca="false">IF(AND(D99&gt;0,H99&lt;1),H99/(F99-D99),"—")</f>
        <v>—</v>
      </c>
      <c r="K99" s="47" t="str">
        <f aca="false">IF(ISNUMBER(J99),(1+0.3^2)/2*J99,"—")</f>
        <v>—</v>
      </c>
      <c r="L99" s="55" t="n">
        <f aca="false">'Sim Data'!$F$292</f>
        <v>0</v>
      </c>
      <c r="M99" s="50" t="n">
        <f aca="false">'Sim Data'!$H$292</f>
        <v>0</v>
      </c>
      <c r="N99" s="52" t="n">
        <f aca="false">D99*L99</f>
        <v>0</v>
      </c>
      <c r="O99" s="47" t="str">
        <f aca="false">IF(MAX(M99,N99)&lt;0.5,"both ≈ 0",IF(N99=0,"no new arrivals",M99/N99))</f>
        <v>both ≈ 0</v>
      </c>
      <c r="P99" s="13" t="str">
        <f aca="false">IF(D99=0,"",IF(H99&gt;=1,"No steady state: the line grows by about "&amp;TEXT((D99-G99*F99)*10,"0")&amp;" in 10 min",IF(ISNUMBER(O99),IF(ABS(O99-1)&lt;=0.2,"Steady: Little's Law holds",IF(O99&gt;1,"Draining a line left from earlier","Line still building")),"Hardly any line")))</f>
        <v/>
      </c>
    </row>
    <row r="102" customFormat="false" ht="24.75" hidden="false" customHeight="true" outlineLevel="0" collapsed="false">
      <c r="A102" s="4" t="s">
        <v>352</v>
      </c>
    </row>
    <row r="103" customFormat="false" ht="53.25" hidden="false" customHeight="true" outlineLevel="0" collapsed="false">
      <c r="A103" s="7" t="s">
        <v>332</v>
      </c>
      <c r="B103" s="7" t="s">
        <v>353</v>
      </c>
      <c r="C103" s="7" t="s">
        <v>354</v>
      </c>
      <c r="D103" s="7" t="s">
        <v>355</v>
      </c>
      <c r="E103" s="7" t="s">
        <v>356</v>
      </c>
      <c r="F103" s="7" t="s">
        <v>357</v>
      </c>
    </row>
    <row r="104" customFormat="false" ht="21.75" hidden="false" customHeight="true" outlineLevel="0" collapsed="false">
      <c r="A104" s="13" t="s">
        <v>343</v>
      </c>
      <c r="B104" s="56" t="n">
        <f aca="false">H28</f>
        <v>0</v>
      </c>
      <c r="C104" s="56" t="n">
        <f aca="false">H46</f>
        <v>0</v>
      </c>
      <c r="D104" s="56" t="n">
        <f aca="false">H64</f>
        <v>0</v>
      </c>
      <c r="E104" s="56" t="n">
        <f aca="false">H82</f>
        <v>0</v>
      </c>
      <c r="F104" s="56" t="n">
        <v>1</v>
      </c>
    </row>
    <row r="105" customFormat="false" ht="21.75" hidden="false" customHeight="true" outlineLevel="0" collapsed="false">
      <c r="A105" s="13" t="s">
        <v>344</v>
      </c>
      <c r="B105" s="56" t="n">
        <f aca="false">H29</f>
        <v>0</v>
      </c>
      <c r="C105" s="56" t="n">
        <f aca="false">H47</f>
        <v>0</v>
      </c>
      <c r="D105" s="56" t="n">
        <f aca="false">H65</f>
        <v>0</v>
      </c>
      <c r="E105" s="56" t="n">
        <f aca="false">H83</f>
        <v>0</v>
      </c>
      <c r="F105" s="56" t="n">
        <v>1</v>
      </c>
    </row>
    <row r="106" customFormat="false" ht="21.75" hidden="false" customHeight="true" outlineLevel="0" collapsed="false">
      <c r="A106" s="13" t="s">
        <v>345</v>
      </c>
      <c r="B106" s="56" t="n">
        <f aca="false">H30</f>
        <v>0</v>
      </c>
      <c r="C106" s="56" t="n">
        <f aca="false">H48</f>
        <v>0</v>
      </c>
      <c r="D106" s="56" t="n">
        <f aca="false">H66</f>
        <v>0</v>
      </c>
      <c r="E106" s="56" t="n">
        <f aca="false">H84</f>
        <v>0</v>
      </c>
      <c r="F106" s="56" t="n">
        <v>1</v>
      </c>
    </row>
    <row r="107" customFormat="false" ht="21.75" hidden="false" customHeight="true" outlineLevel="0" collapsed="false">
      <c r="A107" s="13" t="s">
        <v>146</v>
      </c>
      <c r="B107" s="56" t="n">
        <f aca="false">H31</f>
        <v>0.48642</v>
      </c>
      <c r="C107" s="56" t="n">
        <f aca="false">H49</f>
        <v>0.129204</v>
      </c>
      <c r="D107" s="56" t="n">
        <f aca="false">H67</f>
        <v>0.48642</v>
      </c>
      <c r="E107" s="56" t="n">
        <f aca="false">H85</f>
        <v>0.129204</v>
      </c>
      <c r="F107" s="56" t="n">
        <v>1</v>
      </c>
    </row>
    <row r="108" customFormat="false" ht="21.75" hidden="false" customHeight="true" outlineLevel="0" collapsed="false">
      <c r="A108" s="13" t="s">
        <v>346</v>
      </c>
      <c r="B108" s="56" t="n">
        <f aca="false">H32</f>
        <v>0.625041</v>
      </c>
      <c r="C108" s="56" t="n">
        <f aca="false">H50</f>
        <v>0.154976</v>
      </c>
      <c r="D108" s="56" t="n">
        <f aca="false">H68</f>
        <v>0.625041</v>
      </c>
      <c r="E108" s="56" t="n">
        <f aca="false">H86</f>
        <v>0.154976</v>
      </c>
      <c r="F108" s="56" t="n">
        <v>1</v>
      </c>
    </row>
    <row r="109" customFormat="false" ht="21.75" hidden="false" customHeight="true" outlineLevel="0" collapsed="false">
      <c r="A109" s="13" t="s">
        <v>347</v>
      </c>
      <c r="B109" s="56" t="n">
        <f aca="false">H33</f>
        <v>0.6306375</v>
      </c>
      <c r="C109" s="56" t="n">
        <f aca="false">H51</f>
        <v>0.161564</v>
      </c>
      <c r="D109" s="56" t="n">
        <f aca="false">H69</f>
        <v>0.621073</v>
      </c>
      <c r="E109" s="56" t="n">
        <f aca="false">H87</f>
        <v>0.168831</v>
      </c>
      <c r="F109" s="56" t="n">
        <v>1</v>
      </c>
    </row>
    <row r="110" customFormat="false" ht="21.75" hidden="false" customHeight="true" outlineLevel="0" collapsed="false">
      <c r="A110" s="13" t="s">
        <v>155</v>
      </c>
      <c r="B110" s="56" t="n">
        <f aca="false">H34</f>
        <v>0.7676525</v>
      </c>
      <c r="C110" s="56" t="n">
        <f aca="false">H52</f>
        <v>0.193674</v>
      </c>
      <c r="D110" s="56" t="n">
        <f aca="false">H70</f>
        <v>0.7251075</v>
      </c>
      <c r="E110" s="56" t="n">
        <f aca="false">H88</f>
        <v>0.2339975</v>
      </c>
      <c r="F110" s="56" t="n">
        <v>1</v>
      </c>
    </row>
    <row r="111" customFormat="false" ht="21.75" hidden="false" customHeight="true" outlineLevel="0" collapsed="false">
      <c r="A111" s="13" t="s">
        <v>159</v>
      </c>
      <c r="B111" s="56" t="n">
        <f aca="false">H35</f>
        <v>0.67969</v>
      </c>
      <c r="C111" s="56" t="n">
        <f aca="false">H53</f>
        <v>0.180096</v>
      </c>
      <c r="D111" s="56" t="n">
        <f aca="false">H71</f>
        <v>0.624042</v>
      </c>
      <c r="E111" s="56" t="n">
        <f aca="false">H89</f>
        <v>0.231336</v>
      </c>
      <c r="F111" s="56" t="n">
        <v>1</v>
      </c>
    </row>
    <row r="112" customFormat="false" ht="21.75" hidden="false" customHeight="true" outlineLevel="0" collapsed="false">
      <c r="A112" s="13" t="s">
        <v>162</v>
      </c>
      <c r="B112" s="56" t="n">
        <f aca="false">H36</f>
        <v>0.563124</v>
      </c>
      <c r="C112" s="56" t="n">
        <f aca="false">H54</f>
        <v>0.147</v>
      </c>
      <c r="D112" s="56" t="n">
        <f aca="false">H72</f>
        <v>0.5296365</v>
      </c>
      <c r="E112" s="56" t="n">
        <f aca="false">H90</f>
        <v>0.180774</v>
      </c>
      <c r="F112" s="56" t="n">
        <v>1</v>
      </c>
    </row>
    <row r="113" customFormat="false" ht="21.75" hidden="false" customHeight="true" outlineLevel="0" collapsed="false">
      <c r="A113" s="13" t="s">
        <v>147</v>
      </c>
      <c r="B113" s="56" t="n">
        <f aca="false">H37</f>
        <v>0.7560765</v>
      </c>
      <c r="C113" s="56" t="n">
        <f aca="false">H55</f>
        <v>0.187677</v>
      </c>
      <c r="D113" s="56" t="n">
        <f aca="false">H73</f>
        <v>0.705998</v>
      </c>
      <c r="E113" s="56" t="n">
        <f aca="false">H91</f>
        <v>0.226424</v>
      </c>
      <c r="F113" s="56" t="n">
        <v>1</v>
      </c>
    </row>
    <row r="114" customFormat="false" ht="21.75" hidden="false" customHeight="true" outlineLevel="0" collapsed="false">
      <c r="A114" s="13" t="s">
        <v>348</v>
      </c>
      <c r="B114" s="56" t="n">
        <f aca="false">H38</f>
        <v>0.984348</v>
      </c>
      <c r="C114" s="56" t="n">
        <f aca="false">H56</f>
        <v>0.2490725</v>
      </c>
      <c r="D114" s="56" t="n">
        <f aca="false">H74</f>
        <v>0.713925</v>
      </c>
      <c r="E114" s="56" t="n">
        <f aca="false">H92</f>
        <v>0.513975</v>
      </c>
      <c r="F114" s="56" t="n">
        <v>1</v>
      </c>
    </row>
    <row r="115" customFormat="false" ht="21.75" hidden="false" customHeight="true" outlineLevel="0" collapsed="false">
      <c r="A115" s="13" t="s">
        <v>349</v>
      </c>
      <c r="B115" s="56" t="n">
        <f aca="false">H39</f>
        <v>0.940556</v>
      </c>
      <c r="C115" s="56" t="n">
        <f aca="false">H57</f>
        <v>0.24549</v>
      </c>
      <c r="D115" s="56" t="n">
        <f aca="false">H75</f>
        <v>0.6538455</v>
      </c>
      <c r="E115" s="56" t="n">
        <f aca="false">H93</f>
        <v>0.534901</v>
      </c>
      <c r="F115" s="56" t="n">
        <v>1</v>
      </c>
    </row>
    <row r="116" customFormat="false" ht="21.75" hidden="false" customHeight="true" outlineLevel="0" collapsed="false">
      <c r="A116" s="13" t="s">
        <v>156</v>
      </c>
      <c r="B116" s="56" t="n">
        <f aca="false">H40</f>
        <v>0.71309</v>
      </c>
      <c r="C116" s="56" t="n">
        <f aca="false">H58</f>
        <v>0.1729</v>
      </c>
      <c r="D116" s="56" t="n">
        <f aca="false">H76</f>
        <v>0.6008225</v>
      </c>
      <c r="E116" s="56" t="n">
        <f aca="false">H94</f>
        <v>0.3036775</v>
      </c>
      <c r="F116" s="56" t="n">
        <v>1</v>
      </c>
    </row>
    <row r="117" customFormat="false" ht="21.75" hidden="false" customHeight="true" outlineLevel="0" collapsed="false">
      <c r="A117" s="13" t="s">
        <v>160</v>
      </c>
      <c r="B117" s="56" t="n">
        <f aca="false">H41</f>
        <v>0.4853475</v>
      </c>
      <c r="C117" s="56" t="n">
        <f aca="false">H59</f>
        <v>0.11725</v>
      </c>
      <c r="D117" s="56" t="n">
        <f aca="false">H77</f>
        <v>0.47838</v>
      </c>
      <c r="E117" s="56" t="n">
        <f aca="false">H95</f>
        <v>0.127922</v>
      </c>
      <c r="F117" s="56" t="n">
        <v>1</v>
      </c>
    </row>
    <row r="118" customFormat="false" ht="21.75" hidden="false" customHeight="true" outlineLevel="0" collapsed="false">
      <c r="A118" s="13" t="s">
        <v>163</v>
      </c>
      <c r="B118" s="56" t="n">
        <f aca="false">H42</f>
        <v>0.238761</v>
      </c>
      <c r="C118" s="56" t="n">
        <f aca="false">H60</f>
        <v>0.0596775</v>
      </c>
      <c r="D118" s="56" t="n">
        <f aca="false">H78</f>
        <v>0.240912</v>
      </c>
      <c r="E118" s="56" t="n">
        <f aca="false">H96</f>
        <v>0.0593125</v>
      </c>
      <c r="F118" s="56" t="n">
        <v>1</v>
      </c>
    </row>
    <row r="119" customFormat="false" ht="21.75" hidden="false" customHeight="true" outlineLevel="0" collapsed="false">
      <c r="A119" s="13" t="s">
        <v>150</v>
      </c>
      <c r="B119" s="56" t="n">
        <f aca="false">H43</f>
        <v>0</v>
      </c>
      <c r="C119" s="56" t="n">
        <f aca="false">H61</f>
        <v>0</v>
      </c>
      <c r="D119" s="56" t="n">
        <f aca="false">H79</f>
        <v>0</v>
      </c>
      <c r="E119" s="56" t="n">
        <f aca="false">H97</f>
        <v>0</v>
      </c>
      <c r="F119" s="56" t="n">
        <v>1</v>
      </c>
    </row>
    <row r="120" customFormat="false" ht="21.75" hidden="false" customHeight="true" outlineLevel="0" collapsed="false">
      <c r="A120" s="13" t="s">
        <v>350</v>
      </c>
      <c r="B120" s="56" t="n">
        <f aca="false">H44</f>
        <v>0</v>
      </c>
      <c r="C120" s="56" t="n">
        <f aca="false">H62</f>
        <v>0</v>
      </c>
      <c r="D120" s="56" t="n">
        <f aca="false">H80</f>
        <v>0</v>
      </c>
      <c r="E120" s="56" t="n">
        <f aca="false">H98</f>
        <v>0</v>
      </c>
      <c r="F120" s="56" t="n">
        <v>1</v>
      </c>
    </row>
    <row r="121" customFormat="false" ht="21.75" hidden="false" customHeight="true" outlineLevel="0" collapsed="false">
      <c r="A121" s="13" t="s">
        <v>351</v>
      </c>
      <c r="B121" s="56" t="n">
        <f aca="false">H45</f>
        <v>0</v>
      </c>
      <c r="C121" s="56" t="n">
        <f aca="false">H63</f>
        <v>0</v>
      </c>
      <c r="D121" s="56" t="n">
        <f aca="false">H81</f>
        <v>0</v>
      </c>
      <c r="E121" s="56" t="n">
        <f aca="false">H99</f>
        <v>0</v>
      </c>
      <c r="F121" s="56" t="n">
        <v>1</v>
      </c>
    </row>
  </sheetData>
  <autoFilter ref="A27:P99"/>
  <mergeCells count="1">
    <mergeCell ref="A12:G18"/>
  </mergeCells>
  <conditionalFormatting sqref="H28:I99">
    <cfRule type="expression" priority="2" aboveAverage="0" equalAverage="0" bottom="0" percent="0" rank="0" text="" dxfId="6">
      <formula>$H28&gt;=1</formula>
    </cfRule>
    <cfRule type="expression" priority="3" aboveAverage="0" equalAverage="0" bottom="0" percent="0" rank="0" text="" dxfId="7">
      <formula>AND($H28&gt;=0.85,$H28&lt;1)</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7" topLeftCell="D28" activePane="bottomRight" state="frozen"/>
      <selection pane="topLeft" activeCell="A1" activeCellId="0" sqref="A1"/>
      <selection pane="topRight" activeCell="D1" activeCellId="0" sqref="D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7" min="7" style="0" width="7"/>
    <col collapsed="false" customWidth="true" hidden="false" outlineLevel="0" max="8" min="8" style="0" width="9"/>
    <col collapsed="false" customWidth="true" hidden="false" outlineLevel="0" max="9" min="9" style="0" width="22"/>
    <col collapsed="false" customWidth="true" hidden="false" outlineLevel="0" max="10" min="10" style="0" width="12"/>
    <col collapsed="false" customWidth="true" hidden="false" outlineLevel="0" max="11" min="11" style="0" width="13"/>
    <col collapsed="false" customWidth="true" hidden="false" outlineLevel="0" max="12" min="12" style="0" width="12"/>
    <col collapsed="false" customWidth="true" hidden="false" outlineLevel="0" max="14" min="13" style="0" width="11"/>
    <col collapsed="false" customWidth="true" hidden="false" outlineLevel="0" max="15" min="15" style="0" width="13"/>
    <col collapsed="false" customWidth="true" hidden="false" outlineLevel="0" max="16" min="16" style="0" width="36"/>
  </cols>
  <sheetData>
    <row r="1" customFormat="false" ht="36" hidden="false" customHeight="true" outlineLevel="0" collapsed="false">
      <c r="A1" s="1" t="s">
        <v>358</v>
      </c>
      <c r="B1" s="2"/>
      <c r="C1" s="2"/>
      <c r="D1" s="2"/>
      <c r="E1" s="2"/>
      <c r="F1" s="2"/>
      <c r="G1" s="2"/>
      <c r="H1" s="2"/>
      <c r="I1" s="2"/>
      <c r="J1" s="2"/>
      <c r="K1" s="2"/>
      <c r="L1" s="2"/>
      <c r="M1" s="2"/>
      <c r="N1" s="2"/>
      <c r="O1" s="2"/>
      <c r="P1" s="2"/>
    </row>
    <row r="2" customFormat="false" ht="21.75" hidden="false" customHeight="true" outlineLevel="0" collapsed="false">
      <c r="A2" s="3" t="s">
        <v>359</v>
      </c>
    </row>
    <row r="3" customFormat="false" ht="7.5" hidden="false" customHeight="true" outlineLevel="0" collapsed="false"/>
    <row r="4" customFormat="false" ht="24.75" hidden="false" customHeight="true" outlineLevel="0" collapsed="false">
      <c r="A4" s="4" t="s">
        <v>316</v>
      </c>
    </row>
    <row r="5" customFormat="false" ht="37.5" hidden="false" customHeight="true" outlineLevel="0" collapsed="false">
      <c r="A5" s="7" t="s">
        <v>317</v>
      </c>
      <c r="B5" s="7" t="s">
        <v>318</v>
      </c>
      <c r="C5" s="7" t="s">
        <v>319</v>
      </c>
      <c r="D5" s="7" t="s">
        <v>320</v>
      </c>
      <c r="E5" s="7" t="s">
        <v>321</v>
      </c>
      <c r="F5" s="7" t="s">
        <v>322</v>
      </c>
      <c r="G5" s="7" t="s">
        <v>323</v>
      </c>
    </row>
    <row r="6" customFormat="false" ht="21.75" hidden="false" customHeight="true" outlineLevel="0" collapsed="false">
      <c r="A6" s="13" t="s">
        <v>324</v>
      </c>
      <c r="B6" s="13" t="s">
        <v>325</v>
      </c>
      <c r="C6" s="44" t="n">
        <f aca="false">_xlfn.MAXIFS($H$28:$H$99,$A$28:$A$99,"Today (no screens)",$B$28:$B$99,"Central CT")</f>
        <v>1.4695395</v>
      </c>
      <c r="D6" s="45" t="n">
        <f aca="false">COUNTIFS($A$28:$A$99,"Today (no screens)",$B$28:$B$99,"Central CT",$H$28:$H$99,"&gt;=1")</f>
        <v>6</v>
      </c>
      <c r="E6" s="46" t="n">
        <f aca="false">COUNTIFS($A$28:$A$99,"Today (no screens)",$B$28:$B$99,"Central CT",$H$28:$H$99,"&gt;=0.85",$H$28:$H$99,"&lt;1")</f>
        <v>3</v>
      </c>
      <c r="F6" s="47" t="n">
        <f aca="false">_xlfn.MAXIFS($L$28:$L$99,$A$28:$A$99,"Today (no screens)",$B$28:$B$99,"Central CT")</f>
        <v>14.4096</v>
      </c>
      <c r="G6" s="47" t="n">
        <f aca="false">SUMPRODUCT(($A$28:$A$99="Today (no screens)")*($B$28:$B$99="Central CT")*$L$28:$L$99*$D$28:$D$99)/SUMPRODUCT(($A$28:$A$99="Today (no screens)")*($B$28:$B$99="Central CT")*$D$28:$D$99)</f>
        <v>5.30591444920103</v>
      </c>
    </row>
    <row r="7" customFormat="false" ht="21.75" hidden="false" customHeight="true" outlineLevel="0" collapsed="false">
      <c r="A7" s="13" t="s">
        <v>324</v>
      </c>
      <c r="B7" s="13" t="s">
        <v>326</v>
      </c>
      <c r="C7" s="44" t="n">
        <f aca="false">_xlfn.MAXIFS($H$28:$H$99,$A$28:$A$99,"Today (no screens)",$B$28:$B$99,"Munch Mess")</f>
        <v>0.381</v>
      </c>
      <c r="D7" s="45" t="n">
        <f aca="false">COUNTIFS($A$28:$A$99,"Today (no screens)",$B$28:$B$99,"Munch Mess",$H$28:$H$99,"&gt;=1")</f>
        <v>0</v>
      </c>
      <c r="E7" s="46" t="n">
        <f aca="false">COUNTIFS($A$28:$A$99,"Today (no screens)",$B$28:$B$99,"Munch Mess",$H$28:$H$99,"&gt;=0.85",$H$28:$H$99,"&lt;1")</f>
        <v>0</v>
      </c>
      <c r="F7" s="47" t="n">
        <f aca="false">_xlfn.MAXIFS($L$28:$L$99,$A$28:$A$99,"Today (no screens)",$B$28:$B$99,"Munch Mess")</f>
        <v>0.0121</v>
      </c>
      <c r="G7" s="47" t="n">
        <f aca="false">SUMPRODUCT(($A$28:$A$99="Today (no screens)")*($B$28:$B$99="Munch Mess")*$L$28:$L$99*$D$28:$D$99)/SUMPRODUCT(($A$28:$A$99="Today (no screens)")*($B$28:$B$99="Munch Mess")*$D$28:$D$99)</f>
        <v>0.00631955232606698</v>
      </c>
    </row>
    <row r="8" customFormat="false" ht="21.75" hidden="false" customHeight="true" outlineLevel="0" collapsed="false">
      <c r="A8" s="13" t="s">
        <v>327</v>
      </c>
      <c r="B8" s="13" t="s">
        <v>325</v>
      </c>
      <c r="C8" s="44" t="n">
        <f aca="false">_xlfn.MAXIFS($H$28:$H$99,$A$28:$A$99,"With Smart Scan screens",$B$28:$B$99,"Central CT")</f>
        <v>1.0648225</v>
      </c>
      <c r="D8" s="45" t="n">
        <f aca="false">COUNTIFS($A$28:$A$99,"With Smart Scan screens",$B$28:$B$99,"Central CT",$H$28:$H$99,"&gt;=1")</f>
        <v>4</v>
      </c>
      <c r="E8" s="46" t="n">
        <f aca="false">COUNTIFS($A$28:$A$99,"With Smart Scan screens",$B$28:$B$99,"Central CT",$H$28:$H$99,"&gt;=0.85",$H$28:$H$99,"&lt;1")</f>
        <v>4</v>
      </c>
      <c r="F8" s="47" t="n">
        <f aca="false">_xlfn.MAXIFS($L$28:$L$99,$A$28:$A$99,"With Smart Scan screens",$B$28:$B$99,"Central CT")</f>
        <v>2.1938</v>
      </c>
      <c r="G8" s="47" t="n">
        <f aca="false">SUMPRODUCT(($A$28:$A$99="With Smart Scan screens")*($B$28:$B$99="Central CT")*$L$28:$L$99*$D$28:$D$99)/SUMPRODUCT(($A$28:$A$99="With Smart Scan screens")*($B$28:$B$99="Central CT")*$D$28:$D$99)</f>
        <v>1.05120152977339</v>
      </c>
    </row>
    <row r="9" customFormat="false" ht="21.75" hidden="false" customHeight="true" outlineLevel="0" collapsed="false">
      <c r="A9" s="13" t="s">
        <v>327</v>
      </c>
      <c r="B9" s="13" t="s">
        <v>326</v>
      </c>
      <c r="C9" s="44" t="n">
        <f aca="false">_xlfn.MAXIFS($H$28:$H$99,$A$28:$A$99,"With Smart Scan screens",$B$28:$B$99,"Munch Mess")</f>
        <v>0.78864</v>
      </c>
      <c r="D9" s="45" t="n">
        <f aca="false">COUNTIFS($A$28:$A$99,"With Smart Scan screens",$B$28:$B$99,"Munch Mess",$H$28:$H$99,"&gt;=1")</f>
        <v>0</v>
      </c>
      <c r="E9" s="46" t="n">
        <f aca="false">COUNTIFS($A$28:$A$99,"With Smart Scan screens",$B$28:$B$99,"Munch Mess",$H$28:$H$99,"&gt;=0.85",$H$28:$H$99,"&lt;1")</f>
        <v>0</v>
      </c>
      <c r="F9" s="47" t="n">
        <f aca="false">_xlfn.MAXIFS($L$28:$L$99,$A$28:$A$99,"With Smart Scan screens",$B$28:$B$99,"Munch Mess")</f>
        <v>0.1552</v>
      </c>
      <c r="G9" s="47" t="n">
        <f aca="false">SUMPRODUCT(($A$28:$A$99="With Smart Scan screens")*($B$28:$B$99="Munch Mess")*$L$28:$L$99*$D$28:$D$99)/SUMPRODUCT(($A$28:$A$99="With Smart Scan screens")*($B$28:$B$99="Munch Mess")*$D$28:$D$99)</f>
        <v>0.0723178804094928</v>
      </c>
    </row>
    <row r="10" customFormat="false" ht="20.25" hidden="false" customHeight="true" outlineLevel="0" collapsed="false">
      <c r="A10" s="48" t="s">
        <v>328</v>
      </c>
    </row>
    <row r="12" customFormat="false" ht="18" hidden="false" customHeight="true" outlineLevel="0" collapsed="false">
      <c r="A12" s="49" t="s">
        <v>360</v>
      </c>
      <c r="B12" s="49"/>
      <c r="C12" s="49"/>
      <c r="D12" s="49"/>
      <c r="E12" s="49"/>
      <c r="F12" s="49"/>
      <c r="G12" s="49"/>
    </row>
    <row r="13" customFormat="false" ht="15" hidden="false" customHeight="false" outlineLevel="0" collapsed="false">
      <c r="A13" s="49"/>
      <c r="B13" s="49"/>
      <c r="C13" s="49"/>
      <c r="D13" s="49"/>
      <c r="E13" s="49"/>
      <c r="F13" s="49"/>
      <c r="G13" s="49"/>
    </row>
    <row r="14" customFormat="false" ht="15" hidden="false" customHeight="false" outlineLevel="0" collapsed="false">
      <c r="A14" s="49"/>
      <c r="B14" s="49"/>
      <c r="C14" s="49"/>
      <c r="D14" s="49"/>
      <c r="E14" s="49"/>
      <c r="F14" s="49"/>
      <c r="G14" s="49"/>
    </row>
    <row r="15" customFormat="false" ht="15" hidden="false" customHeight="false" outlineLevel="0" collapsed="false">
      <c r="A15" s="49"/>
      <c r="B15" s="49"/>
      <c r="C15" s="49"/>
      <c r="D15" s="49"/>
      <c r="E15" s="49"/>
      <c r="F15" s="49"/>
      <c r="G15" s="49"/>
    </row>
    <row r="16" customFormat="false" ht="15" hidden="false" customHeight="false" outlineLevel="0" collapsed="false">
      <c r="A16" s="49"/>
      <c r="B16" s="49"/>
      <c r="C16" s="49"/>
      <c r="D16" s="49"/>
      <c r="E16" s="49"/>
      <c r="F16" s="49"/>
      <c r="G16" s="49"/>
    </row>
    <row r="17" customFormat="false" ht="15" hidden="false" customHeight="false" outlineLevel="0" collapsed="false">
      <c r="A17" s="49"/>
      <c r="B17" s="49"/>
      <c r="C17" s="49"/>
      <c r="D17" s="49"/>
      <c r="E17" s="49"/>
      <c r="F17" s="49"/>
      <c r="G17" s="49"/>
    </row>
    <row r="18" customFormat="false" ht="15" hidden="false" customHeight="false" outlineLevel="0" collapsed="false">
      <c r="A18" s="49"/>
      <c r="B18" s="49"/>
      <c r="C18" s="49"/>
      <c r="D18" s="49"/>
      <c r="E18" s="49"/>
      <c r="F18" s="49"/>
      <c r="G18" s="49"/>
    </row>
    <row r="20" customFormat="false" ht="20.25" hidden="false" customHeight="true" outlineLevel="0" collapsed="false">
      <c r="A20" s="48" t="s">
        <v>330</v>
      </c>
    </row>
    <row r="26" customFormat="false" ht="24.75" hidden="false" customHeight="true" outlineLevel="0" collapsed="false">
      <c r="A26" s="4" t="s">
        <v>331</v>
      </c>
    </row>
    <row r="27" customFormat="false" ht="37.5" hidden="false" customHeight="true" outlineLevel="0" collapsed="false">
      <c r="A27" s="7" t="s">
        <v>317</v>
      </c>
      <c r="B27" s="7" t="s">
        <v>318</v>
      </c>
      <c r="C27" s="7" t="s">
        <v>332</v>
      </c>
      <c r="D27" s="7" t="s">
        <v>333</v>
      </c>
      <c r="E27" s="7" t="s">
        <v>334</v>
      </c>
      <c r="F27" s="7" t="s">
        <v>335</v>
      </c>
      <c r="G27" s="7" t="s">
        <v>186</v>
      </c>
      <c r="H27" s="7" t="s">
        <v>194</v>
      </c>
      <c r="I27" s="7" t="s">
        <v>198</v>
      </c>
      <c r="J27" s="7" t="s">
        <v>336</v>
      </c>
      <c r="K27" s="7" t="s">
        <v>337</v>
      </c>
      <c r="L27" s="7" t="s">
        <v>338</v>
      </c>
      <c r="M27" s="7" t="s">
        <v>339</v>
      </c>
      <c r="N27" s="7" t="s">
        <v>340</v>
      </c>
      <c r="O27" s="7" t="s">
        <v>341</v>
      </c>
      <c r="P27" s="7" t="s">
        <v>342</v>
      </c>
    </row>
    <row r="28" customFormat="false" ht="21.75" hidden="false" customHeight="true" outlineLevel="0" collapsed="false">
      <c r="A28" s="13" t="s">
        <v>324</v>
      </c>
      <c r="B28" s="13" t="s">
        <v>325</v>
      </c>
      <c r="C28" s="26" t="s">
        <v>343</v>
      </c>
      <c r="D28" s="50" t="n">
        <f aca="false">'Sim Data'!$E$23</f>
        <v>0</v>
      </c>
      <c r="E28" s="51" t="n">
        <f aca="false">'Sim Data'!$G$23</f>
        <v>0</v>
      </c>
      <c r="F28" s="52" t="n">
        <f aca="false">IF(E28&gt;0,1/E28,Assumptions!$B$21)</f>
        <v>10</v>
      </c>
      <c r="G28" s="53" t="n">
        <f aca="false">Assumptions!$B$20</f>
        <v>2</v>
      </c>
      <c r="H28" s="54" t="n">
        <f aca="false">D28/(G28*F28)</f>
        <v>0</v>
      </c>
      <c r="I28" s="26" t="str">
        <f aca="false">IF(D28=0,"no arrivals",IF(H28&lt;0.85,"stable",IF(H28&lt;1,"near capacity","over capacity")))</f>
        <v>no arrivals</v>
      </c>
      <c r="J28" s="47" t="str">
        <f aca="false">IF(AND(D28&gt;0,H28&lt;1),((D28/F28)^G28/FACT(G28)/(1-H28))/(SUMPRODUCT(--({0,1,2,3,4,5,6,7,8,9}&lt;G28),(D28/F28)^{0,1,2,3,4,5,6,7,8,9}/FACT({0,1,2,3,4,5,6,7,8,9}))+((D28/F28)^G28/FACT(G28)/(1-H28)))/(G28*F28-D28),"—")</f>
        <v>—</v>
      </c>
      <c r="K28" s="47" t="str">
        <f aca="false">IF(ISNUMBER(J28),(1+Assumptions!$B$22^2)/2*J28,"—")</f>
        <v>—</v>
      </c>
      <c r="L28" s="55" t="n">
        <f aca="false">'Sim Data'!$F$23</f>
        <v>0</v>
      </c>
      <c r="M28" s="50" t="n">
        <f aca="false">'Sim Data'!$H$23</f>
        <v>0</v>
      </c>
      <c r="N28" s="52" t="n">
        <f aca="false">D28*L28</f>
        <v>0</v>
      </c>
      <c r="O28" s="47" t="str">
        <f aca="false">IF(MAX(M28,N28)&lt;0.5,"both ≈ 0",IF(N28=0,"no new arrivals",M28/N28))</f>
        <v>both ≈ 0</v>
      </c>
      <c r="P28" s="13" t="str">
        <f aca="false">IF(D28=0,"",IF(H28&gt;=1,"No steady state: the line grows by about "&amp;TEXT((D28-G28*F28)*10,"0")&amp;" in 10 min",IF(ISNUMBER(O28),IF(ABS(O28-1)&lt;=0.2,"Steady: Little's Law holds",IF(O28&gt;1,"Draining a line left from earlier","Line still building")),"Hardly any line")))</f>
        <v/>
      </c>
    </row>
    <row r="29" customFormat="false" ht="21.75" hidden="false" customHeight="true" outlineLevel="0" collapsed="false">
      <c r="A29" s="13" t="s">
        <v>324</v>
      </c>
      <c r="B29" s="13" t="s">
        <v>325</v>
      </c>
      <c r="C29" s="26" t="s">
        <v>344</v>
      </c>
      <c r="D29" s="50" t="n">
        <f aca="false">'Sim Data'!$E$24</f>
        <v>0</v>
      </c>
      <c r="E29" s="51" t="n">
        <f aca="false">'Sim Data'!$G$24</f>
        <v>0</v>
      </c>
      <c r="F29" s="52" t="n">
        <f aca="false">IF(E29&gt;0,1/E29,Assumptions!$B$21)</f>
        <v>10</v>
      </c>
      <c r="G29" s="53" t="n">
        <f aca="false">Assumptions!$B$20</f>
        <v>2</v>
      </c>
      <c r="H29" s="54" t="n">
        <f aca="false">D29/(G29*F29)</f>
        <v>0</v>
      </c>
      <c r="I29" s="26" t="str">
        <f aca="false">IF(D29=0,"no arrivals",IF(H29&lt;0.85,"stable",IF(H29&lt;1,"near capacity","over capacity")))</f>
        <v>no arrivals</v>
      </c>
      <c r="J29" s="47" t="str">
        <f aca="false">IF(AND(D29&gt;0,H29&lt;1),((D29/F29)^G29/FACT(G29)/(1-H29))/(SUMPRODUCT(--({0,1,2,3,4,5,6,7,8,9}&lt;G29),(D29/F29)^{0,1,2,3,4,5,6,7,8,9}/FACT({0,1,2,3,4,5,6,7,8,9}))+((D29/F29)^G29/FACT(G29)/(1-H29)))/(G29*F29-D29),"—")</f>
        <v>—</v>
      </c>
      <c r="K29" s="47" t="str">
        <f aca="false">IF(ISNUMBER(J29),(1+Assumptions!$B$22^2)/2*J29,"—")</f>
        <v>—</v>
      </c>
      <c r="L29" s="55" t="n">
        <f aca="false">'Sim Data'!$F$24</f>
        <v>0</v>
      </c>
      <c r="M29" s="50" t="n">
        <f aca="false">'Sim Data'!$H$24</f>
        <v>0</v>
      </c>
      <c r="N29" s="52" t="n">
        <f aca="false">D29*L29</f>
        <v>0</v>
      </c>
      <c r="O29" s="47" t="str">
        <f aca="false">IF(MAX(M29,N29)&lt;0.5,"both ≈ 0",IF(N29=0,"no new arrivals",M29/N29))</f>
        <v>both ≈ 0</v>
      </c>
      <c r="P29" s="13" t="str">
        <f aca="false">IF(D29=0,"",IF(H29&gt;=1,"No steady state: the line grows by about "&amp;TEXT((D29-G29*F29)*10,"0")&amp;" in 10 min",IF(ISNUMBER(O29),IF(ABS(O29-1)&lt;=0.2,"Steady: Little's Law holds",IF(O29&gt;1,"Draining a line left from earlier","Line still building")),"Hardly any line")))</f>
        <v/>
      </c>
    </row>
    <row r="30" customFormat="false" ht="21.75" hidden="false" customHeight="true" outlineLevel="0" collapsed="false">
      <c r="A30" s="13" t="s">
        <v>324</v>
      </c>
      <c r="B30" s="13" t="s">
        <v>325</v>
      </c>
      <c r="C30" s="26" t="s">
        <v>345</v>
      </c>
      <c r="D30" s="50" t="n">
        <f aca="false">'Sim Data'!$E$25</f>
        <v>0</v>
      </c>
      <c r="E30" s="51" t="n">
        <f aca="false">'Sim Data'!$G$25</f>
        <v>0</v>
      </c>
      <c r="F30" s="52" t="n">
        <f aca="false">IF(E30&gt;0,1/E30,Assumptions!$B$21)</f>
        <v>10</v>
      </c>
      <c r="G30" s="53" t="n">
        <f aca="false">Assumptions!$B$20</f>
        <v>2</v>
      </c>
      <c r="H30" s="54" t="n">
        <f aca="false">D30/(G30*F30)</f>
        <v>0</v>
      </c>
      <c r="I30" s="26" t="str">
        <f aca="false">IF(D30=0,"no arrivals",IF(H30&lt;0.85,"stable",IF(H30&lt;1,"near capacity","over capacity")))</f>
        <v>no arrivals</v>
      </c>
      <c r="J30" s="47" t="str">
        <f aca="false">IF(AND(D30&gt;0,H30&lt;1),((D30/F30)^G30/FACT(G30)/(1-H30))/(SUMPRODUCT(--({0,1,2,3,4,5,6,7,8,9}&lt;G30),(D30/F30)^{0,1,2,3,4,5,6,7,8,9}/FACT({0,1,2,3,4,5,6,7,8,9}))+((D30/F30)^G30/FACT(G30)/(1-H30)))/(G30*F30-D30),"—")</f>
        <v>—</v>
      </c>
      <c r="K30" s="47" t="str">
        <f aca="false">IF(ISNUMBER(J30),(1+Assumptions!$B$22^2)/2*J30,"—")</f>
        <v>—</v>
      </c>
      <c r="L30" s="55" t="n">
        <f aca="false">'Sim Data'!$F$25</f>
        <v>0</v>
      </c>
      <c r="M30" s="50" t="n">
        <f aca="false">'Sim Data'!$H$25</f>
        <v>0</v>
      </c>
      <c r="N30" s="52" t="n">
        <f aca="false">D30*L30</f>
        <v>0</v>
      </c>
      <c r="O30" s="47" t="str">
        <f aca="false">IF(MAX(M30,N30)&lt;0.5,"both ≈ 0",IF(N30=0,"no new arrivals",M30/N30))</f>
        <v>both ≈ 0</v>
      </c>
      <c r="P30" s="13" t="str">
        <f aca="false">IF(D30=0,"",IF(H30&gt;=1,"No steady state: the line grows by about "&amp;TEXT((D30-G30*F30)*10,"0")&amp;" in 10 min",IF(ISNUMBER(O30),IF(ABS(O30-1)&lt;=0.2,"Steady: Little's Law holds",IF(O30&gt;1,"Draining a line left from earlier","Line still building")),"Hardly any line")))</f>
        <v/>
      </c>
    </row>
    <row r="31" customFormat="false" ht="21.75" hidden="false" customHeight="true" outlineLevel="0" collapsed="false">
      <c r="A31" s="13" t="s">
        <v>324</v>
      </c>
      <c r="B31" s="13" t="s">
        <v>325</v>
      </c>
      <c r="C31" s="26" t="s">
        <v>146</v>
      </c>
      <c r="D31" s="50" t="n">
        <f aca="false">'Sim Data'!$E$26</f>
        <v>13.485</v>
      </c>
      <c r="E31" s="51" t="n">
        <f aca="false">'Sim Data'!$G$26</f>
        <v>0.1019</v>
      </c>
      <c r="F31" s="52" t="n">
        <f aca="false">IF(E31&gt;0,1/E31,Assumptions!$B$21)</f>
        <v>9.8135426889107</v>
      </c>
      <c r="G31" s="53" t="n">
        <f aca="false">Assumptions!$B$20</f>
        <v>2</v>
      </c>
      <c r="H31" s="54" t="n">
        <f aca="false">D31/(G31*F31)</f>
        <v>0.68706075</v>
      </c>
      <c r="I31" s="26" t="str">
        <f aca="false">IF(D31=0,"no arrivals",IF(H31&lt;0.85,"stable",IF(H31&lt;1,"near capacity","over capacity")))</f>
        <v>stable</v>
      </c>
      <c r="J31" s="47" t="n">
        <f aca="false">IF(AND(D31&gt;0,H31&lt;1),((D31/F31)^G31/FACT(G31)/(1-H31))/(SUMPRODUCT(--({0,1,2,3,4,5,6,7,8,9}&lt;G31),(D31/F31)^{0,1,2,3,4,5,6,7,8,9}/FACT({0,1,2,3,4,5,6,7,8,9}))+((D31/F31)^G31/FACT(G31)/(1-H31)))/(G31*F31-D31),"—")</f>
        <v>0.0911116063026703</v>
      </c>
      <c r="K31" s="47" t="n">
        <f aca="false">IF(ISNUMBER(J31),(1+Assumptions!$B$22^2)/2*J31,"—")</f>
        <v>0.0619558922858158</v>
      </c>
      <c r="L31" s="55" t="n">
        <f aca="false">'Sim Data'!$F$26</f>
        <v>0.0857</v>
      </c>
      <c r="M31" s="50" t="n">
        <f aca="false">'Sim Data'!$H$26</f>
        <v>1.1129</v>
      </c>
      <c r="N31" s="52" t="n">
        <f aca="false">D31*L31</f>
        <v>1.1556645</v>
      </c>
      <c r="O31" s="47" t="n">
        <f aca="false">IF(MAX(M31,N31)&lt;0.5,"both ≈ 0",IF(N31=0,"no new arrivals",M31/N31))</f>
        <v>0.962995748333535</v>
      </c>
      <c r="P31" s="13" t="str">
        <f aca="false">IF(D31=0,"",IF(H31&gt;=1,"No steady state: the line grows by about "&amp;TEXT((D31-G31*F31)*10,"0")&amp;" in 10 min",IF(ISNUMBER(O31),IF(ABS(O31-1)&lt;=0.2,"Steady: Little's Law holds",IF(O31&gt;1,"Draining a line left from earlier","Line still building")),"Hardly any line")))</f>
        <v>Steady: Little's Law holds</v>
      </c>
    </row>
    <row r="32" customFormat="false" ht="21.75" hidden="false" customHeight="true" outlineLevel="0" collapsed="false">
      <c r="A32" s="13" t="s">
        <v>324</v>
      </c>
      <c r="B32" s="13" t="s">
        <v>325</v>
      </c>
      <c r="C32" s="26" t="s">
        <v>346</v>
      </c>
      <c r="D32" s="50" t="n">
        <f aca="false">'Sim Data'!$E$27</f>
        <v>18.49</v>
      </c>
      <c r="E32" s="51" t="n">
        <f aca="false">'Sim Data'!$G$27</f>
        <v>0.1004</v>
      </c>
      <c r="F32" s="52" t="n">
        <f aca="false">IF(E32&gt;0,1/E32,Assumptions!$B$21)</f>
        <v>9.9601593625498</v>
      </c>
      <c r="G32" s="53" t="n">
        <f aca="false">Assumptions!$B$20</f>
        <v>2</v>
      </c>
      <c r="H32" s="54" t="n">
        <f aca="false">D32/(G32*F32)</f>
        <v>0.928198</v>
      </c>
      <c r="I32" s="26" t="str">
        <f aca="false">IF(D32=0,"no arrivals",IF(H32&lt;0.85,"stable",IF(H32&lt;1,"near capacity","over capacity")))</f>
        <v>near capacity</v>
      </c>
      <c r="J32" s="47" t="n">
        <f aca="false">IF(AND(D32&gt;0,H32&lt;1),((D32/F32)^G32/FACT(G32)/(1-H32))/(SUMPRODUCT(--({0,1,2,3,4,5,6,7,8,9}&lt;G32),(D32/F32)^{0,1,2,3,4,5,6,7,8,9}/FACT({0,1,2,3,4,5,6,7,8,9}))+((D32/F32)^G32/FACT(G32)/(1-H32)))/(G32*F32-D32),"—")</f>
        <v>0.624779541329694</v>
      </c>
      <c r="K32" s="47" t="n">
        <f aca="false">IF(ISNUMBER(J32),(1+Assumptions!$B$22^2)/2*J32,"—")</f>
        <v>0.424850088104192</v>
      </c>
      <c r="L32" s="55" t="n">
        <f aca="false">'Sim Data'!$F$27</f>
        <v>0.2595</v>
      </c>
      <c r="M32" s="50" t="n">
        <f aca="false">'Sim Data'!$H$27</f>
        <v>4.575</v>
      </c>
      <c r="N32" s="52" t="n">
        <f aca="false">D32*L32</f>
        <v>4.798155</v>
      </c>
      <c r="O32" s="47" t="n">
        <f aca="false">IF(MAX(M32,N32)&lt;0.5,"both ≈ 0",IF(N32=0,"no new arrivals",M32/N32))</f>
        <v>0.953491498294657</v>
      </c>
      <c r="P32" s="13" t="str">
        <f aca="false">IF(D32=0,"",IF(H32&gt;=1,"No steady state: the line grows by about "&amp;TEXT((D32-G32*F32)*10,"0")&amp;" in 10 min",IF(ISNUMBER(O32),IF(ABS(O32-1)&lt;=0.2,"Steady: Little's Law holds",IF(O32&gt;1,"Draining a line left from earlier","Line still building")),"Hardly any line")))</f>
        <v>Steady: Little's Law holds</v>
      </c>
    </row>
    <row r="33" customFormat="false" ht="21.75" hidden="false" customHeight="true" outlineLevel="0" collapsed="false">
      <c r="A33" s="13" t="s">
        <v>324</v>
      </c>
      <c r="B33" s="13" t="s">
        <v>325</v>
      </c>
      <c r="C33" s="26" t="s">
        <v>347</v>
      </c>
      <c r="D33" s="50" t="n">
        <f aca="false">'Sim Data'!$E$28</f>
        <v>19.005</v>
      </c>
      <c r="E33" s="51" t="n">
        <f aca="false">'Sim Data'!$G$28</f>
        <v>0.1009</v>
      </c>
      <c r="F33" s="52" t="n">
        <f aca="false">IF(E33&gt;0,1/E33,Assumptions!$B$21)</f>
        <v>9.91080277502478</v>
      </c>
      <c r="G33" s="53" t="n">
        <f aca="false">Assumptions!$B$20</f>
        <v>2</v>
      </c>
      <c r="H33" s="54" t="n">
        <f aca="false">D33/(G33*F33)</f>
        <v>0.95880225</v>
      </c>
      <c r="I33" s="26" t="str">
        <f aca="false">IF(D33=0,"no arrivals",IF(H33&lt;0.85,"stable",IF(H33&lt;1,"near capacity","over capacity")))</f>
        <v>near capacity</v>
      </c>
      <c r="J33" s="47" t="n">
        <f aca="false">IF(AND(D33&gt;0,H33&lt;1),((D33/F33)^G33/FACT(G33)/(1-H33))/(SUMPRODUCT(--({0,1,2,3,4,5,6,7,8,9}&lt;G33),(D33/F33)^{0,1,2,3,4,5,6,7,8,9}/FACT({0,1,2,3,4,5,6,7,8,9}))+((D33/F33)^G33/FACT(G33)/(1-H33)))/(G33*F33-D33),"—")</f>
        <v>1.14943697456735</v>
      </c>
      <c r="K33" s="47" t="n">
        <f aca="false">IF(ISNUMBER(J33),(1+Assumptions!$B$22^2)/2*J33,"—")</f>
        <v>0.781617142705799</v>
      </c>
      <c r="L33" s="55" t="n">
        <f aca="false">'Sim Data'!$F$28</f>
        <v>0.613</v>
      </c>
      <c r="M33" s="50" t="n">
        <f aca="false">'Sim Data'!$H$28</f>
        <v>11.2764</v>
      </c>
      <c r="N33" s="52" t="n">
        <f aca="false">D33*L33</f>
        <v>11.650065</v>
      </c>
      <c r="O33" s="47" t="n">
        <f aca="false">IF(MAX(M33,N33)&lt;0.5,"both ≈ 0",IF(N33=0,"no new arrivals",M33/N33))</f>
        <v>0.967925930027</v>
      </c>
      <c r="P33" s="13" t="str">
        <f aca="false">IF(D33=0,"",IF(H33&gt;=1,"No steady state: the line grows by about "&amp;TEXT((D33-G33*F33)*10,"0")&amp;" in 10 min",IF(ISNUMBER(O33),IF(ABS(O33-1)&lt;=0.2,"Steady: Little's Law holds",IF(O33&gt;1,"Draining a line left from earlier","Line still building")),"Hardly any line")))</f>
        <v>Steady: Little's Law holds</v>
      </c>
    </row>
    <row r="34" customFormat="false" ht="21.75" hidden="false" customHeight="true" outlineLevel="0" collapsed="false">
      <c r="A34" s="13" t="s">
        <v>324</v>
      </c>
      <c r="B34" s="13" t="s">
        <v>325</v>
      </c>
      <c r="C34" s="26" t="s">
        <v>155</v>
      </c>
      <c r="D34" s="50" t="n">
        <f aca="false">'Sim Data'!$E$29</f>
        <v>22.575</v>
      </c>
      <c r="E34" s="51" t="n">
        <f aca="false">'Sim Data'!$G$29</f>
        <v>0.1002</v>
      </c>
      <c r="F34" s="52" t="n">
        <f aca="false">IF(E34&gt;0,1/E34,Assumptions!$B$21)</f>
        <v>9.98003992015968</v>
      </c>
      <c r="G34" s="53" t="n">
        <f aca="false">Assumptions!$B$20</f>
        <v>2</v>
      </c>
      <c r="H34" s="54" t="n">
        <f aca="false">D34/(G34*F34)</f>
        <v>1.1310075</v>
      </c>
      <c r="I34" s="26" t="str">
        <f aca="false">IF(D34=0,"no arrivals",IF(H34&lt;0.85,"stable",IF(H34&lt;1,"near capacity","over capacity")))</f>
        <v>over capacity</v>
      </c>
      <c r="J34" s="47" t="str">
        <f aca="false">IF(AND(D34&gt;0,H34&lt;1),((D34/F34)^G34/FACT(G34)/(1-H34))/(SUMPRODUCT(--({0,1,2,3,4,5,6,7,8,9}&lt;G34),(D34/F34)^{0,1,2,3,4,5,6,7,8,9}/FACT({0,1,2,3,4,5,6,7,8,9}))+((D34/F34)^G34/FACT(G34)/(1-H34)))/(G34*F34-D34),"—")</f>
        <v>—</v>
      </c>
      <c r="K34" s="47" t="str">
        <f aca="false">IF(ISNUMBER(J34),(1+Assumptions!$B$22^2)/2*J34,"—")</f>
        <v>—</v>
      </c>
      <c r="L34" s="55" t="n">
        <f aca="false">'Sim Data'!$F$29</f>
        <v>1.3246</v>
      </c>
      <c r="M34" s="50" t="n">
        <f aca="false">'Sim Data'!$H$29</f>
        <v>25.1983</v>
      </c>
      <c r="N34" s="52" t="n">
        <f aca="false">D34*L34</f>
        <v>29.902845</v>
      </c>
      <c r="O34" s="47" t="n">
        <f aca="false">IF(MAX(M34,N34)&lt;0.5,"both ≈ 0",IF(N34=0,"no new arrivals",M34/N34))</f>
        <v>0.842672327666481</v>
      </c>
      <c r="P34" s="13" t="str">
        <f aca="false">IF(D34=0,"",IF(H34&gt;=1,"No steady state: the line grows by about "&amp;TEXT((D34-G34*F34)*10,"0")&amp;" in 10 min",IF(ISNUMBER(O34),IF(ABS(O34-1)&lt;=0.2,"Steady: Little's Law holds",IF(O34&gt;1,"Draining a line left from earlier","Line still building")),"Hardly any line")))</f>
        <v>No steady state: the line grows by about 26 in 10 min</v>
      </c>
    </row>
    <row r="35" customFormat="false" ht="21.75" hidden="false" customHeight="true" outlineLevel="0" collapsed="false">
      <c r="A35" s="13" t="s">
        <v>324</v>
      </c>
      <c r="B35" s="13" t="s">
        <v>325</v>
      </c>
      <c r="C35" s="26" t="s">
        <v>159</v>
      </c>
      <c r="D35" s="50" t="n">
        <f aca="false">'Sim Data'!$E$30</f>
        <v>20.555</v>
      </c>
      <c r="E35" s="51" t="n">
        <f aca="false">'Sim Data'!$G$30</f>
        <v>0.0983</v>
      </c>
      <c r="F35" s="52" t="n">
        <f aca="false">IF(E35&gt;0,1/E35,Assumptions!$B$21)</f>
        <v>10.1729399796541</v>
      </c>
      <c r="G35" s="53" t="n">
        <f aca="false">Assumptions!$B$20</f>
        <v>2</v>
      </c>
      <c r="H35" s="54" t="n">
        <f aca="false">D35/(G35*F35)</f>
        <v>1.01027825</v>
      </c>
      <c r="I35" s="26" t="str">
        <f aca="false">IF(D35=0,"no arrivals",IF(H35&lt;0.85,"stable",IF(H35&lt;1,"near capacity","over capacity")))</f>
        <v>over capacity</v>
      </c>
      <c r="J35" s="47" t="str">
        <f aca="false">IF(AND(D35&gt;0,H35&lt;1),((D35/F35)^G35/FACT(G35)/(1-H35))/(SUMPRODUCT(--({0,1,2,3,4,5,6,7,8,9}&lt;G35),(D35/F35)^{0,1,2,3,4,5,6,7,8,9}/FACT({0,1,2,3,4,5,6,7,8,9}))+((D35/F35)^G35/FACT(G35)/(1-H35)))/(G35*F35-D35),"—")</f>
        <v>—</v>
      </c>
      <c r="K35" s="47" t="str">
        <f aca="false">IF(ISNUMBER(J35),(1+Assumptions!$B$22^2)/2*J35,"—")</f>
        <v>—</v>
      </c>
      <c r="L35" s="55" t="n">
        <f aca="false">'Sim Data'!$F$30</f>
        <v>2.4614</v>
      </c>
      <c r="M35" s="50" t="n">
        <f aca="false">'Sim Data'!$H$30</f>
        <v>45.0696</v>
      </c>
      <c r="N35" s="52" t="n">
        <f aca="false">D35*L35</f>
        <v>50.594077</v>
      </c>
      <c r="O35" s="47" t="n">
        <f aca="false">IF(MAX(M35,N35)&lt;0.5,"both ≈ 0",IF(N35=0,"no new arrivals",M35/N35))</f>
        <v>0.890807831122208</v>
      </c>
      <c r="P35" s="13" t="str">
        <f aca="false">IF(D35=0,"",IF(H35&gt;=1,"No steady state: the line grows by about "&amp;TEXT((D35-G35*F35)*10,"0")&amp;" in 10 min",IF(ISNUMBER(O35),IF(ABS(O35-1)&lt;=0.2,"Steady: Little's Law holds",IF(O35&gt;1,"Draining a line left from earlier","Line still building")),"Hardly any line")))</f>
        <v>No steady state: the line grows by about 2 in 10 min</v>
      </c>
    </row>
    <row r="36" customFormat="false" ht="21.75" hidden="false" customHeight="true" outlineLevel="0" collapsed="false">
      <c r="A36" s="13" t="s">
        <v>324</v>
      </c>
      <c r="B36" s="13" t="s">
        <v>325</v>
      </c>
      <c r="C36" s="26" t="s">
        <v>162</v>
      </c>
      <c r="D36" s="50" t="n">
        <f aca="false">'Sim Data'!$E$31</f>
        <v>17.265</v>
      </c>
      <c r="E36" s="51" t="n">
        <f aca="false">'Sim Data'!$G$31</f>
        <v>0.1002</v>
      </c>
      <c r="F36" s="52" t="n">
        <f aca="false">IF(E36&gt;0,1/E36,Assumptions!$B$21)</f>
        <v>9.98003992015968</v>
      </c>
      <c r="G36" s="53" t="n">
        <f aca="false">Assumptions!$B$20</f>
        <v>2</v>
      </c>
      <c r="H36" s="54" t="n">
        <f aca="false">D36/(G36*F36)</f>
        <v>0.8649765</v>
      </c>
      <c r="I36" s="26" t="str">
        <f aca="false">IF(D36=0,"no arrivals",IF(H36&lt;0.85,"stable",IF(H36&lt;1,"near capacity","over capacity")))</f>
        <v>near capacity</v>
      </c>
      <c r="J36" s="47" t="n">
        <f aca="false">IF(AND(D36&gt;0,H36&lt;1),((D36/F36)^G36/FACT(G36)/(1-H36))/(SUMPRODUCT(--({0,1,2,3,4,5,6,7,8,9}&lt;G36),(D36/F36)^{0,1,2,3,4,5,6,7,8,9}/FACT({0,1,2,3,4,5,6,7,8,9}))+((D36/F36)^G36/FACT(G36)/(1-H36)))/(G36*F36-D36),"—")</f>
        <v>0.297710130804798</v>
      </c>
      <c r="K36" s="47" t="n">
        <f aca="false">IF(ISNUMBER(J36),(1+Assumptions!$B$22^2)/2*J36,"—")</f>
        <v>0.202442888947262</v>
      </c>
      <c r="L36" s="55" t="n">
        <f aca="false">'Sim Data'!$F$31</f>
        <v>2.6137</v>
      </c>
      <c r="M36" s="50" t="n">
        <f aca="false">'Sim Data'!$H$31</f>
        <v>47.1154</v>
      </c>
      <c r="N36" s="52" t="n">
        <f aca="false">D36*L36</f>
        <v>45.1255305</v>
      </c>
      <c r="O36" s="47" t="n">
        <f aca="false">IF(MAX(M36,N36)&lt;0.5,"both ≈ 0",IF(N36=0,"no new arrivals",M36/N36))</f>
        <v>1.04409631261842</v>
      </c>
      <c r="P36" s="13" t="str">
        <f aca="false">IF(D36=0,"",IF(H36&gt;=1,"No steady state: the line grows by about "&amp;TEXT((D36-G36*F36)*10,"0")&amp;" in 10 min",IF(ISNUMBER(O36),IF(ABS(O36-1)&lt;=0.2,"Steady: Little's Law holds",IF(O36&gt;1,"Draining a line left from earlier","Line still building")),"Hardly any line")))</f>
        <v>Steady: Little's Law holds</v>
      </c>
    </row>
    <row r="37" customFormat="false" ht="21.75" hidden="false" customHeight="true" outlineLevel="0" collapsed="false">
      <c r="A37" s="13" t="s">
        <v>324</v>
      </c>
      <c r="B37" s="13" t="s">
        <v>325</v>
      </c>
      <c r="C37" s="26" t="s">
        <v>147</v>
      </c>
      <c r="D37" s="50" t="n">
        <f aca="false">'Sim Data'!$E$32</f>
        <v>21.335</v>
      </c>
      <c r="E37" s="51" t="n">
        <f aca="false">'Sim Data'!$G$32</f>
        <v>0.0998</v>
      </c>
      <c r="F37" s="52" t="n">
        <f aca="false">IF(E37&gt;0,1/E37,Assumptions!$B$21)</f>
        <v>10.0200400801603</v>
      </c>
      <c r="G37" s="53" t="n">
        <f aca="false">Assumptions!$B$20</f>
        <v>2</v>
      </c>
      <c r="H37" s="54" t="n">
        <f aca="false">D37/(G37*F37)</f>
        <v>1.0646165</v>
      </c>
      <c r="I37" s="26" t="str">
        <f aca="false">IF(D37=0,"no arrivals",IF(H37&lt;0.85,"stable",IF(H37&lt;1,"near capacity","over capacity")))</f>
        <v>over capacity</v>
      </c>
      <c r="J37" s="47" t="str">
        <f aca="false">IF(AND(D37&gt;0,H37&lt;1),((D37/F37)^G37/FACT(G37)/(1-H37))/(SUMPRODUCT(--({0,1,2,3,4,5,6,7,8,9}&lt;G37),(D37/F37)^{0,1,2,3,4,5,6,7,8,9}/FACT({0,1,2,3,4,5,6,7,8,9}))+((D37/F37)^G37/FACT(G37)/(1-H37)))/(G37*F37-D37),"—")</f>
        <v>—</v>
      </c>
      <c r="K37" s="47" t="str">
        <f aca="false">IF(ISNUMBER(J37),(1+Assumptions!$B$22^2)/2*J37,"—")</f>
        <v>—</v>
      </c>
      <c r="L37" s="55" t="n">
        <f aca="false">'Sim Data'!$F$32</f>
        <v>2.0437</v>
      </c>
      <c r="M37" s="50" t="n">
        <f aca="false">'Sim Data'!$H$32</f>
        <v>38.4499</v>
      </c>
      <c r="N37" s="52" t="n">
        <f aca="false">D37*L37</f>
        <v>43.6023395</v>
      </c>
      <c r="O37" s="47" t="n">
        <f aca="false">IF(MAX(M37,N37)&lt;0.5,"both ≈ 0",IF(N37=0,"no new arrivals",M37/N37))</f>
        <v>0.881831122846057</v>
      </c>
      <c r="P37" s="13" t="str">
        <f aca="false">IF(D37=0,"",IF(H37&gt;=1,"No steady state: the line grows by about "&amp;TEXT((D37-G37*F37)*10,"0")&amp;" in 10 min",IF(ISNUMBER(O37),IF(ABS(O37-1)&lt;=0.2,"Steady: Little's Law holds",IF(O37&gt;1,"Draining a line left from earlier","Line still building")),"Hardly any line")))</f>
        <v>No steady state: the line grows by about 13 in 10 min</v>
      </c>
    </row>
    <row r="38" customFormat="false" ht="21.75" hidden="false" customHeight="true" outlineLevel="0" collapsed="false">
      <c r="A38" s="13" t="s">
        <v>324</v>
      </c>
      <c r="B38" s="13" t="s">
        <v>325</v>
      </c>
      <c r="C38" s="26" t="s">
        <v>348</v>
      </c>
      <c r="D38" s="50" t="n">
        <f aca="false">'Sim Data'!$E$33</f>
        <v>29.14</v>
      </c>
      <c r="E38" s="51" t="n">
        <f aca="false">'Sim Data'!$G$33</f>
        <v>0.1006</v>
      </c>
      <c r="F38" s="52" t="n">
        <f aca="false">IF(E38&gt;0,1/E38,Assumptions!$B$21)</f>
        <v>9.9403578528827</v>
      </c>
      <c r="G38" s="53" t="n">
        <f aca="false">Assumptions!$B$20</f>
        <v>2</v>
      </c>
      <c r="H38" s="54" t="n">
        <f aca="false">D38/(G38*F38)</f>
        <v>1.465742</v>
      </c>
      <c r="I38" s="26" t="str">
        <f aca="false">IF(D38=0,"no arrivals",IF(H38&lt;0.85,"stable",IF(H38&lt;1,"near capacity","over capacity")))</f>
        <v>over capacity</v>
      </c>
      <c r="J38" s="47" t="str">
        <f aca="false">IF(AND(D38&gt;0,H38&lt;1),((D38/F38)^G38/FACT(G38)/(1-H38))/(SUMPRODUCT(--({0,1,2,3,4,5,6,7,8,9}&lt;G38),(D38/F38)^{0,1,2,3,4,5,6,7,8,9}/FACT({0,1,2,3,4,5,6,7,8,9}))+((D38/F38)^G38/FACT(G38)/(1-H38)))/(G38*F38-D38),"—")</f>
        <v>—</v>
      </c>
      <c r="K38" s="47" t="str">
        <f aca="false">IF(ISNUMBER(J38),(1+Assumptions!$B$22^2)/2*J38,"—")</f>
        <v>—</v>
      </c>
      <c r="L38" s="55" t="n">
        <f aca="false">'Sim Data'!$F$33</f>
        <v>5.2853</v>
      </c>
      <c r="M38" s="50" t="n">
        <f aca="false">'Sim Data'!$H$33</f>
        <v>104.4255</v>
      </c>
      <c r="N38" s="52" t="n">
        <f aca="false">D38*L38</f>
        <v>154.013642</v>
      </c>
      <c r="O38" s="47" t="n">
        <f aca="false">IF(MAX(M38,N38)&lt;0.5,"both ≈ 0",IF(N38=0,"no new arrivals",M38/N38))</f>
        <v>0.678027599658996</v>
      </c>
      <c r="P38" s="13" t="str">
        <f aca="false">IF(D38=0,"",IF(H38&gt;=1,"No steady state: the line grows by about "&amp;TEXT((D38-G38*F38)*10,"0")&amp;" in 10 min",IF(ISNUMBER(O38),IF(ABS(O38-1)&lt;=0.2,"Steady: Little's Law holds",IF(O38&gt;1,"Draining a line left from earlier","Line still building")),"Hardly any line")))</f>
        <v>No steady state: the line grows by about 93 in 10 min</v>
      </c>
    </row>
    <row r="39" customFormat="false" ht="21.75" hidden="false" customHeight="true" outlineLevel="0" collapsed="false">
      <c r="A39" s="13" t="s">
        <v>324</v>
      </c>
      <c r="B39" s="13" t="s">
        <v>325</v>
      </c>
      <c r="C39" s="26" t="s">
        <v>349</v>
      </c>
      <c r="D39" s="50" t="n">
        <f aca="false">'Sim Data'!$E$34</f>
        <v>28.73</v>
      </c>
      <c r="E39" s="51" t="n">
        <f aca="false">'Sim Data'!$G$34</f>
        <v>0.1023</v>
      </c>
      <c r="F39" s="52" t="n">
        <f aca="false">IF(E39&gt;0,1/E39,Assumptions!$B$21)</f>
        <v>9.77517106549365</v>
      </c>
      <c r="G39" s="53" t="n">
        <f aca="false">Assumptions!$B$20</f>
        <v>2</v>
      </c>
      <c r="H39" s="54" t="n">
        <f aca="false">D39/(G39*F39)</f>
        <v>1.4695395</v>
      </c>
      <c r="I39" s="26" t="str">
        <f aca="false">IF(D39=0,"no arrivals",IF(H39&lt;0.85,"stable",IF(H39&lt;1,"near capacity","over capacity")))</f>
        <v>over capacity</v>
      </c>
      <c r="J39" s="47" t="str">
        <f aca="false">IF(AND(D39&gt;0,H39&lt;1),((D39/F39)^G39/FACT(G39)/(1-H39))/(SUMPRODUCT(--({0,1,2,3,4,5,6,7,8,9}&lt;G39),(D39/F39)^{0,1,2,3,4,5,6,7,8,9}/FACT({0,1,2,3,4,5,6,7,8,9}))+((D39/F39)^G39/FACT(G39)/(1-H39)))/(G39*F39-D39),"—")</f>
        <v>—</v>
      </c>
      <c r="K39" s="47" t="str">
        <f aca="false">IF(ISNUMBER(J39),(1+Assumptions!$B$22^2)/2*J39,"—")</f>
        <v>—</v>
      </c>
      <c r="L39" s="55" t="n">
        <f aca="false">'Sim Data'!$F$34</f>
        <v>10.5469</v>
      </c>
      <c r="M39" s="50" t="n">
        <f aca="false">'Sim Data'!$H$34</f>
        <v>197.4126</v>
      </c>
      <c r="N39" s="52" t="n">
        <f aca="false">D39*L39</f>
        <v>303.012437</v>
      </c>
      <c r="O39" s="47" t="n">
        <f aca="false">IF(MAX(M39,N39)&lt;0.5,"both ≈ 0",IF(N39=0,"no new arrivals",M39/N39))</f>
        <v>0.651499991071324</v>
      </c>
      <c r="P39" s="13" t="str">
        <f aca="false">IF(D39=0,"",IF(H39&gt;=1,"No steady state: the line grows by about "&amp;TEXT((D39-G39*F39)*10,"0")&amp;" in 10 min",IF(ISNUMBER(O39),IF(ABS(O39-1)&lt;=0.2,"Steady: Little's Law holds",IF(O39&gt;1,"Draining a line left from earlier","Line still building")),"Hardly any line")))</f>
        <v>No steady state: the line grows by about 92 in 10 min</v>
      </c>
    </row>
    <row r="40" customFormat="false" ht="21.75" hidden="false" customHeight="true" outlineLevel="0" collapsed="false">
      <c r="A40" s="13" t="s">
        <v>324</v>
      </c>
      <c r="B40" s="13" t="s">
        <v>325</v>
      </c>
      <c r="C40" s="26" t="s">
        <v>156</v>
      </c>
      <c r="D40" s="50" t="n">
        <f aca="false">'Sim Data'!$E$35</f>
        <v>22.625</v>
      </c>
      <c r="E40" s="51" t="n">
        <f aca="false">'Sim Data'!$G$35</f>
        <v>0.0995</v>
      </c>
      <c r="F40" s="52" t="n">
        <f aca="false">IF(E40&gt;0,1/E40,Assumptions!$B$21)</f>
        <v>10.0502512562814</v>
      </c>
      <c r="G40" s="53" t="n">
        <f aca="false">Assumptions!$B$20</f>
        <v>2</v>
      </c>
      <c r="H40" s="54" t="n">
        <f aca="false">D40/(G40*F40)</f>
        <v>1.12559375</v>
      </c>
      <c r="I40" s="26" t="str">
        <f aca="false">IF(D40=0,"no arrivals",IF(H40&lt;0.85,"stable",IF(H40&lt;1,"near capacity","over capacity")))</f>
        <v>over capacity</v>
      </c>
      <c r="J40" s="47" t="str">
        <f aca="false">IF(AND(D40&gt;0,H40&lt;1),((D40/F40)^G40/FACT(G40)/(1-H40))/(SUMPRODUCT(--({0,1,2,3,4,5,6,7,8,9}&lt;G40),(D40/F40)^{0,1,2,3,4,5,6,7,8,9}/FACT({0,1,2,3,4,5,6,7,8,9}))+((D40/F40)^G40/FACT(G40)/(1-H40)))/(G40*F40-D40),"—")</f>
        <v>—</v>
      </c>
      <c r="K40" s="47" t="str">
        <f aca="false">IF(ISNUMBER(J40),(1+Assumptions!$B$22^2)/2*J40,"—")</f>
        <v>—</v>
      </c>
      <c r="L40" s="55" t="n">
        <f aca="false">'Sim Data'!$F$35</f>
        <v>14.4096</v>
      </c>
      <c r="M40" s="50" t="n">
        <f aca="false">'Sim Data'!$H$35</f>
        <v>266.448</v>
      </c>
      <c r="N40" s="52" t="n">
        <f aca="false">D40*L40</f>
        <v>326.0172</v>
      </c>
      <c r="O40" s="47" t="n">
        <f aca="false">IF(MAX(M40,N40)&lt;0.5,"both ≈ 0",IF(N40=0,"no new arrivals",M40/N40))</f>
        <v>0.817282032972493</v>
      </c>
      <c r="P40" s="13" t="str">
        <f aca="false">IF(D40=0,"",IF(H40&gt;=1,"No steady state: the line grows by about "&amp;TEXT((D40-G40*F40)*10,"0")&amp;" in 10 min",IF(ISNUMBER(O40),IF(ABS(O40-1)&lt;=0.2,"Steady: Little's Law holds",IF(O40&gt;1,"Draining a line left from earlier","Line still building")),"Hardly any line")))</f>
        <v>No steady state: the line grows by about 25 in 10 min</v>
      </c>
    </row>
    <row r="41" customFormat="false" ht="21.75" hidden="false" customHeight="true" outlineLevel="0" collapsed="false">
      <c r="A41" s="13" t="s">
        <v>324</v>
      </c>
      <c r="B41" s="13" t="s">
        <v>325</v>
      </c>
      <c r="C41" s="26" t="s">
        <v>160</v>
      </c>
      <c r="D41" s="50" t="n">
        <f aca="false">'Sim Data'!$E$36</f>
        <v>14.975</v>
      </c>
      <c r="E41" s="51" t="n">
        <f aca="false">'Sim Data'!$G$36</f>
        <v>0.0994</v>
      </c>
      <c r="F41" s="52" t="n">
        <f aca="false">IF(E41&gt;0,1/E41,Assumptions!$B$21)</f>
        <v>10.0603621730382</v>
      </c>
      <c r="G41" s="53" t="n">
        <f aca="false">Assumptions!$B$20</f>
        <v>2</v>
      </c>
      <c r="H41" s="54" t="n">
        <f aca="false">D41/(G41*F41)</f>
        <v>0.7442575</v>
      </c>
      <c r="I41" s="26" t="str">
        <f aca="false">IF(D41=0,"no arrivals",IF(H41&lt;0.85,"stable",IF(H41&lt;1,"near capacity","over capacity")))</f>
        <v>stable</v>
      </c>
      <c r="J41" s="47" t="n">
        <f aca="false">IF(AND(D41&gt;0,H41&lt;1),((D41/F41)^G41/FACT(G41)/(1-H41))/(SUMPRODUCT(--({0,1,2,3,4,5,6,7,8,9}&lt;G41),(D41/F41)^{0,1,2,3,4,5,6,7,8,9}/FACT({0,1,2,3,4,5,6,7,8,9}))+((D41/F41)^G41/FACT(G41)/(1-H41)))/(G41*F41-D41),"—")</f>
        <v>0.123429599170848</v>
      </c>
      <c r="K41" s="47" t="n">
        <f aca="false">IF(ISNUMBER(J41),(1+Assumptions!$B$22^2)/2*J41,"—")</f>
        <v>0.0839321274361766</v>
      </c>
      <c r="L41" s="55" t="n">
        <f aca="false">'Sim Data'!$F$36</f>
        <v>13.9149</v>
      </c>
      <c r="M41" s="50" t="n">
        <f aca="false">'Sim Data'!$H$36</f>
        <v>274.8418</v>
      </c>
      <c r="N41" s="52" t="n">
        <f aca="false">D41*L41</f>
        <v>208.3756275</v>
      </c>
      <c r="O41" s="47" t="n">
        <f aca="false">IF(MAX(M41,N41)&lt;0.5,"both ≈ 0",IF(N41=0,"no new arrivals",M41/N41))</f>
        <v>1.31897287267917</v>
      </c>
      <c r="P41" s="13" t="str">
        <f aca="false">IF(D41=0,"",IF(H41&gt;=1,"No steady state: the line grows by about "&amp;TEXT((D41-G41*F41)*10,"0")&amp;" in 10 min",IF(ISNUMBER(O41),IF(ABS(O41-1)&lt;=0.2,"Steady: Little's Law holds",IF(O41&gt;1,"Draining a line left from earlier","Line still building")),"Hardly any line")))</f>
        <v>Draining a line left from earlier</v>
      </c>
    </row>
    <row r="42" customFormat="false" ht="21.75" hidden="false" customHeight="true" outlineLevel="0" collapsed="false">
      <c r="A42" s="13" t="s">
        <v>324</v>
      </c>
      <c r="B42" s="13" t="s">
        <v>325</v>
      </c>
      <c r="C42" s="26" t="s">
        <v>163</v>
      </c>
      <c r="D42" s="50" t="n">
        <f aca="false">'Sim Data'!$E$37</f>
        <v>7.47</v>
      </c>
      <c r="E42" s="51" t="n">
        <f aca="false">'Sim Data'!$G$37</f>
        <v>0.0991</v>
      </c>
      <c r="F42" s="52" t="n">
        <f aca="false">IF(E42&gt;0,1/E42,Assumptions!$B$21)</f>
        <v>10.0908173562059</v>
      </c>
      <c r="G42" s="53" t="n">
        <f aca="false">Assumptions!$B$20</f>
        <v>2</v>
      </c>
      <c r="H42" s="54" t="n">
        <f aca="false">D42/(G42*F42)</f>
        <v>0.3701385</v>
      </c>
      <c r="I42" s="26" t="str">
        <f aca="false">IF(D42=0,"no arrivals",IF(H42&lt;0.85,"stable",IF(H42&lt;1,"near capacity","over capacity")))</f>
        <v>stable</v>
      </c>
      <c r="J42" s="47" t="n">
        <f aca="false">IF(AND(D42&gt;0,H42&lt;1),((D42/F42)^G42/FACT(G42)/(1-H42))/(SUMPRODUCT(--({0,1,2,3,4,5,6,7,8,9}&lt;G42),(D42/F42)^{0,1,2,3,4,5,6,7,8,9}/FACT({0,1,2,3,4,5,6,7,8,9}))+((D42/F42)^G42/FACT(G42)/(1-H42)))/(G42*F42-D42),"—")</f>
        <v>0.0157323153362774</v>
      </c>
      <c r="K42" s="47" t="n">
        <f aca="false">IF(ISNUMBER(J42),(1+Assumptions!$B$22^2)/2*J42,"—")</f>
        <v>0.0106979744286686</v>
      </c>
      <c r="L42" s="55" t="n">
        <f aca="false">'Sim Data'!$F$37</f>
        <v>9.6599</v>
      </c>
      <c r="M42" s="50" t="n">
        <f aca="false">'Sim Data'!$H$37</f>
        <v>188.3463</v>
      </c>
      <c r="N42" s="52" t="n">
        <f aca="false">D42*L42</f>
        <v>72.159453</v>
      </c>
      <c r="O42" s="47" t="n">
        <f aca="false">IF(MAX(M42,N42)&lt;0.5,"both ≈ 0",IF(N42=0,"no new arrivals",M42/N42))</f>
        <v>2.61014035125793</v>
      </c>
      <c r="P42" s="13" t="str">
        <f aca="false">IF(D42=0,"",IF(H42&gt;=1,"No steady state: the line grows by about "&amp;TEXT((D42-G42*F42)*10,"0")&amp;" in 10 min",IF(ISNUMBER(O42),IF(ABS(O42-1)&lt;=0.2,"Steady: Little's Law holds",IF(O42&gt;1,"Draining a line left from earlier","Line still building")),"Hardly any line")))</f>
        <v>Draining a line left from earlier</v>
      </c>
    </row>
    <row r="43" customFormat="false" ht="21.75" hidden="false" customHeight="true" outlineLevel="0" collapsed="false">
      <c r="A43" s="13" t="s">
        <v>324</v>
      </c>
      <c r="B43" s="13" t="s">
        <v>325</v>
      </c>
      <c r="C43" s="26" t="s">
        <v>150</v>
      </c>
      <c r="D43" s="50" t="n">
        <f aca="false">'Sim Data'!$E$38</f>
        <v>0.28</v>
      </c>
      <c r="E43" s="51" t="n">
        <f aca="false">'Sim Data'!$G$38</f>
        <v>0.1103</v>
      </c>
      <c r="F43" s="52" t="n">
        <f aca="false">IF(E43&gt;0,1/E43,Assumptions!$B$21)</f>
        <v>9.06618313689937</v>
      </c>
      <c r="G43" s="53" t="n">
        <f aca="false">Assumptions!$B$20</f>
        <v>2</v>
      </c>
      <c r="H43" s="54" t="n">
        <f aca="false">D43/(G43*F43)</f>
        <v>0.015442</v>
      </c>
      <c r="I43" s="26" t="str">
        <f aca="false">IF(D43=0,"no arrivals",IF(H43&lt;0.85,"stable",IF(H43&lt;1,"near capacity","over capacity")))</f>
        <v>stable</v>
      </c>
      <c r="J43" s="47" t="n">
        <f aca="false">IF(AND(D43&gt;0,H43&lt;1),((D43/F43)^G43/FACT(G43)/(1-H43))/(SUMPRODUCT(--({0,1,2,3,4,5,6,7,8,9}&lt;G43),(D43/F43)^{0,1,2,3,4,5,6,7,8,9}/FACT({0,1,2,3,4,5,6,7,8,9}))+((D43/F43)^G43/FACT(G43)/(1-H43)))/(G43*F43-D43),"—")</f>
        <v>2.63078999090489E-005</v>
      </c>
      <c r="K43" s="47" t="n">
        <f aca="false">IF(ISNUMBER(J43),(1+Assumptions!$B$22^2)/2*J43,"—")</f>
        <v>1.78893719381532E-005</v>
      </c>
      <c r="L43" s="55" t="n">
        <f aca="false">'Sim Data'!$F$38</f>
        <v>5.062</v>
      </c>
      <c r="M43" s="50" t="n">
        <f aca="false">'Sim Data'!$H$38</f>
        <v>46.0897</v>
      </c>
      <c r="N43" s="52" t="n">
        <f aca="false">D43*L43</f>
        <v>1.41736</v>
      </c>
      <c r="O43" s="47" t="n">
        <f aca="false">IF(MAX(M43,N43)&lt;0.5,"both ≈ 0",IF(N43=0,"no new arrivals",M43/N43))</f>
        <v>32.5179911948976</v>
      </c>
      <c r="P43" s="13" t="str">
        <f aca="false">IF(D43=0,"",IF(H43&gt;=1,"No steady state: the line grows by about "&amp;TEXT((D43-G43*F43)*10,"0")&amp;" in 10 min",IF(ISNUMBER(O43),IF(ABS(O43-1)&lt;=0.2,"Steady: Little's Law holds",IF(O43&gt;1,"Draining a line left from earlier","Line still building")),"Hardly any line")))</f>
        <v>Draining a line left from earlier</v>
      </c>
    </row>
    <row r="44" customFormat="false" ht="21.75" hidden="false" customHeight="true" outlineLevel="0" collapsed="false">
      <c r="A44" s="13" t="s">
        <v>324</v>
      </c>
      <c r="B44" s="13" t="s">
        <v>325</v>
      </c>
      <c r="C44" s="26" t="s">
        <v>350</v>
      </c>
      <c r="D44" s="50" t="n">
        <f aca="false">'Sim Data'!$E$39</f>
        <v>0</v>
      </c>
      <c r="E44" s="51" t="n">
        <f aca="false">'Sim Data'!$G$39</f>
        <v>0</v>
      </c>
      <c r="F44" s="52" t="n">
        <f aca="false">IF(E44&gt;0,1/E44,Assumptions!$B$21)</f>
        <v>10</v>
      </c>
      <c r="G44" s="53" t="n">
        <f aca="false">Assumptions!$B$20</f>
        <v>2</v>
      </c>
      <c r="H44" s="54" t="n">
        <f aca="false">D44/(G44*F44)</f>
        <v>0</v>
      </c>
      <c r="I44" s="26" t="str">
        <f aca="false">IF(D44=0,"no arrivals",IF(H44&lt;0.85,"stable",IF(H44&lt;1,"near capacity","over capacity")))</f>
        <v>no arrivals</v>
      </c>
      <c r="J44" s="47" t="str">
        <f aca="false">IF(AND(D44&gt;0,H44&lt;1),((D44/F44)^G44/FACT(G44)/(1-H44))/(SUMPRODUCT(--({0,1,2,3,4,5,6,7,8,9}&lt;G44),(D44/F44)^{0,1,2,3,4,5,6,7,8,9}/FACT({0,1,2,3,4,5,6,7,8,9}))+((D44/F44)^G44/FACT(G44)/(1-H44)))/(G44*F44-D44),"—")</f>
        <v>—</v>
      </c>
      <c r="K44" s="47" t="str">
        <f aca="false">IF(ISNUMBER(J44),(1+Assumptions!$B$22^2)/2*J44,"—")</f>
        <v>—</v>
      </c>
      <c r="L44" s="55" t="n">
        <f aca="false">'Sim Data'!$F$39</f>
        <v>0</v>
      </c>
      <c r="M44" s="50" t="n">
        <f aca="false">'Sim Data'!$H$39</f>
        <v>1.462</v>
      </c>
      <c r="N44" s="52" t="n">
        <f aca="false">D44*L44</f>
        <v>0</v>
      </c>
      <c r="O44" s="47" t="str">
        <f aca="false">IF(MAX(M44,N44)&lt;0.5,"both ≈ 0",IF(N44=0,"no new arrivals",M44/N44))</f>
        <v>no new arrivals</v>
      </c>
      <c r="P44" s="13" t="str">
        <f aca="false">IF(D44=0,"",IF(H44&gt;=1,"No steady state: the line grows by about "&amp;TEXT((D44-G44*F44)*10,"0")&amp;" in 10 min",IF(ISNUMBER(O44),IF(ABS(O44-1)&lt;=0.2,"Steady: Little's Law holds",IF(O44&gt;1,"Draining a line left from earlier","Line still building")),"Hardly any line")))</f>
        <v/>
      </c>
    </row>
    <row r="45" customFormat="false" ht="21.75" hidden="false" customHeight="true" outlineLevel="0" collapsed="false">
      <c r="A45" s="13" t="s">
        <v>324</v>
      </c>
      <c r="B45" s="13" t="s">
        <v>325</v>
      </c>
      <c r="C45" s="26" t="s">
        <v>351</v>
      </c>
      <c r="D45" s="50" t="n">
        <f aca="false">'Sim Data'!$E$40</f>
        <v>0</v>
      </c>
      <c r="E45" s="51" t="n">
        <f aca="false">'Sim Data'!$G$40</f>
        <v>0</v>
      </c>
      <c r="F45" s="52" t="n">
        <f aca="false">IF(E45&gt;0,1/E45,Assumptions!$B$21)</f>
        <v>10</v>
      </c>
      <c r="G45" s="53" t="n">
        <f aca="false">Assumptions!$B$20</f>
        <v>2</v>
      </c>
      <c r="H45" s="54" t="n">
        <f aca="false">D45/(G45*F45)</f>
        <v>0</v>
      </c>
      <c r="I45" s="26" t="str">
        <f aca="false">IF(D45=0,"no arrivals",IF(H45&lt;0.85,"stable",IF(H45&lt;1,"near capacity","over capacity")))</f>
        <v>no arrivals</v>
      </c>
      <c r="J45" s="47" t="str">
        <f aca="false">IF(AND(D45&gt;0,H45&lt;1),((D45/F45)^G45/FACT(G45)/(1-H45))/(SUMPRODUCT(--({0,1,2,3,4,5,6,7,8,9}&lt;G45),(D45/F45)^{0,1,2,3,4,5,6,7,8,9}/FACT({0,1,2,3,4,5,6,7,8,9}))+((D45/F45)^G45/FACT(G45)/(1-H45)))/(G45*F45-D45),"—")</f>
        <v>—</v>
      </c>
      <c r="K45" s="47" t="str">
        <f aca="false">IF(ISNUMBER(J45),(1+Assumptions!$B$22^2)/2*J45,"—")</f>
        <v>—</v>
      </c>
      <c r="L45" s="55" t="n">
        <f aca="false">'Sim Data'!$F$40</f>
        <v>0</v>
      </c>
      <c r="M45" s="50" t="n">
        <f aca="false">'Sim Data'!$H$40</f>
        <v>0</v>
      </c>
      <c r="N45" s="52" t="n">
        <f aca="false">D45*L45</f>
        <v>0</v>
      </c>
      <c r="O45" s="47" t="str">
        <f aca="false">IF(MAX(M45,N45)&lt;0.5,"both ≈ 0",IF(N45=0,"no new arrivals",M45/N45))</f>
        <v>both ≈ 0</v>
      </c>
      <c r="P45" s="13" t="str">
        <f aca="false">IF(D45=0,"",IF(H45&gt;=1,"No steady state: the line grows by about "&amp;TEXT((D45-G45*F45)*10,"0")&amp;" in 10 min",IF(ISNUMBER(O45),IF(ABS(O45-1)&lt;=0.2,"Steady: Little's Law holds",IF(O45&gt;1,"Draining a line left from earlier","Line still building")),"Hardly any line")))</f>
        <v/>
      </c>
    </row>
    <row r="46" customFormat="false" ht="21.75" hidden="false" customHeight="true" outlineLevel="0" collapsed="false">
      <c r="A46" s="13" t="s">
        <v>324</v>
      </c>
      <c r="B46" s="13" t="s">
        <v>326</v>
      </c>
      <c r="C46" s="26" t="s">
        <v>343</v>
      </c>
      <c r="D46" s="50" t="n">
        <f aca="false">'Sim Data'!$E$113</f>
        <v>0</v>
      </c>
      <c r="E46" s="51" t="n">
        <f aca="false">'Sim Data'!$G$113</f>
        <v>0</v>
      </c>
      <c r="F46" s="52" t="n">
        <f aca="false">IF(E46&gt;0,1/E46,Assumptions!$B$21)</f>
        <v>10</v>
      </c>
      <c r="G46" s="53" t="n">
        <f aca="false">Assumptions!$B$20</f>
        <v>2</v>
      </c>
      <c r="H46" s="54" t="n">
        <f aca="false">D46/(G46*F46)</f>
        <v>0</v>
      </c>
      <c r="I46" s="26" t="str">
        <f aca="false">IF(D46=0,"no arrivals",IF(H46&lt;0.85,"stable",IF(H46&lt;1,"near capacity","over capacity")))</f>
        <v>no arrivals</v>
      </c>
      <c r="J46" s="47" t="str">
        <f aca="false">IF(AND(D46&gt;0,H46&lt;1),((D46/F46)^G46/FACT(G46)/(1-H46))/(SUMPRODUCT(--({0,1,2,3,4,5,6,7,8,9}&lt;G46),(D46/F46)^{0,1,2,3,4,5,6,7,8,9}/FACT({0,1,2,3,4,5,6,7,8,9}))+((D46/F46)^G46/FACT(G46)/(1-H46)))/(G46*F46-D46),"—")</f>
        <v>—</v>
      </c>
      <c r="K46" s="47" t="str">
        <f aca="false">IF(ISNUMBER(J46),(1+Assumptions!$B$22^2)/2*J46,"—")</f>
        <v>—</v>
      </c>
      <c r="L46" s="55" t="n">
        <f aca="false">'Sim Data'!$F$113</f>
        <v>0</v>
      </c>
      <c r="M46" s="50" t="n">
        <f aca="false">'Sim Data'!$H$113</f>
        <v>0</v>
      </c>
      <c r="N46" s="52" t="n">
        <f aca="false">D46*L46</f>
        <v>0</v>
      </c>
      <c r="O46" s="47" t="str">
        <f aca="false">IF(MAX(M46,N46)&lt;0.5,"both ≈ 0",IF(N46=0,"no new arrivals",M46/N46))</f>
        <v>both ≈ 0</v>
      </c>
      <c r="P46" s="13" t="str">
        <f aca="false">IF(D46=0,"",IF(H46&gt;=1,"No steady state: the line grows by about "&amp;TEXT((D46-G46*F46)*10,"0")&amp;" in 10 min",IF(ISNUMBER(O46),IF(ABS(O46-1)&lt;=0.2,"Steady: Little's Law holds",IF(O46&gt;1,"Draining a line left from earlier","Line still building")),"Hardly any line")))</f>
        <v/>
      </c>
    </row>
    <row r="47" customFormat="false" ht="21.75" hidden="false" customHeight="true" outlineLevel="0" collapsed="false">
      <c r="A47" s="13" t="s">
        <v>324</v>
      </c>
      <c r="B47" s="13" t="s">
        <v>326</v>
      </c>
      <c r="C47" s="26" t="s">
        <v>344</v>
      </c>
      <c r="D47" s="50" t="n">
        <f aca="false">'Sim Data'!$E$114</f>
        <v>0</v>
      </c>
      <c r="E47" s="51" t="n">
        <f aca="false">'Sim Data'!$G$114</f>
        <v>0</v>
      </c>
      <c r="F47" s="52" t="n">
        <f aca="false">IF(E47&gt;0,1/E47,Assumptions!$B$21)</f>
        <v>10</v>
      </c>
      <c r="G47" s="53" t="n">
        <f aca="false">Assumptions!$B$20</f>
        <v>2</v>
      </c>
      <c r="H47" s="54" t="n">
        <f aca="false">D47/(G47*F47)</f>
        <v>0</v>
      </c>
      <c r="I47" s="26" t="str">
        <f aca="false">IF(D47=0,"no arrivals",IF(H47&lt;0.85,"stable",IF(H47&lt;1,"near capacity","over capacity")))</f>
        <v>no arrivals</v>
      </c>
      <c r="J47" s="47" t="str">
        <f aca="false">IF(AND(D47&gt;0,H47&lt;1),((D47/F47)^G47/FACT(G47)/(1-H47))/(SUMPRODUCT(--({0,1,2,3,4,5,6,7,8,9}&lt;G47),(D47/F47)^{0,1,2,3,4,5,6,7,8,9}/FACT({0,1,2,3,4,5,6,7,8,9}))+((D47/F47)^G47/FACT(G47)/(1-H47)))/(G47*F47-D47),"—")</f>
        <v>—</v>
      </c>
      <c r="K47" s="47" t="str">
        <f aca="false">IF(ISNUMBER(J47),(1+Assumptions!$B$22^2)/2*J47,"—")</f>
        <v>—</v>
      </c>
      <c r="L47" s="55" t="n">
        <f aca="false">'Sim Data'!$F$114</f>
        <v>0</v>
      </c>
      <c r="M47" s="50" t="n">
        <f aca="false">'Sim Data'!$H$114</f>
        <v>0</v>
      </c>
      <c r="N47" s="52" t="n">
        <f aca="false">D47*L47</f>
        <v>0</v>
      </c>
      <c r="O47" s="47" t="str">
        <f aca="false">IF(MAX(M47,N47)&lt;0.5,"both ≈ 0",IF(N47=0,"no new arrivals",M47/N47))</f>
        <v>both ≈ 0</v>
      </c>
      <c r="P47" s="13" t="str">
        <f aca="false">IF(D47=0,"",IF(H47&gt;=1,"No steady state: the line grows by about "&amp;TEXT((D47-G47*F47)*10,"0")&amp;" in 10 min",IF(ISNUMBER(O47),IF(ABS(O47-1)&lt;=0.2,"Steady: Little's Law holds",IF(O47&gt;1,"Draining a line left from earlier","Line still building")),"Hardly any line")))</f>
        <v/>
      </c>
    </row>
    <row r="48" customFormat="false" ht="21.75" hidden="false" customHeight="true" outlineLevel="0" collapsed="false">
      <c r="A48" s="13" t="s">
        <v>324</v>
      </c>
      <c r="B48" s="13" t="s">
        <v>326</v>
      </c>
      <c r="C48" s="26" t="s">
        <v>345</v>
      </c>
      <c r="D48" s="50" t="n">
        <f aca="false">'Sim Data'!$E$115</f>
        <v>0</v>
      </c>
      <c r="E48" s="51" t="n">
        <f aca="false">'Sim Data'!$G$115</f>
        <v>0</v>
      </c>
      <c r="F48" s="52" t="n">
        <f aca="false">IF(E48&gt;0,1/E48,Assumptions!$B$21)</f>
        <v>10</v>
      </c>
      <c r="G48" s="53" t="n">
        <f aca="false">Assumptions!$B$20</f>
        <v>2</v>
      </c>
      <c r="H48" s="54" t="n">
        <f aca="false">D48/(G48*F48)</f>
        <v>0</v>
      </c>
      <c r="I48" s="26" t="str">
        <f aca="false">IF(D48=0,"no arrivals",IF(H48&lt;0.85,"stable",IF(H48&lt;1,"near capacity","over capacity")))</f>
        <v>no arrivals</v>
      </c>
      <c r="J48" s="47" t="str">
        <f aca="false">IF(AND(D48&gt;0,H48&lt;1),((D48/F48)^G48/FACT(G48)/(1-H48))/(SUMPRODUCT(--({0,1,2,3,4,5,6,7,8,9}&lt;G48),(D48/F48)^{0,1,2,3,4,5,6,7,8,9}/FACT({0,1,2,3,4,5,6,7,8,9}))+((D48/F48)^G48/FACT(G48)/(1-H48)))/(G48*F48-D48),"—")</f>
        <v>—</v>
      </c>
      <c r="K48" s="47" t="str">
        <f aca="false">IF(ISNUMBER(J48),(1+Assumptions!$B$22^2)/2*J48,"—")</f>
        <v>—</v>
      </c>
      <c r="L48" s="55" t="n">
        <f aca="false">'Sim Data'!$F$115</f>
        <v>0</v>
      </c>
      <c r="M48" s="50" t="n">
        <f aca="false">'Sim Data'!$H$115</f>
        <v>0</v>
      </c>
      <c r="N48" s="52" t="n">
        <f aca="false">D48*L48</f>
        <v>0</v>
      </c>
      <c r="O48" s="47" t="str">
        <f aca="false">IF(MAX(M48,N48)&lt;0.5,"both ≈ 0",IF(N48=0,"no new arrivals",M48/N48))</f>
        <v>both ≈ 0</v>
      </c>
      <c r="P48" s="13" t="str">
        <f aca="false">IF(D48=0,"",IF(H48&gt;=1,"No steady state: the line grows by about "&amp;TEXT((D48-G48*F48)*10,"0")&amp;" in 10 min",IF(ISNUMBER(O48),IF(ABS(O48-1)&lt;=0.2,"Steady: Little's Law holds",IF(O48&gt;1,"Draining a line left from earlier","Line still building")),"Hardly any line")))</f>
        <v/>
      </c>
    </row>
    <row r="49" customFormat="false" ht="21.75" hidden="false" customHeight="true" outlineLevel="0" collapsed="false">
      <c r="A49" s="13" t="s">
        <v>324</v>
      </c>
      <c r="B49" s="13" t="s">
        <v>326</v>
      </c>
      <c r="C49" s="26" t="s">
        <v>146</v>
      </c>
      <c r="D49" s="50" t="n">
        <f aca="false">'Sim Data'!$E$116</f>
        <v>3.655</v>
      </c>
      <c r="E49" s="51" t="n">
        <f aca="false">'Sim Data'!$G$116</f>
        <v>0.0953</v>
      </c>
      <c r="F49" s="52" t="n">
        <f aca="false">IF(E49&gt;0,1/E49,Assumptions!$B$21)</f>
        <v>10.4931794333683</v>
      </c>
      <c r="G49" s="53" t="n">
        <f aca="false">Assumptions!$B$20</f>
        <v>2</v>
      </c>
      <c r="H49" s="54" t="n">
        <f aca="false">D49/(G49*F49)</f>
        <v>0.17416075</v>
      </c>
      <c r="I49" s="26" t="str">
        <f aca="false">IF(D49=0,"no arrivals",IF(H49&lt;0.85,"stable",IF(H49&lt;1,"near capacity","over capacity")))</f>
        <v>stable</v>
      </c>
      <c r="J49" s="47" t="n">
        <f aca="false">IF(AND(D49&gt;0,H49&lt;1),((D49/F49)^G49/FACT(G49)/(1-H49))/(SUMPRODUCT(--({0,1,2,3,4,5,6,7,8,9}&lt;G49),(D49/F49)^{0,1,2,3,4,5,6,7,8,9}/FACT({0,1,2,3,4,5,6,7,8,9}))+((D49/F49)^G49/FACT(G49)/(1-H49)))/(G49*F49-D49),"—")</f>
        <v>0.00298105778581474</v>
      </c>
      <c r="K49" s="47" t="n">
        <f aca="false">IF(ISNUMBER(J49),(1+Assumptions!$B$22^2)/2*J49,"—")</f>
        <v>0.00202711929435402</v>
      </c>
      <c r="L49" s="55" t="n">
        <f aca="false">'Sim Data'!$F$116</f>
        <v>0.0021</v>
      </c>
      <c r="M49" s="50" t="n">
        <f aca="false">'Sim Data'!$H$116</f>
        <v>0.0077</v>
      </c>
      <c r="N49" s="52" t="n">
        <f aca="false">D49*L49</f>
        <v>0.0076755</v>
      </c>
      <c r="O49" s="47" t="str">
        <f aca="false">IF(MAX(M49,N49)&lt;0.5,"both ≈ 0",IF(N49=0,"no new arrivals",M49/N49))</f>
        <v>both ≈ 0</v>
      </c>
      <c r="P49" s="13" t="str">
        <f aca="false">IF(D49=0,"",IF(H49&gt;=1,"No steady state: the line grows by about "&amp;TEXT((D49-G49*F49)*10,"0")&amp;" in 10 min",IF(ISNUMBER(O49),IF(ABS(O49-1)&lt;=0.2,"Steady: Little's Law holds",IF(O49&gt;1,"Draining a line left from earlier","Line still building")),"Hardly any line")))</f>
        <v>Hardly any line</v>
      </c>
    </row>
    <row r="50" customFormat="false" ht="21.75" hidden="false" customHeight="true" outlineLevel="0" collapsed="false">
      <c r="A50" s="13" t="s">
        <v>324</v>
      </c>
      <c r="B50" s="13" t="s">
        <v>326</v>
      </c>
      <c r="C50" s="26" t="s">
        <v>346</v>
      </c>
      <c r="D50" s="50" t="n">
        <f aca="false">'Sim Data'!$E$117</f>
        <v>4.545</v>
      </c>
      <c r="E50" s="51" t="n">
        <f aca="false">'Sim Data'!$G$117</f>
        <v>0.0984</v>
      </c>
      <c r="F50" s="52" t="n">
        <f aca="false">IF(E50&gt;0,1/E50,Assumptions!$B$21)</f>
        <v>10.1626016260163</v>
      </c>
      <c r="G50" s="53" t="n">
        <f aca="false">Assumptions!$B$20</f>
        <v>2</v>
      </c>
      <c r="H50" s="54" t="n">
        <f aca="false">D50/(G50*F50)</f>
        <v>0.223614</v>
      </c>
      <c r="I50" s="26" t="str">
        <f aca="false">IF(D50=0,"no arrivals",IF(H50&lt;0.85,"stable",IF(H50&lt;1,"near capacity","over capacity")))</f>
        <v>stable</v>
      </c>
      <c r="J50" s="47" t="n">
        <f aca="false">IF(AND(D50&gt;0,H50&lt;1),((D50/F50)^G50/FACT(G50)/(1-H50))/(SUMPRODUCT(--({0,1,2,3,4,5,6,7,8,9}&lt;G50),(D50/F50)^{0,1,2,3,4,5,6,7,8,9}/FACT({0,1,2,3,4,5,6,7,8,9}))+((D50/F50)^G50/FACT(G50)/(1-H50)))/(G50*F50-D50),"—")</f>
        <v>0.00517929855632246</v>
      </c>
      <c r="K50" s="47" t="n">
        <f aca="false">IF(ISNUMBER(J50),(1+Assumptions!$B$22^2)/2*J50,"—")</f>
        <v>0.00352192301829927</v>
      </c>
      <c r="L50" s="55" t="n">
        <f aca="false">'Sim Data'!$F$117</f>
        <v>0.0034</v>
      </c>
      <c r="M50" s="50" t="n">
        <f aca="false">'Sim Data'!$H$117</f>
        <v>0.0154</v>
      </c>
      <c r="N50" s="52" t="n">
        <f aca="false">D50*L50</f>
        <v>0.015453</v>
      </c>
      <c r="O50" s="47" t="str">
        <f aca="false">IF(MAX(M50,N50)&lt;0.5,"both ≈ 0",IF(N50=0,"no new arrivals",M50/N50))</f>
        <v>both ≈ 0</v>
      </c>
      <c r="P50" s="13" t="str">
        <f aca="false">IF(D50=0,"",IF(H50&gt;=1,"No steady state: the line grows by about "&amp;TEXT((D50-G50*F50)*10,"0")&amp;" in 10 min",IF(ISNUMBER(O50),IF(ABS(O50-1)&lt;=0.2,"Steady: Little's Law holds",IF(O50&gt;1,"Draining a line left from earlier","Line still building")),"Hardly any line")))</f>
        <v>Hardly any line</v>
      </c>
    </row>
    <row r="51" customFormat="false" ht="21.75" hidden="false" customHeight="true" outlineLevel="0" collapsed="false">
      <c r="A51" s="13" t="s">
        <v>324</v>
      </c>
      <c r="B51" s="13" t="s">
        <v>326</v>
      </c>
      <c r="C51" s="26" t="s">
        <v>347</v>
      </c>
      <c r="D51" s="50" t="n">
        <f aca="false">'Sim Data'!$E$118</f>
        <v>4.805</v>
      </c>
      <c r="E51" s="51" t="n">
        <f aca="false">'Sim Data'!$G$118</f>
        <v>0.1</v>
      </c>
      <c r="F51" s="52" t="n">
        <f aca="false">IF(E51&gt;0,1/E51,Assumptions!$B$21)</f>
        <v>10</v>
      </c>
      <c r="G51" s="53" t="n">
        <f aca="false">Assumptions!$B$20</f>
        <v>2</v>
      </c>
      <c r="H51" s="54" t="n">
        <f aca="false">D51/(G51*F51)</f>
        <v>0.24025</v>
      </c>
      <c r="I51" s="26" t="str">
        <f aca="false">IF(D51=0,"no arrivals",IF(H51&lt;0.85,"stable",IF(H51&lt;1,"near capacity","over capacity")))</f>
        <v>stable</v>
      </c>
      <c r="J51" s="47" t="n">
        <f aca="false">IF(AND(D51&gt;0,H51&lt;1),((D51/F51)^G51/FACT(G51)/(1-H51))/(SUMPRODUCT(--({0,1,2,3,4,5,6,7,8,9}&lt;G51),(D51/F51)^{0,1,2,3,4,5,6,7,8,9}/FACT({0,1,2,3,4,5,6,7,8,9}))+((D51/F51)^G51/FACT(G51)/(1-H51)))/(G51*F51-D51),"—")</f>
        <v>0.00612557481093563</v>
      </c>
      <c r="K51" s="47" t="n">
        <f aca="false">IF(ISNUMBER(J51),(1+Assumptions!$B$22^2)/2*J51,"—")</f>
        <v>0.00416539087143623</v>
      </c>
      <c r="L51" s="55" t="n">
        <f aca="false">'Sim Data'!$F$118</f>
        <v>0.0057</v>
      </c>
      <c r="M51" s="50" t="n">
        <f aca="false">'Sim Data'!$H$118</f>
        <v>0.0275</v>
      </c>
      <c r="N51" s="52" t="n">
        <f aca="false">D51*L51</f>
        <v>0.0273885</v>
      </c>
      <c r="O51" s="47" t="str">
        <f aca="false">IF(MAX(M51,N51)&lt;0.5,"both ≈ 0",IF(N51=0,"no new arrivals",M51/N51))</f>
        <v>both ≈ 0</v>
      </c>
      <c r="P51" s="13" t="str">
        <f aca="false">IF(D51=0,"",IF(H51&gt;=1,"No steady state: the line grows by about "&amp;TEXT((D51-G51*F51)*10,"0")&amp;" in 10 min",IF(ISNUMBER(O51),IF(ABS(O51-1)&lt;=0.2,"Steady: Little's Law holds",IF(O51&gt;1,"Draining a line left from earlier","Line still building")),"Hardly any line")))</f>
        <v>Hardly any line</v>
      </c>
    </row>
    <row r="52" customFormat="false" ht="21.75" hidden="false" customHeight="true" outlineLevel="0" collapsed="false">
      <c r="A52" s="13" t="s">
        <v>324</v>
      </c>
      <c r="B52" s="13" t="s">
        <v>326</v>
      </c>
      <c r="C52" s="26" t="s">
        <v>155</v>
      </c>
      <c r="D52" s="50" t="n">
        <f aca="false">'Sim Data'!$E$119</f>
        <v>5.65</v>
      </c>
      <c r="E52" s="51" t="n">
        <f aca="false">'Sim Data'!$G$119</f>
        <v>0.099</v>
      </c>
      <c r="F52" s="52" t="n">
        <f aca="false">IF(E52&gt;0,1/E52,Assumptions!$B$21)</f>
        <v>10.1010101010101</v>
      </c>
      <c r="G52" s="53" t="n">
        <f aca="false">Assumptions!$B$20</f>
        <v>2</v>
      </c>
      <c r="H52" s="54" t="n">
        <f aca="false">D52/(G52*F52)</f>
        <v>0.279675</v>
      </c>
      <c r="I52" s="26" t="str">
        <f aca="false">IF(D52=0,"no arrivals",IF(H52&lt;0.85,"stable",IF(H52&lt;1,"near capacity","over capacity")))</f>
        <v>stable</v>
      </c>
      <c r="J52" s="47" t="n">
        <f aca="false">IF(AND(D52&gt;0,H52&lt;1),((D52/F52)^G52/FACT(G52)/(1-H52))/(SUMPRODUCT(--({0,1,2,3,4,5,6,7,8,9}&lt;G52),(D52/F52)^{0,1,2,3,4,5,6,7,8,9}/FACT({0,1,2,3,4,5,6,7,8,9}))+((D52/F52)^G52/FACT(G52)/(1-H52)))/(G52*F52-D52),"—")</f>
        <v>0.00840067754002201</v>
      </c>
      <c r="K52" s="47" t="n">
        <f aca="false">IF(ISNUMBER(J52),(1+Assumptions!$B$22^2)/2*J52,"—")</f>
        <v>0.00571246072721497</v>
      </c>
      <c r="L52" s="55" t="n">
        <f aca="false">'Sim Data'!$F$119</f>
        <v>0.0094</v>
      </c>
      <c r="M52" s="50" t="n">
        <f aca="false">'Sim Data'!$H$119</f>
        <v>0.0529</v>
      </c>
      <c r="N52" s="52" t="n">
        <f aca="false">D52*L52</f>
        <v>0.05311</v>
      </c>
      <c r="O52" s="47" t="str">
        <f aca="false">IF(MAX(M52,N52)&lt;0.5,"both ≈ 0",IF(N52=0,"no new arrivals",M52/N52))</f>
        <v>both ≈ 0</v>
      </c>
      <c r="P52" s="13" t="str">
        <f aca="false">IF(D52=0,"",IF(H52&gt;=1,"No steady state: the line grows by about "&amp;TEXT((D52-G52*F52)*10,"0")&amp;" in 10 min",IF(ISNUMBER(O52),IF(ABS(O52-1)&lt;=0.2,"Steady: Little's Law holds",IF(O52&gt;1,"Draining a line left from earlier","Line still building")),"Hardly any line")))</f>
        <v>Hardly any line</v>
      </c>
    </row>
    <row r="53" customFormat="false" ht="21.75" hidden="false" customHeight="true" outlineLevel="0" collapsed="false">
      <c r="A53" s="13" t="s">
        <v>324</v>
      </c>
      <c r="B53" s="13" t="s">
        <v>326</v>
      </c>
      <c r="C53" s="26" t="s">
        <v>159</v>
      </c>
      <c r="D53" s="50" t="n">
        <f aca="false">'Sim Data'!$E$120</f>
        <v>5.43</v>
      </c>
      <c r="E53" s="51" t="n">
        <f aca="false">'Sim Data'!$G$120</f>
        <v>0.1005</v>
      </c>
      <c r="F53" s="52" t="n">
        <f aca="false">IF(E53&gt;0,1/E53,Assumptions!$B$21)</f>
        <v>9.95024875621891</v>
      </c>
      <c r="G53" s="53" t="n">
        <f aca="false">Assumptions!$B$20</f>
        <v>2</v>
      </c>
      <c r="H53" s="54" t="n">
        <f aca="false">D53/(G53*F53)</f>
        <v>0.2728575</v>
      </c>
      <c r="I53" s="26" t="str">
        <f aca="false">IF(D53=0,"no arrivals",IF(H53&lt;0.85,"stable",IF(H53&lt;1,"near capacity","over capacity")))</f>
        <v>stable</v>
      </c>
      <c r="J53" s="47" t="n">
        <f aca="false">IF(AND(D53&gt;0,H53&lt;1),((D53/F53)^G53/FACT(G53)/(1-H53))/(SUMPRODUCT(--({0,1,2,3,4,5,6,7,8,9}&lt;G53),(D53/F53)^{0,1,2,3,4,5,6,7,8,9}/FACT({0,1,2,3,4,5,6,7,8,9}))+((D53/F53)^G53/FACT(G53)/(1-H53)))/(G53*F53-D53),"—")</f>
        <v>0.00808422771659078</v>
      </c>
      <c r="K53" s="47" t="n">
        <f aca="false">IF(ISNUMBER(J53),(1+Assumptions!$B$22^2)/2*J53,"—")</f>
        <v>0.00549727484728173</v>
      </c>
      <c r="L53" s="55" t="n">
        <f aca="false">'Sim Data'!$F$120</f>
        <v>0.0059</v>
      </c>
      <c r="M53" s="50" t="n">
        <f aca="false">'Sim Data'!$H$120</f>
        <v>0.0318</v>
      </c>
      <c r="N53" s="52" t="n">
        <f aca="false">D53*L53</f>
        <v>0.032037</v>
      </c>
      <c r="O53" s="47" t="str">
        <f aca="false">IF(MAX(M53,N53)&lt;0.5,"both ≈ 0",IF(N53=0,"no new arrivals",M53/N53))</f>
        <v>both ≈ 0</v>
      </c>
      <c r="P53" s="13" t="str">
        <f aca="false">IF(D53=0,"",IF(H53&gt;=1,"No steady state: the line grows by about "&amp;TEXT((D53-G53*F53)*10,"0")&amp;" in 10 min",IF(ISNUMBER(O53),IF(ABS(O53-1)&lt;=0.2,"Steady: Little's Law holds",IF(O53&gt;1,"Draining a line left from earlier","Line still building")),"Hardly any line")))</f>
        <v>Hardly any line</v>
      </c>
    </row>
    <row r="54" customFormat="false" ht="21.75" hidden="false" customHeight="true" outlineLevel="0" collapsed="false">
      <c r="A54" s="13" t="s">
        <v>324</v>
      </c>
      <c r="B54" s="13" t="s">
        <v>326</v>
      </c>
      <c r="C54" s="26" t="s">
        <v>162</v>
      </c>
      <c r="D54" s="50" t="n">
        <f aca="false">'Sim Data'!$E$121</f>
        <v>4.37</v>
      </c>
      <c r="E54" s="51" t="n">
        <f aca="false">'Sim Data'!$G$121</f>
        <v>0.0996</v>
      </c>
      <c r="F54" s="52" t="n">
        <f aca="false">IF(E54&gt;0,1/E54,Assumptions!$B$21)</f>
        <v>10.0401606425703</v>
      </c>
      <c r="G54" s="53" t="n">
        <f aca="false">Assumptions!$B$20</f>
        <v>2</v>
      </c>
      <c r="H54" s="54" t="n">
        <f aca="false">D54/(G54*F54)</f>
        <v>0.217626</v>
      </c>
      <c r="I54" s="26" t="str">
        <f aca="false">IF(D54=0,"no arrivals",IF(H54&lt;0.85,"stable",IF(H54&lt;1,"near capacity","over capacity")))</f>
        <v>stable</v>
      </c>
      <c r="J54" s="47" t="n">
        <f aca="false">IF(AND(D54&gt;0,H54&lt;1),((D54/F54)^G54/FACT(G54)/(1-H54))/(SUMPRODUCT(--({0,1,2,3,4,5,6,7,8,9}&lt;G54),(D54/F54)^{0,1,2,3,4,5,6,7,8,9}/FACT({0,1,2,3,4,5,6,7,8,9}))+((D54/F54)^G54/FACT(G54)/(1-H54)))/(G54*F54-D54),"—")</f>
        <v>0.00495168005190138</v>
      </c>
      <c r="K54" s="47" t="n">
        <f aca="false">IF(ISNUMBER(J54),(1+Assumptions!$B$22^2)/2*J54,"—")</f>
        <v>0.00336714243529294</v>
      </c>
      <c r="L54" s="55" t="n">
        <f aca="false">'Sim Data'!$F$121</f>
        <v>0.0033</v>
      </c>
      <c r="M54" s="50" t="n">
        <f aca="false">'Sim Data'!$H$121</f>
        <v>0.0142</v>
      </c>
      <c r="N54" s="52" t="n">
        <f aca="false">D54*L54</f>
        <v>0.014421</v>
      </c>
      <c r="O54" s="47" t="str">
        <f aca="false">IF(MAX(M54,N54)&lt;0.5,"both ≈ 0",IF(N54=0,"no new arrivals",M54/N54))</f>
        <v>both ≈ 0</v>
      </c>
      <c r="P54" s="13" t="str">
        <f aca="false">IF(D54=0,"",IF(H54&gt;=1,"No steady state: the line grows by about "&amp;TEXT((D54-G54*F54)*10,"0")&amp;" in 10 min",IF(ISNUMBER(O54),IF(ABS(O54-1)&lt;=0.2,"Steady: Little's Law holds",IF(O54&gt;1,"Draining a line left from earlier","Line still building")),"Hardly any line")))</f>
        <v>Hardly any line</v>
      </c>
    </row>
    <row r="55" customFormat="false" ht="21.75" hidden="false" customHeight="true" outlineLevel="0" collapsed="false">
      <c r="A55" s="13" t="s">
        <v>324</v>
      </c>
      <c r="B55" s="13" t="s">
        <v>326</v>
      </c>
      <c r="C55" s="26" t="s">
        <v>147</v>
      </c>
      <c r="D55" s="50" t="n">
        <f aca="false">'Sim Data'!$E$122</f>
        <v>5.5</v>
      </c>
      <c r="E55" s="51" t="n">
        <f aca="false">'Sim Data'!$G$122</f>
        <v>0.102</v>
      </c>
      <c r="F55" s="52" t="n">
        <f aca="false">IF(E55&gt;0,1/E55,Assumptions!$B$21)</f>
        <v>9.80392156862745</v>
      </c>
      <c r="G55" s="53" t="n">
        <f aca="false">Assumptions!$B$20</f>
        <v>2</v>
      </c>
      <c r="H55" s="54" t="n">
        <f aca="false">D55/(G55*F55)</f>
        <v>0.2805</v>
      </c>
      <c r="I55" s="26" t="str">
        <f aca="false">IF(D55=0,"no arrivals",IF(H55&lt;0.85,"stable",IF(H55&lt;1,"near capacity","over capacity")))</f>
        <v>stable</v>
      </c>
      <c r="J55" s="47" t="n">
        <f aca="false">IF(AND(D55&gt;0,H55&lt;1),((D55/F55)^G55/FACT(G55)/(1-H55))/(SUMPRODUCT(--({0,1,2,3,4,5,6,7,8,9}&lt;G55),(D55/F55)^{0,1,2,3,4,5,6,7,8,9}/FACT({0,1,2,3,4,5,6,7,8,9}))+((D55/F55)^G55/FACT(G55)/(1-H55)))/(G55*F55-D55),"—")</f>
        <v>0.00871074944393626</v>
      </c>
      <c r="K55" s="47" t="n">
        <f aca="false">IF(ISNUMBER(J55),(1+Assumptions!$B$22^2)/2*J55,"—")</f>
        <v>0.00592330962187666</v>
      </c>
      <c r="L55" s="55" t="n">
        <f aca="false">'Sim Data'!$F$122</f>
        <v>0.0061</v>
      </c>
      <c r="M55" s="50" t="n">
        <f aca="false">'Sim Data'!$H$122</f>
        <v>0.0333</v>
      </c>
      <c r="N55" s="52" t="n">
        <f aca="false">D55*L55</f>
        <v>0.03355</v>
      </c>
      <c r="O55" s="47" t="str">
        <f aca="false">IF(MAX(M55,N55)&lt;0.5,"both ≈ 0",IF(N55=0,"no new arrivals",M55/N55))</f>
        <v>both ≈ 0</v>
      </c>
      <c r="P55" s="13" t="str">
        <f aca="false">IF(D55=0,"",IF(H55&gt;=1,"No steady state: the line grows by about "&amp;TEXT((D55-G55*F55)*10,"0")&amp;" in 10 min",IF(ISNUMBER(O55),IF(ABS(O55-1)&lt;=0.2,"Steady: Little's Law holds",IF(O55&gt;1,"Draining a line left from earlier","Line still building")),"Hardly any line")))</f>
        <v>Hardly any line</v>
      </c>
    </row>
    <row r="56" customFormat="false" ht="21.75" hidden="false" customHeight="true" outlineLevel="0" collapsed="false">
      <c r="A56" s="13" t="s">
        <v>324</v>
      </c>
      <c r="B56" s="13" t="s">
        <v>326</v>
      </c>
      <c r="C56" s="26" t="s">
        <v>348</v>
      </c>
      <c r="D56" s="50" t="n">
        <f aca="false">'Sim Data'!$E$123</f>
        <v>7.5</v>
      </c>
      <c r="E56" s="51" t="n">
        <f aca="false">'Sim Data'!$G$123</f>
        <v>0.1016</v>
      </c>
      <c r="F56" s="52" t="n">
        <f aca="false">IF(E56&gt;0,1/E56,Assumptions!$B$21)</f>
        <v>9.84251968503937</v>
      </c>
      <c r="G56" s="53" t="n">
        <f aca="false">Assumptions!$B$20</f>
        <v>2</v>
      </c>
      <c r="H56" s="54" t="n">
        <f aca="false">D56/(G56*F56)</f>
        <v>0.381</v>
      </c>
      <c r="I56" s="26" t="str">
        <f aca="false">IF(D56=0,"no arrivals",IF(H56&lt;0.85,"stable",IF(H56&lt;1,"near capacity","over capacity")))</f>
        <v>stable</v>
      </c>
      <c r="J56" s="47" t="n">
        <f aca="false">IF(AND(D56&gt;0,H56&lt;1),((D56/F56)^G56/FACT(G56)/(1-H56))/(SUMPRODUCT(--({0,1,2,3,4,5,6,7,8,9}&lt;G56),(D56/F56)^{0,1,2,3,4,5,6,7,8,9}/FACT({0,1,2,3,4,5,6,7,8,9}))+((D56/F56)^G56/FACT(G56)/(1-H56)))/(G56*F56-D56),"—")</f>
        <v>0.0172527898235808</v>
      </c>
      <c r="K56" s="47" t="n">
        <f aca="false">IF(ISNUMBER(J56),(1+Assumptions!$B$22^2)/2*J56,"—")</f>
        <v>0.011731897080035</v>
      </c>
      <c r="L56" s="55" t="n">
        <f aca="false">'Sim Data'!$F$123</f>
        <v>0.0121</v>
      </c>
      <c r="M56" s="50" t="n">
        <f aca="false">'Sim Data'!$H$123</f>
        <v>0.0907</v>
      </c>
      <c r="N56" s="52" t="n">
        <f aca="false">D56*L56</f>
        <v>0.09075</v>
      </c>
      <c r="O56" s="47" t="str">
        <f aca="false">IF(MAX(M56,N56)&lt;0.5,"both ≈ 0",IF(N56=0,"no new arrivals",M56/N56))</f>
        <v>both ≈ 0</v>
      </c>
      <c r="P56" s="13" t="str">
        <f aca="false">IF(D56=0,"",IF(H56&gt;=1,"No steady state: the line grows by about "&amp;TEXT((D56-G56*F56)*10,"0")&amp;" in 10 min",IF(ISNUMBER(O56),IF(ABS(O56-1)&lt;=0.2,"Steady: Little's Law holds",IF(O56&gt;1,"Draining a line left from earlier","Line still building")),"Hardly any line")))</f>
        <v>Hardly any line</v>
      </c>
    </row>
    <row r="57" customFormat="false" ht="21.75" hidden="false" customHeight="true" outlineLevel="0" collapsed="false">
      <c r="A57" s="13" t="s">
        <v>324</v>
      </c>
      <c r="B57" s="13" t="s">
        <v>326</v>
      </c>
      <c r="C57" s="26" t="s">
        <v>349</v>
      </c>
      <c r="D57" s="50" t="n">
        <f aca="false">'Sim Data'!$E$124</f>
        <v>7.44</v>
      </c>
      <c r="E57" s="51" t="n">
        <f aca="false">'Sim Data'!$G$124</f>
        <v>0.0979</v>
      </c>
      <c r="F57" s="52" t="n">
        <f aca="false">IF(E57&gt;0,1/E57,Assumptions!$B$21)</f>
        <v>10.2145045965271</v>
      </c>
      <c r="G57" s="53" t="n">
        <f aca="false">Assumptions!$B$20</f>
        <v>2</v>
      </c>
      <c r="H57" s="54" t="n">
        <f aca="false">D57/(G57*F57)</f>
        <v>0.364188</v>
      </c>
      <c r="I57" s="26" t="str">
        <f aca="false">IF(D57=0,"no arrivals",IF(H57&lt;0.85,"stable",IF(H57&lt;1,"near capacity","over capacity")))</f>
        <v>stable</v>
      </c>
      <c r="J57" s="47" t="n">
        <f aca="false">IF(AND(D57&gt;0,H57&lt;1),((D57/F57)^G57/FACT(G57)/(1-H57))/(SUMPRODUCT(--({0,1,2,3,4,5,6,7,8,9}&lt;G57),(D57/F57)^{0,1,2,3,4,5,6,7,8,9}/FACT({0,1,2,3,4,5,6,7,8,9}))+((D57/F57)^G57/FACT(G57)/(1-H57)))/(G57*F57-D57),"—")</f>
        <v>0.0149703174537714</v>
      </c>
      <c r="K57" s="47" t="n">
        <f aca="false">IF(ISNUMBER(J57),(1+Assumptions!$B$22^2)/2*J57,"—")</f>
        <v>0.0101798158685645</v>
      </c>
      <c r="L57" s="55" t="n">
        <f aca="false">'Sim Data'!$F$124</f>
        <v>0.0093</v>
      </c>
      <c r="M57" s="50" t="n">
        <f aca="false">'Sim Data'!$H$124</f>
        <v>0.0689</v>
      </c>
      <c r="N57" s="52" t="n">
        <f aca="false">D57*L57</f>
        <v>0.069192</v>
      </c>
      <c r="O57" s="47" t="str">
        <f aca="false">IF(MAX(M57,N57)&lt;0.5,"both ≈ 0",IF(N57=0,"no new arrivals",M57/N57))</f>
        <v>both ≈ 0</v>
      </c>
      <c r="P57" s="13" t="str">
        <f aca="false">IF(D57=0,"",IF(H57&gt;=1,"No steady state: the line grows by about "&amp;TEXT((D57-G57*F57)*10,"0")&amp;" in 10 min",IF(ISNUMBER(O57),IF(ABS(O57-1)&lt;=0.2,"Steady: Little's Law holds",IF(O57&gt;1,"Draining a line left from earlier","Line still building")),"Hardly any line")))</f>
        <v>Hardly any line</v>
      </c>
    </row>
    <row r="58" customFormat="false" ht="21.75" hidden="false" customHeight="true" outlineLevel="0" collapsed="false">
      <c r="A58" s="13" t="s">
        <v>324</v>
      </c>
      <c r="B58" s="13" t="s">
        <v>326</v>
      </c>
      <c r="C58" s="26" t="s">
        <v>156</v>
      </c>
      <c r="D58" s="50" t="n">
        <f aca="false">'Sim Data'!$E$125</f>
        <v>5.375</v>
      </c>
      <c r="E58" s="51" t="n">
        <f aca="false">'Sim Data'!$G$125</f>
        <v>0.0979</v>
      </c>
      <c r="F58" s="52" t="n">
        <f aca="false">IF(E58&gt;0,1/E58,Assumptions!$B$21)</f>
        <v>10.2145045965271</v>
      </c>
      <c r="G58" s="53" t="n">
        <f aca="false">Assumptions!$B$20</f>
        <v>2</v>
      </c>
      <c r="H58" s="54" t="n">
        <f aca="false">D58/(G58*F58)</f>
        <v>0.26310625</v>
      </c>
      <c r="I58" s="26" t="str">
        <f aca="false">IF(D58=0,"no arrivals",IF(H58&lt;0.85,"stable",IF(H58&lt;1,"near capacity","over capacity")))</f>
        <v>stable</v>
      </c>
      <c r="J58" s="47" t="n">
        <f aca="false">IF(AND(D58&gt;0,H58&lt;1),((D58/F58)^G58/FACT(G58)/(1-H58))/(SUMPRODUCT(--({0,1,2,3,4,5,6,7,8,9}&lt;G58),(D58/F58)^{0,1,2,3,4,5,6,7,8,9}/FACT({0,1,2,3,4,5,6,7,8,9}))+((D58/F58)^G58/FACT(G58)/(1-H58)))/(G58*F58-D58),"—")</f>
        <v>0.00728115479521551</v>
      </c>
      <c r="K58" s="47" t="n">
        <f aca="false">IF(ISNUMBER(J58),(1+Assumptions!$B$22^2)/2*J58,"—")</f>
        <v>0.00495118526074655</v>
      </c>
      <c r="L58" s="55" t="n">
        <f aca="false">'Sim Data'!$F$125</f>
        <v>0.005</v>
      </c>
      <c r="M58" s="50" t="n">
        <f aca="false">'Sim Data'!$H$125</f>
        <v>0.0273</v>
      </c>
      <c r="N58" s="52" t="n">
        <f aca="false">D58*L58</f>
        <v>0.026875</v>
      </c>
      <c r="O58" s="47" t="str">
        <f aca="false">IF(MAX(M58,N58)&lt;0.5,"both ≈ 0",IF(N58=0,"no new arrivals",M58/N58))</f>
        <v>both ≈ 0</v>
      </c>
      <c r="P58" s="13" t="str">
        <f aca="false">IF(D58=0,"",IF(H58&gt;=1,"No steady state: the line grows by about "&amp;TEXT((D58-G58*F58)*10,"0")&amp;" in 10 min",IF(ISNUMBER(O58),IF(ABS(O58-1)&lt;=0.2,"Steady: Little's Law holds",IF(O58&gt;1,"Draining a line left from earlier","Line still building")),"Hardly any line")))</f>
        <v>Hardly any line</v>
      </c>
    </row>
    <row r="59" customFormat="false" ht="21.75" hidden="false" customHeight="true" outlineLevel="0" collapsed="false">
      <c r="A59" s="13" t="s">
        <v>324</v>
      </c>
      <c r="B59" s="13" t="s">
        <v>326</v>
      </c>
      <c r="C59" s="26" t="s">
        <v>160</v>
      </c>
      <c r="D59" s="50" t="n">
        <f aca="false">'Sim Data'!$E$126</f>
        <v>3.64</v>
      </c>
      <c r="E59" s="51" t="n">
        <f aca="false">'Sim Data'!$G$126</f>
        <v>0.1004</v>
      </c>
      <c r="F59" s="52" t="n">
        <f aca="false">IF(E59&gt;0,1/E59,Assumptions!$B$21)</f>
        <v>9.9601593625498</v>
      </c>
      <c r="G59" s="53" t="n">
        <f aca="false">Assumptions!$B$20</f>
        <v>2</v>
      </c>
      <c r="H59" s="54" t="n">
        <f aca="false">D59/(G59*F59)</f>
        <v>0.182728</v>
      </c>
      <c r="I59" s="26" t="str">
        <f aca="false">IF(D59=0,"no arrivals",IF(H59&lt;0.85,"stable",IF(H59&lt;1,"near capacity","over capacity")))</f>
        <v>stable</v>
      </c>
      <c r="J59" s="47" t="n">
        <f aca="false">IF(AND(D59&gt;0,H59&lt;1),((D59/F59)^G59/FACT(G59)/(1-H59))/(SUMPRODUCT(--({0,1,2,3,4,5,6,7,8,9}&lt;G59),(D59/F59)^{0,1,2,3,4,5,6,7,8,9}/FACT({0,1,2,3,4,5,6,7,8,9}))+((D59/F59)^G59/FACT(G59)/(1-H59)))/(G59*F59-D59),"—")</f>
        <v>0.00346810642284193</v>
      </c>
      <c r="K59" s="47" t="n">
        <f aca="false">IF(ISNUMBER(J59),(1+Assumptions!$B$22^2)/2*J59,"—")</f>
        <v>0.00235831236753251</v>
      </c>
      <c r="L59" s="55" t="n">
        <f aca="false">'Sim Data'!$F$126</f>
        <v>0.0018</v>
      </c>
      <c r="M59" s="50" t="n">
        <f aca="false">'Sim Data'!$H$126</f>
        <v>0.0067</v>
      </c>
      <c r="N59" s="52" t="n">
        <f aca="false">D59*L59</f>
        <v>0.006552</v>
      </c>
      <c r="O59" s="47" t="str">
        <f aca="false">IF(MAX(M59,N59)&lt;0.5,"both ≈ 0",IF(N59=0,"no new arrivals",M59/N59))</f>
        <v>both ≈ 0</v>
      </c>
      <c r="P59" s="13" t="str">
        <f aca="false">IF(D59=0,"",IF(H59&gt;=1,"No steady state: the line grows by about "&amp;TEXT((D59-G59*F59)*10,"0")&amp;" in 10 min",IF(ISNUMBER(O59),IF(ABS(O59-1)&lt;=0.2,"Steady: Little's Law holds",IF(O59&gt;1,"Draining a line left from earlier","Line still building")),"Hardly any line")))</f>
        <v>Hardly any line</v>
      </c>
    </row>
    <row r="60" customFormat="false" ht="21.75" hidden="false" customHeight="true" outlineLevel="0" collapsed="false">
      <c r="A60" s="13" t="s">
        <v>324</v>
      </c>
      <c r="B60" s="13" t="s">
        <v>326</v>
      </c>
      <c r="C60" s="26" t="s">
        <v>163</v>
      </c>
      <c r="D60" s="50" t="n">
        <f aca="false">'Sim Data'!$E$127</f>
        <v>1.88</v>
      </c>
      <c r="E60" s="51" t="n">
        <f aca="false">'Sim Data'!$G$127</f>
        <v>0.099</v>
      </c>
      <c r="F60" s="52" t="n">
        <f aca="false">IF(E60&gt;0,1/E60,Assumptions!$B$21)</f>
        <v>10.1010101010101</v>
      </c>
      <c r="G60" s="53" t="n">
        <f aca="false">Assumptions!$B$20</f>
        <v>2</v>
      </c>
      <c r="H60" s="54" t="n">
        <f aca="false">D60/(G60*F60)</f>
        <v>0.09306</v>
      </c>
      <c r="I60" s="26" t="str">
        <f aca="false">IF(D60=0,"no arrivals",IF(H60&lt;0.85,"stable",IF(H60&lt;1,"near capacity","over capacity")))</f>
        <v>stable</v>
      </c>
      <c r="J60" s="47" t="n">
        <f aca="false">IF(AND(D60&gt;0,H60&lt;1),((D60/F60)^G60/FACT(G60)/(1-H60))/(SUMPRODUCT(--({0,1,2,3,4,5,6,7,8,9}&lt;G60),(D60/F60)^{0,1,2,3,4,5,6,7,8,9}/FACT({0,1,2,3,4,5,6,7,8,9}))+((D60/F60)^G60/FACT(G60)/(1-H60)))/(G60*F60-D60),"—")</f>
        <v>0.000864845903412341</v>
      </c>
      <c r="K60" s="47" t="n">
        <f aca="false">IF(ISNUMBER(J60),(1+Assumptions!$B$22^2)/2*J60,"—")</f>
        <v>0.000588095214320392</v>
      </c>
      <c r="L60" s="55" t="n">
        <f aca="false">'Sim Data'!$F$127</f>
        <v>0.0007</v>
      </c>
      <c r="M60" s="50" t="n">
        <f aca="false">'Sim Data'!$H$127</f>
        <v>0.0012</v>
      </c>
      <c r="N60" s="52" t="n">
        <f aca="false">D60*L60</f>
        <v>0.001316</v>
      </c>
      <c r="O60" s="47" t="str">
        <f aca="false">IF(MAX(M60,N60)&lt;0.5,"both ≈ 0",IF(N60=0,"no new arrivals",M60/N60))</f>
        <v>both ≈ 0</v>
      </c>
      <c r="P60" s="13" t="str">
        <f aca="false">IF(D60=0,"",IF(H60&gt;=1,"No steady state: the line grows by about "&amp;TEXT((D60-G60*F60)*10,"0")&amp;" in 10 min",IF(ISNUMBER(O60),IF(ABS(O60-1)&lt;=0.2,"Steady: Little's Law holds",IF(O60&gt;1,"Draining a line left from earlier","Line still building")),"Hardly any line")))</f>
        <v>Hardly any line</v>
      </c>
    </row>
    <row r="61" customFormat="false" ht="21.75" hidden="false" customHeight="true" outlineLevel="0" collapsed="false">
      <c r="A61" s="13" t="s">
        <v>324</v>
      </c>
      <c r="B61" s="13" t="s">
        <v>326</v>
      </c>
      <c r="C61" s="26" t="s">
        <v>150</v>
      </c>
      <c r="D61" s="50" t="n">
        <f aca="false">'Sim Data'!$E$128</f>
        <v>0.075</v>
      </c>
      <c r="E61" s="51" t="n">
        <f aca="false">'Sim Data'!$G$128</f>
        <v>0.0891</v>
      </c>
      <c r="F61" s="52" t="n">
        <f aca="false">IF(E61&gt;0,1/E61,Assumptions!$B$21)</f>
        <v>11.2233445566779</v>
      </c>
      <c r="G61" s="53" t="n">
        <f aca="false">Assumptions!$B$20</f>
        <v>2</v>
      </c>
      <c r="H61" s="54" t="n">
        <f aca="false">D61/(G61*F61)</f>
        <v>0.00334125</v>
      </c>
      <c r="I61" s="26" t="str">
        <f aca="false">IF(D61=0,"no arrivals",IF(H61&lt;0.85,"stable",IF(H61&lt;1,"near capacity","over capacity")))</f>
        <v>stable</v>
      </c>
      <c r="J61" s="47" t="n">
        <f aca="false">IF(AND(D61&gt;0,H61&lt;1),((D61/F61)^G61/FACT(G61)/(1-H61))/(SUMPRODUCT(--({0,1,2,3,4,5,6,7,8,9}&lt;G61),(D61/F61)^{0,1,2,3,4,5,6,7,8,9}/FACT({0,1,2,3,4,5,6,7,8,9}))+((D61/F61)^G61/FACT(G61)/(1-H61)))/(G61*F61-D61),"—")</f>
        <v>9.94719189215596E-007</v>
      </c>
      <c r="K61" s="47" t="n">
        <f aca="false">IF(ISNUMBER(J61),(1+Assumptions!$B$22^2)/2*J61,"—")</f>
        <v>6.76409048666606E-007</v>
      </c>
      <c r="L61" s="55" t="n">
        <f aca="false">'Sim Data'!$F$128</f>
        <v>0</v>
      </c>
      <c r="M61" s="50" t="n">
        <f aca="false">'Sim Data'!$H$128</f>
        <v>0</v>
      </c>
      <c r="N61" s="52" t="n">
        <f aca="false">D61*L61</f>
        <v>0</v>
      </c>
      <c r="O61" s="47" t="str">
        <f aca="false">IF(MAX(M61,N61)&lt;0.5,"both ≈ 0",IF(N61=0,"no new arrivals",M61/N61))</f>
        <v>both ≈ 0</v>
      </c>
      <c r="P61" s="13" t="str">
        <f aca="false">IF(D61=0,"",IF(H61&gt;=1,"No steady state: the line grows by about "&amp;TEXT((D61-G61*F61)*10,"0")&amp;" in 10 min",IF(ISNUMBER(O61),IF(ABS(O61-1)&lt;=0.2,"Steady: Little's Law holds",IF(O61&gt;1,"Draining a line left from earlier","Line still building")),"Hardly any line")))</f>
        <v>Hardly any line</v>
      </c>
    </row>
    <row r="62" customFormat="false" ht="21.75" hidden="false" customHeight="true" outlineLevel="0" collapsed="false">
      <c r="A62" s="13" t="s">
        <v>324</v>
      </c>
      <c r="B62" s="13" t="s">
        <v>326</v>
      </c>
      <c r="C62" s="26" t="s">
        <v>350</v>
      </c>
      <c r="D62" s="50" t="n">
        <f aca="false">'Sim Data'!$E$129</f>
        <v>0</v>
      </c>
      <c r="E62" s="51" t="n">
        <f aca="false">'Sim Data'!$G$129</f>
        <v>0</v>
      </c>
      <c r="F62" s="52" t="n">
        <f aca="false">IF(E62&gt;0,1/E62,Assumptions!$B$21)</f>
        <v>10</v>
      </c>
      <c r="G62" s="53" t="n">
        <f aca="false">Assumptions!$B$20</f>
        <v>2</v>
      </c>
      <c r="H62" s="54" t="n">
        <f aca="false">D62/(G62*F62)</f>
        <v>0</v>
      </c>
      <c r="I62" s="26" t="str">
        <f aca="false">IF(D62=0,"no arrivals",IF(H62&lt;0.85,"stable",IF(H62&lt;1,"near capacity","over capacity")))</f>
        <v>no arrivals</v>
      </c>
      <c r="J62" s="47" t="str">
        <f aca="false">IF(AND(D62&gt;0,H62&lt;1),((D62/F62)^G62/FACT(G62)/(1-H62))/(SUMPRODUCT(--({0,1,2,3,4,5,6,7,8,9}&lt;G62),(D62/F62)^{0,1,2,3,4,5,6,7,8,9}/FACT({0,1,2,3,4,5,6,7,8,9}))+((D62/F62)^G62/FACT(G62)/(1-H62)))/(G62*F62-D62),"—")</f>
        <v>—</v>
      </c>
      <c r="K62" s="47" t="str">
        <f aca="false">IF(ISNUMBER(J62),(1+Assumptions!$B$22^2)/2*J62,"—")</f>
        <v>—</v>
      </c>
      <c r="L62" s="55" t="n">
        <f aca="false">'Sim Data'!$F$129</f>
        <v>0</v>
      </c>
      <c r="M62" s="50" t="n">
        <f aca="false">'Sim Data'!$H$129</f>
        <v>0</v>
      </c>
      <c r="N62" s="52" t="n">
        <f aca="false">D62*L62</f>
        <v>0</v>
      </c>
      <c r="O62" s="47" t="str">
        <f aca="false">IF(MAX(M62,N62)&lt;0.5,"both ≈ 0",IF(N62=0,"no new arrivals",M62/N62))</f>
        <v>both ≈ 0</v>
      </c>
      <c r="P62" s="13" t="str">
        <f aca="false">IF(D62=0,"",IF(H62&gt;=1,"No steady state: the line grows by about "&amp;TEXT((D62-G62*F62)*10,"0")&amp;" in 10 min",IF(ISNUMBER(O62),IF(ABS(O62-1)&lt;=0.2,"Steady: Little's Law holds",IF(O62&gt;1,"Draining a line left from earlier","Line still building")),"Hardly any line")))</f>
        <v/>
      </c>
    </row>
    <row r="63" customFormat="false" ht="21.75" hidden="false" customHeight="true" outlineLevel="0" collapsed="false">
      <c r="A63" s="13" t="s">
        <v>324</v>
      </c>
      <c r="B63" s="13" t="s">
        <v>326</v>
      </c>
      <c r="C63" s="26" t="s">
        <v>351</v>
      </c>
      <c r="D63" s="50" t="n">
        <f aca="false">'Sim Data'!$E$130</f>
        <v>0</v>
      </c>
      <c r="E63" s="51" t="n">
        <f aca="false">'Sim Data'!$G$130</f>
        <v>0</v>
      </c>
      <c r="F63" s="52" t="n">
        <f aca="false">IF(E63&gt;0,1/E63,Assumptions!$B$21)</f>
        <v>10</v>
      </c>
      <c r="G63" s="53" t="n">
        <f aca="false">Assumptions!$B$20</f>
        <v>2</v>
      </c>
      <c r="H63" s="54" t="n">
        <f aca="false">D63/(G63*F63)</f>
        <v>0</v>
      </c>
      <c r="I63" s="26" t="str">
        <f aca="false">IF(D63=0,"no arrivals",IF(H63&lt;0.85,"stable",IF(H63&lt;1,"near capacity","over capacity")))</f>
        <v>no arrivals</v>
      </c>
      <c r="J63" s="47" t="str">
        <f aca="false">IF(AND(D63&gt;0,H63&lt;1),((D63/F63)^G63/FACT(G63)/(1-H63))/(SUMPRODUCT(--({0,1,2,3,4,5,6,7,8,9}&lt;G63),(D63/F63)^{0,1,2,3,4,5,6,7,8,9}/FACT({0,1,2,3,4,5,6,7,8,9}))+((D63/F63)^G63/FACT(G63)/(1-H63)))/(G63*F63-D63),"—")</f>
        <v>—</v>
      </c>
      <c r="K63" s="47" t="str">
        <f aca="false">IF(ISNUMBER(J63),(1+Assumptions!$B$22^2)/2*J63,"—")</f>
        <v>—</v>
      </c>
      <c r="L63" s="55" t="n">
        <f aca="false">'Sim Data'!$F$130</f>
        <v>0</v>
      </c>
      <c r="M63" s="50" t="n">
        <f aca="false">'Sim Data'!$H$130</f>
        <v>0</v>
      </c>
      <c r="N63" s="52" t="n">
        <f aca="false">D63*L63</f>
        <v>0</v>
      </c>
      <c r="O63" s="47" t="str">
        <f aca="false">IF(MAX(M63,N63)&lt;0.5,"both ≈ 0",IF(N63=0,"no new arrivals",M63/N63))</f>
        <v>both ≈ 0</v>
      </c>
      <c r="P63" s="13" t="str">
        <f aca="false">IF(D63=0,"",IF(H63&gt;=1,"No steady state: the line grows by about "&amp;TEXT((D63-G63*F63)*10,"0")&amp;" in 10 min",IF(ISNUMBER(O63),IF(ABS(O63-1)&lt;=0.2,"Steady: Little's Law holds",IF(O63&gt;1,"Draining a line left from earlier","Line still building")),"Hardly any line")))</f>
        <v/>
      </c>
    </row>
    <row r="64" customFormat="false" ht="21.75" hidden="false" customHeight="true" outlineLevel="0" collapsed="false">
      <c r="A64" s="13" t="s">
        <v>327</v>
      </c>
      <c r="B64" s="13" t="s">
        <v>325</v>
      </c>
      <c r="C64" s="26" t="s">
        <v>343</v>
      </c>
      <c r="D64" s="50" t="n">
        <f aca="false">'Sim Data'!$E$203</f>
        <v>0</v>
      </c>
      <c r="E64" s="51" t="n">
        <f aca="false">'Sim Data'!$G$203</f>
        <v>0</v>
      </c>
      <c r="F64" s="52" t="n">
        <f aca="false">IF(E64&gt;0,1/E64,Assumptions!$B$21)</f>
        <v>10</v>
      </c>
      <c r="G64" s="53" t="n">
        <f aca="false">Assumptions!$B$20</f>
        <v>2</v>
      </c>
      <c r="H64" s="54" t="n">
        <f aca="false">D64/(G64*F64)</f>
        <v>0</v>
      </c>
      <c r="I64" s="26" t="str">
        <f aca="false">IF(D64=0,"no arrivals",IF(H64&lt;0.85,"stable",IF(H64&lt;1,"near capacity","over capacity")))</f>
        <v>no arrivals</v>
      </c>
      <c r="J64" s="47" t="str">
        <f aca="false">IF(AND(D64&gt;0,H64&lt;1),((D64/F64)^G64/FACT(G64)/(1-H64))/(SUMPRODUCT(--({0,1,2,3,4,5,6,7,8,9}&lt;G64),(D64/F64)^{0,1,2,3,4,5,6,7,8,9}/FACT({0,1,2,3,4,5,6,7,8,9}))+((D64/F64)^G64/FACT(G64)/(1-H64)))/(G64*F64-D64),"—")</f>
        <v>—</v>
      </c>
      <c r="K64" s="47" t="str">
        <f aca="false">IF(ISNUMBER(J64),(1+Assumptions!$B$22^2)/2*J64,"—")</f>
        <v>—</v>
      </c>
      <c r="L64" s="55" t="n">
        <f aca="false">'Sim Data'!$F$203</f>
        <v>0</v>
      </c>
      <c r="M64" s="50" t="n">
        <f aca="false">'Sim Data'!$H$203</f>
        <v>0</v>
      </c>
      <c r="N64" s="52" t="n">
        <f aca="false">D64*L64</f>
        <v>0</v>
      </c>
      <c r="O64" s="47" t="str">
        <f aca="false">IF(MAX(M64,N64)&lt;0.5,"both ≈ 0",IF(N64=0,"no new arrivals",M64/N64))</f>
        <v>both ≈ 0</v>
      </c>
      <c r="P64" s="13" t="str">
        <f aca="false">IF(D64=0,"",IF(H64&gt;=1,"No steady state: the line grows by about "&amp;TEXT((D64-G64*F64)*10,"0")&amp;" in 10 min",IF(ISNUMBER(O64),IF(ABS(O64-1)&lt;=0.2,"Steady: Little's Law holds",IF(O64&gt;1,"Draining a line left from earlier","Line still building")),"Hardly any line")))</f>
        <v/>
      </c>
    </row>
    <row r="65" customFormat="false" ht="21.75" hidden="false" customHeight="true" outlineLevel="0" collapsed="false">
      <c r="A65" s="13" t="s">
        <v>327</v>
      </c>
      <c r="B65" s="13" t="s">
        <v>325</v>
      </c>
      <c r="C65" s="26" t="s">
        <v>344</v>
      </c>
      <c r="D65" s="50" t="n">
        <f aca="false">'Sim Data'!$E$204</f>
        <v>0</v>
      </c>
      <c r="E65" s="51" t="n">
        <f aca="false">'Sim Data'!$G$204</f>
        <v>0</v>
      </c>
      <c r="F65" s="52" t="n">
        <f aca="false">IF(E65&gt;0,1/E65,Assumptions!$B$21)</f>
        <v>10</v>
      </c>
      <c r="G65" s="53" t="n">
        <f aca="false">Assumptions!$B$20</f>
        <v>2</v>
      </c>
      <c r="H65" s="54" t="n">
        <f aca="false">D65/(G65*F65)</f>
        <v>0</v>
      </c>
      <c r="I65" s="26" t="str">
        <f aca="false">IF(D65=0,"no arrivals",IF(H65&lt;0.85,"stable",IF(H65&lt;1,"near capacity","over capacity")))</f>
        <v>no arrivals</v>
      </c>
      <c r="J65" s="47" t="str">
        <f aca="false">IF(AND(D65&gt;0,H65&lt;1),((D65/F65)^G65/FACT(G65)/(1-H65))/(SUMPRODUCT(--({0,1,2,3,4,5,6,7,8,9}&lt;G65),(D65/F65)^{0,1,2,3,4,5,6,7,8,9}/FACT({0,1,2,3,4,5,6,7,8,9}))+((D65/F65)^G65/FACT(G65)/(1-H65)))/(G65*F65-D65),"—")</f>
        <v>—</v>
      </c>
      <c r="K65" s="47" t="str">
        <f aca="false">IF(ISNUMBER(J65),(1+Assumptions!$B$22^2)/2*J65,"—")</f>
        <v>—</v>
      </c>
      <c r="L65" s="55" t="n">
        <f aca="false">'Sim Data'!$F$204</f>
        <v>0</v>
      </c>
      <c r="M65" s="50" t="n">
        <f aca="false">'Sim Data'!$H$204</f>
        <v>0</v>
      </c>
      <c r="N65" s="52" t="n">
        <f aca="false">D65*L65</f>
        <v>0</v>
      </c>
      <c r="O65" s="47" t="str">
        <f aca="false">IF(MAX(M65,N65)&lt;0.5,"both ≈ 0",IF(N65=0,"no new arrivals",M65/N65))</f>
        <v>both ≈ 0</v>
      </c>
      <c r="P65" s="13" t="str">
        <f aca="false">IF(D65=0,"",IF(H65&gt;=1,"No steady state: the line grows by about "&amp;TEXT((D65-G65*F65)*10,"0")&amp;" in 10 min",IF(ISNUMBER(O65),IF(ABS(O65-1)&lt;=0.2,"Steady: Little's Law holds",IF(O65&gt;1,"Draining a line left from earlier","Line still building")),"Hardly any line")))</f>
        <v/>
      </c>
    </row>
    <row r="66" customFormat="false" ht="21.75" hidden="false" customHeight="true" outlineLevel="0" collapsed="false">
      <c r="A66" s="13" t="s">
        <v>327</v>
      </c>
      <c r="B66" s="13" t="s">
        <v>325</v>
      </c>
      <c r="C66" s="26" t="s">
        <v>345</v>
      </c>
      <c r="D66" s="50" t="n">
        <f aca="false">'Sim Data'!$E$205</f>
        <v>0</v>
      </c>
      <c r="E66" s="51" t="n">
        <f aca="false">'Sim Data'!$G$205</f>
        <v>0</v>
      </c>
      <c r="F66" s="52" t="n">
        <f aca="false">IF(E66&gt;0,1/E66,Assumptions!$B$21)</f>
        <v>10</v>
      </c>
      <c r="G66" s="53" t="n">
        <f aca="false">Assumptions!$B$20</f>
        <v>2</v>
      </c>
      <c r="H66" s="54" t="n">
        <f aca="false">D66/(G66*F66)</f>
        <v>0</v>
      </c>
      <c r="I66" s="26" t="str">
        <f aca="false">IF(D66=0,"no arrivals",IF(H66&lt;0.85,"stable",IF(H66&lt;1,"near capacity","over capacity")))</f>
        <v>no arrivals</v>
      </c>
      <c r="J66" s="47" t="str">
        <f aca="false">IF(AND(D66&gt;0,H66&lt;1),((D66/F66)^G66/FACT(G66)/(1-H66))/(SUMPRODUCT(--({0,1,2,3,4,5,6,7,8,9}&lt;G66),(D66/F66)^{0,1,2,3,4,5,6,7,8,9}/FACT({0,1,2,3,4,5,6,7,8,9}))+((D66/F66)^G66/FACT(G66)/(1-H66)))/(G66*F66-D66),"—")</f>
        <v>—</v>
      </c>
      <c r="K66" s="47" t="str">
        <f aca="false">IF(ISNUMBER(J66),(1+Assumptions!$B$22^2)/2*J66,"—")</f>
        <v>—</v>
      </c>
      <c r="L66" s="55" t="n">
        <f aca="false">'Sim Data'!$F$205</f>
        <v>0</v>
      </c>
      <c r="M66" s="50" t="n">
        <f aca="false">'Sim Data'!$H$205</f>
        <v>0</v>
      </c>
      <c r="N66" s="52" t="n">
        <f aca="false">D66*L66</f>
        <v>0</v>
      </c>
      <c r="O66" s="47" t="str">
        <f aca="false">IF(MAX(M66,N66)&lt;0.5,"both ≈ 0",IF(N66=0,"no new arrivals",M66/N66))</f>
        <v>both ≈ 0</v>
      </c>
      <c r="P66" s="13" t="str">
        <f aca="false">IF(D66=0,"",IF(H66&gt;=1,"No steady state: the line grows by about "&amp;TEXT((D66-G66*F66)*10,"0")&amp;" in 10 min",IF(ISNUMBER(O66),IF(ABS(O66-1)&lt;=0.2,"Steady: Little's Law holds",IF(O66&gt;1,"Draining a line left from earlier","Line still building")),"Hardly any line")))</f>
        <v/>
      </c>
    </row>
    <row r="67" customFormat="false" ht="21.75" hidden="false" customHeight="true" outlineLevel="0" collapsed="false">
      <c r="A67" s="13" t="s">
        <v>327</v>
      </c>
      <c r="B67" s="13" t="s">
        <v>325</v>
      </c>
      <c r="C67" s="26" t="s">
        <v>146</v>
      </c>
      <c r="D67" s="50" t="n">
        <f aca="false">'Sim Data'!$E$206</f>
        <v>13.485</v>
      </c>
      <c r="E67" s="51" t="n">
        <f aca="false">'Sim Data'!$G$206</f>
        <v>0.1019</v>
      </c>
      <c r="F67" s="52" t="n">
        <f aca="false">IF(E67&gt;0,1/E67,Assumptions!$B$21)</f>
        <v>9.8135426889107</v>
      </c>
      <c r="G67" s="53" t="n">
        <f aca="false">Assumptions!$B$20</f>
        <v>2</v>
      </c>
      <c r="H67" s="54" t="n">
        <f aca="false">D67/(G67*F67)</f>
        <v>0.68706075</v>
      </c>
      <c r="I67" s="26" t="str">
        <f aca="false">IF(D67=0,"no arrivals",IF(H67&lt;0.85,"stable",IF(H67&lt;1,"near capacity","over capacity")))</f>
        <v>stable</v>
      </c>
      <c r="J67" s="47" t="n">
        <f aca="false">IF(AND(D67&gt;0,H67&lt;1),((D67/F67)^G67/FACT(G67)/(1-H67))/(SUMPRODUCT(--({0,1,2,3,4,5,6,7,8,9}&lt;G67),(D67/F67)^{0,1,2,3,4,5,6,7,8,9}/FACT({0,1,2,3,4,5,6,7,8,9}))+((D67/F67)^G67/FACT(G67)/(1-H67)))/(G67*F67-D67),"—")</f>
        <v>0.0911116063026703</v>
      </c>
      <c r="K67" s="47" t="n">
        <f aca="false">IF(ISNUMBER(J67),(1+Assumptions!$B$22^2)/2*J67,"—")</f>
        <v>0.0619558922858158</v>
      </c>
      <c r="L67" s="55" t="n">
        <f aca="false">'Sim Data'!$F$206</f>
        <v>0.0857</v>
      </c>
      <c r="M67" s="50" t="n">
        <f aca="false">'Sim Data'!$H$206</f>
        <v>1.1129</v>
      </c>
      <c r="N67" s="52" t="n">
        <f aca="false">D67*L67</f>
        <v>1.1556645</v>
      </c>
      <c r="O67" s="47" t="n">
        <f aca="false">IF(MAX(M67,N67)&lt;0.5,"both ≈ 0",IF(N67=0,"no new arrivals",M67/N67))</f>
        <v>0.962995748333535</v>
      </c>
      <c r="P67" s="13" t="str">
        <f aca="false">IF(D67=0,"",IF(H67&gt;=1,"No steady state: the line grows by about "&amp;TEXT((D67-G67*F67)*10,"0")&amp;" in 10 min",IF(ISNUMBER(O67),IF(ABS(O67-1)&lt;=0.2,"Steady: Little's Law holds",IF(O67&gt;1,"Draining a line left from earlier","Line still building")),"Hardly any line")))</f>
        <v>Steady: Little's Law holds</v>
      </c>
    </row>
    <row r="68" customFormat="false" ht="21.75" hidden="false" customHeight="true" outlineLevel="0" collapsed="false">
      <c r="A68" s="13" t="s">
        <v>327</v>
      </c>
      <c r="B68" s="13" t="s">
        <v>325</v>
      </c>
      <c r="C68" s="26" t="s">
        <v>346</v>
      </c>
      <c r="D68" s="50" t="n">
        <f aca="false">'Sim Data'!$E$207</f>
        <v>18.49</v>
      </c>
      <c r="E68" s="51" t="n">
        <f aca="false">'Sim Data'!$G$207</f>
        <v>0.1004</v>
      </c>
      <c r="F68" s="52" t="n">
        <f aca="false">IF(E68&gt;0,1/E68,Assumptions!$B$21)</f>
        <v>9.9601593625498</v>
      </c>
      <c r="G68" s="53" t="n">
        <f aca="false">Assumptions!$B$20</f>
        <v>2</v>
      </c>
      <c r="H68" s="54" t="n">
        <f aca="false">D68/(G68*F68)</f>
        <v>0.928198</v>
      </c>
      <c r="I68" s="26" t="str">
        <f aca="false">IF(D68=0,"no arrivals",IF(H68&lt;0.85,"stable",IF(H68&lt;1,"near capacity","over capacity")))</f>
        <v>near capacity</v>
      </c>
      <c r="J68" s="47" t="n">
        <f aca="false">IF(AND(D68&gt;0,H68&lt;1),((D68/F68)^G68/FACT(G68)/(1-H68))/(SUMPRODUCT(--({0,1,2,3,4,5,6,7,8,9}&lt;G68),(D68/F68)^{0,1,2,3,4,5,6,7,8,9}/FACT({0,1,2,3,4,5,6,7,8,9}))+((D68/F68)^G68/FACT(G68)/(1-H68)))/(G68*F68-D68),"—")</f>
        <v>0.624779541329694</v>
      </c>
      <c r="K68" s="47" t="n">
        <f aca="false">IF(ISNUMBER(J68),(1+Assumptions!$B$22^2)/2*J68,"—")</f>
        <v>0.424850088104192</v>
      </c>
      <c r="L68" s="55" t="n">
        <f aca="false">'Sim Data'!$F$207</f>
        <v>0.2595</v>
      </c>
      <c r="M68" s="50" t="n">
        <f aca="false">'Sim Data'!$H$207</f>
        <v>4.575</v>
      </c>
      <c r="N68" s="52" t="n">
        <f aca="false">D68*L68</f>
        <v>4.798155</v>
      </c>
      <c r="O68" s="47" t="n">
        <f aca="false">IF(MAX(M68,N68)&lt;0.5,"both ≈ 0",IF(N68=0,"no new arrivals",M68/N68))</f>
        <v>0.953491498294657</v>
      </c>
      <c r="P68" s="13" t="str">
        <f aca="false">IF(D68=0,"",IF(H68&gt;=1,"No steady state: the line grows by about "&amp;TEXT((D68-G68*F68)*10,"0")&amp;" in 10 min",IF(ISNUMBER(O68),IF(ABS(O68-1)&lt;=0.2,"Steady: Little's Law holds",IF(O68&gt;1,"Draining a line left from earlier","Line still building")),"Hardly any line")))</f>
        <v>Steady: Little's Law holds</v>
      </c>
    </row>
    <row r="69" customFormat="false" ht="21.75" hidden="false" customHeight="true" outlineLevel="0" collapsed="false">
      <c r="A69" s="13" t="s">
        <v>327</v>
      </c>
      <c r="B69" s="13" t="s">
        <v>325</v>
      </c>
      <c r="C69" s="26" t="s">
        <v>347</v>
      </c>
      <c r="D69" s="50" t="n">
        <f aca="false">'Sim Data'!$E$208</f>
        <v>18.78</v>
      </c>
      <c r="E69" s="51" t="n">
        <f aca="false">'Sim Data'!$G$208</f>
        <v>0.1011</v>
      </c>
      <c r="F69" s="52" t="n">
        <f aca="false">IF(E69&gt;0,1/E69,Assumptions!$B$21)</f>
        <v>9.89119683481701</v>
      </c>
      <c r="G69" s="53" t="n">
        <f aca="false">Assumptions!$B$20</f>
        <v>2</v>
      </c>
      <c r="H69" s="54" t="n">
        <f aca="false">D69/(G69*F69)</f>
        <v>0.949329</v>
      </c>
      <c r="I69" s="26" t="str">
        <f aca="false">IF(D69=0,"no arrivals",IF(H69&lt;0.85,"stable",IF(H69&lt;1,"near capacity","over capacity")))</f>
        <v>near capacity</v>
      </c>
      <c r="J69" s="47" t="n">
        <f aca="false">IF(AND(D69&gt;0,H69&lt;1),((D69/F69)^G69/FACT(G69)/(1-H69))/(SUMPRODUCT(--({0,1,2,3,4,5,6,7,8,9}&lt;G69),(D69/F69)^{0,1,2,3,4,5,6,7,8,9}/FACT({0,1,2,3,4,5,6,7,8,9}))+((D69/F69)^G69/FACT(G69)/(1-H69)))/(G69*F69-D69),"—")</f>
        <v>0.922444046528979</v>
      </c>
      <c r="K69" s="47" t="n">
        <f aca="false">IF(ISNUMBER(J69),(1+Assumptions!$B$22^2)/2*J69,"—")</f>
        <v>0.627261951639705</v>
      </c>
      <c r="L69" s="55" t="n">
        <f aca="false">'Sim Data'!$F$208</f>
        <v>0.5683</v>
      </c>
      <c r="M69" s="50" t="n">
        <f aca="false">'Sim Data'!$H$208</f>
        <v>10.4922</v>
      </c>
      <c r="N69" s="52" t="n">
        <f aca="false">D69*L69</f>
        <v>10.672674</v>
      </c>
      <c r="O69" s="47" t="n">
        <f aca="false">IF(MAX(M69,N69)&lt;0.5,"both ≈ 0",IF(N69=0,"no new arrivals",M69/N69))</f>
        <v>0.983090085952218</v>
      </c>
      <c r="P69" s="13" t="str">
        <f aca="false">IF(D69=0,"",IF(H69&gt;=1,"No steady state: the line grows by about "&amp;TEXT((D69-G69*F69)*10,"0")&amp;" in 10 min",IF(ISNUMBER(O69),IF(ABS(O69-1)&lt;=0.2,"Steady: Little's Law holds",IF(O69&gt;1,"Draining a line left from earlier","Line still building")),"Hardly any line")))</f>
        <v>Steady: Little's Law holds</v>
      </c>
    </row>
    <row r="70" customFormat="false" ht="21.75" hidden="false" customHeight="true" outlineLevel="0" collapsed="false">
      <c r="A70" s="13" t="s">
        <v>327</v>
      </c>
      <c r="B70" s="13" t="s">
        <v>325</v>
      </c>
      <c r="C70" s="26" t="s">
        <v>155</v>
      </c>
      <c r="D70" s="50" t="n">
        <f aca="false">'Sim Data'!$E$209</f>
        <v>21.315</v>
      </c>
      <c r="E70" s="51" t="n">
        <f aca="false">'Sim Data'!$G$209</f>
        <v>0.0997</v>
      </c>
      <c r="F70" s="52" t="n">
        <f aca="false">IF(E70&gt;0,1/E70,Assumptions!$B$21)</f>
        <v>10.0300902708124</v>
      </c>
      <c r="G70" s="53" t="n">
        <f aca="false">Assumptions!$B$20</f>
        <v>2</v>
      </c>
      <c r="H70" s="54" t="n">
        <f aca="false">D70/(G70*F70)</f>
        <v>1.06255275</v>
      </c>
      <c r="I70" s="26" t="str">
        <f aca="false">IF(D70=0,"no arrivals",IF(H70&lt;0.85,"stable",IF(H70&lt;1,"near capacity","over capacity")))</f>
        <v>over capacity</v>
      </c>
      <c r="J70" s="47" t="str">
        <f aca="false">IF(AND(D70&gt;0,H70&lt;1),((D70/F70)^G70/FACT(G70)/(1-H70))/(SUMPRODUCT(--({0,1,2,3,4,5,6,7,8,9}&lt;G70),(D70/F70)^{0,1,2,3,4,5,6,7,8,9}/FACT({0,1,2,3,4,5,6,7,8,9}))+((D70/F70)^G70/FACT(G70)/(1-H70)))/(G70*F70-D70),"—")</f>
        <v>—</v>
      </c>
      <c r="K70" s="47" t="str">
        <f aca="false">IF(ISNUMBER(J70),(1+Assumptions!$B$22^2)/2*J70,"—")</f>
        <v>—</v>
      </c>
      <c r="L70" s="55" t="n">
        <f aca="false">'Sim Data'!$F$209</f>
        <v>0.9543</v>
      </c>
      <c r="M70" s="50" t="n">
        <f aca="false">'Sim Data'!$H$209</f>
        <v>18.8872</v>
      </c>
      <c r="N70" s="52" t="n">
        <f aca="false">D70*L70</f>
        <v>20.3409045</v>
      </c>
      <c r="O70" s="47" t="n">
        <f aca="false">IF(MAX(M70,N70)&lt;0.5,"both ≈ 0",IF(N70=0,"no new arrivals",M70/N70))</f>
        <v>0.928532946998498</v>
      </c>
      <c r="P70" s="13" t="str">
        <f aca="false">IF(D70=0,"",IF(H70&gt;=1,"No steady state: the line grows by about "&amp;TEXT((D70-G70*F70)*10,"0")&amp;" in 10 min",IF(ISNUMBER(O70),IF(ABS(O70-1)&lt;=0.2,"Steady: Little's Law holds",IF(O70&gt;1,"Draining a line left from earlier","Line still building")),"Hardly any line")))</f>
        <v>No steady state: the line grows by about 13 in 10 min</v>
      </c>
    </row>
    <row r="71" customFormat="false" ht="21.75" hidden="false" customHeight="true" outlineLevel="0" collapsed="false">
      <c r="A71" s="13" t="s">
        <v>327</v>
      </c>
      <c r="B71" s="13" t="s">
        <v>325</v>
      </c>
      <c r="C71" s="26" t="s">
        <v>159</v>
      </c>
      <c r="D71" s="50" t="n">
        <f aca="false">'Sim Data'!$E$210</f>
        <v>19.125</v>
      </c>
      <c r="E71" s="51" t="n">
        <f aca="false">'Sim Data'!$G$210</f>
        <v>0.0986</v>
      </c>
      <c r="F71" s="52" t="n">
        <f aca="false">IF(E71&gt;0,1/E71,Assumptions!$B$21)</f>
        <v>10.1419878296146</v>
      </c>
      <c r="G71" s="53" t="n">
        <f aca="false">Assumptions!$B$20</f>
        <v>2</v>
      </c>
      <c r="H71" s="54" t="n">
        <f aca="false">D71/(G71*F71)</f>
        <v>0.9428625</v>
      </c>
      <c r="I71" s="26" t="str">
        <f aca="false">IF(D71=0,"no arrivals",IF(H71&lt;0.85,"stable",IF(H71&lt;1,"near capacity","over capacity")))</f>
        <v>near capacity</v>
      </c>
      <c r="J71" s="47" t="n">
        <f aca="false">IF(AND(D71&gt;0,H71&lt;1),((D71/F71)^G71/FACT(G71)/(1-H71))/(SUMPRODUCT(--({0,1,2,3,4,5,6,7,8,9}&lt;G71),(D71/F71)^{0,1,2,3,4,5,6,7,8,9}/FACT({0,1,2,3,4,5,6,7,8,9}))+((D71/F71)^G71/FACT(G71)/(1-H71)))/(G71*F71-D71),"—")</f>
        <v>0.789605820428336</v>
      </c>
      <c r="K71" s="47" t="n">
        <f aca="false">IF(ISNUMBER(J71),(1+Assumptions!$B$22^2)/2*J71,"—")</f>
        <v>0.536931957891269</v>
      </c>
      <c r="L71" s="55" t="n">
        <f aca="false">'Sim Data'!$F$210</f>
        <v>1.1538</v>
      </c>
      <c r="M71" s="50" t="n">
        <f aca="false">'Sim Data'!$H$210</f>
        <v>21.1498</v>
      </c>
      <c r="N71" s="52" t="n">
        <f aca="false">D71*L71</f>
        <v>22.066425</v>
      </c>
      <c r="O71" s="47" t="n">
        <f aca="false">IF(MAX(M71,N71)&lt;0.5,"both ≈ 0",IF(N71=0,"no new arrivals",M71/N71))</f>
        <v>0.958460647794103</v>
      </c>
      <c r="P71" s="13" t="str">
        <f aca="false">IF(D71=0,"",IF(H71&gt;=1,"No steady state: the line grows by about "&amp;TEXT((D71-G71*F71)*10,"0")&amp;" in 10 min",IF(ISNUMBER(O71),IF(ABS(O71-1)&lt;=0.2,"Steady: Little's Law holds",IF(O71&gt;1,"Draining a line left from earlier","Line still building")),"Hardly any line")))</f>
        <v>Steady: Little's Law holds</v>
      </c>
    </row>
    <row r="72" customFormat="false" ht="21.75" hidden="false" customHeight="true" outlineLevel="0" collapsed="false">
      <c r="A72" s="13" t="s">
        <v>327</v>
      </c>
      <c r="B72" s="13" t="s">
        <v>325</v>
      </c>
      <c r="C72" s="26" t="s">
        <v>162</v>
      </c>
      <c r="D72" s="50" t="n">
        <f aca="false">'Sim Data'!$E$211</f>
        <v>16.135</v>
      </c>
      <c r="E72" s="51" t="n">
        <f aca="false">'Sim Data'!$G$211</f>
        <v>0.1004</v>
      </c>
      <c r="F72" s="52" t="n">
        <f aca="false">IF(E72&gt;0,1/E72,Assumptions!$B$21)</f>
        <v>9.9601593625498</v>
      </c>
      <c r="G72" s="53" t="n">
        <f aca="false">Assumptions!$B$20</f>
        <v>2</v>
      </c>
      <c r="H72" s="54" t="n">
        <f aca="false">D72/(G72*F72)</f>
        <v>0.809977</v>
      </c>
      <c r="I72" s="26" t="str">
        <f aca="false">IF(D72=0,"no arrivals",IF(H72&lt;0.85,"stable",IF(H72&lt;1,"near capacity","over capacity")))</f>
        <v>stable</v>
      </c>
      <c r="J72" s="47" t="n">
        <f aca="false">IF(AND(D72&gt;0,H72&lt;1),((D72/F72)^G72/FACT(G72)/(1-H72))/(SUMPRODUCT(--({0,1,2,3,4,5,6,7,8,9}&lt;G72),(D72/F72)^{0,1,2,3,4,5,6,7,8,9}/FACT({0,1,2,3,4,5,6,7,8,9}))+((D72/F72)^G72/FACT(G72)/(1-H72)))/(G72*F72-D72),"—")</f>
        <v>0.191513705873049</v>
      </c>
      <c r="K72" s="47" t="n">
        <f aca="false">IF(ISNUMBER(J72),(1+Assumptions!$B$22^2)/2*J72,"—")</f>
        <v>0.130229319993673</v>
      </c>
      <c r="L72" s="55" t="n">
        <f aca="false">'Sim Data'!$F$211</f>
        <v>0.8903</v>
      </c>
      <c r="M72" s="50" t="n">
        <f aca="false">'Sim Data'!$H$211</f>
        <v>16.7096</v>
      </c>
      <c r="N72" s="52" t="n">
        <f aca="false">D72*L72</f>
        <v>14.3649905</v>
      </c>
      <c r="O72" s="47" t="n">
        <f aca="false">IF(MAX(M72,N72)&lt;0.5,"both ≈ 0",IF(N72=0,"no new arrivals",M72/N72))</f>
        <v>1.16321691963528</v>
      </c>
      <c r="P72" s="13" t="str">
        <f aca="false">IF(D72=0,"",IF(H72&gt;=1,"No steady state: the line grows by about "&amp;TEXT((D72-G72*F72)*10,"0")&amp;" in 10 min",IF(ISNUMBER(O72),IF(ABS(O72-1)&lt;=0.2,"Steady: Little's Law holds",IF(O72&gt;1,"Draining a line left from earlier","Line still building")),"Hardly any line")))</f>
        <v>Steady: Little's Law holds</v>
      </c>
    </row>
    <row r="73" customFormat="false" ht="21.75" hidden="false" customHeight="true" outlineLevel="0" collapsed="false">
      <c r="A73" s="13" t="s">
        <v>327</v>
      </c>
      <c r="B73" s="13" t="s">
        <v>325</v>
      </c>
      <c r="C73" s="26" t="s">
        <v>147</v>
      </c>
      <c r="D73" s="50" t="n">
        <f aca="false">'Sim Data'!$E$212</f>
        <v>20.57</v>
      </c>
      <c r="E73" s="51" t="n">
        <f aca="false">'Sim Data'!$G$212</f>
        <v>0.1</v>
      </c>
      <c r="F73" s="52" t="n">
        <f aca="false">IF(E73&gt;0,1/E73,Assumptions!$B$21)</f>
        <v>10</v>
      </c>
      <c r="G73" s="53" t="n">
        <f aca="false">Assumptions!$B$20</f>
        <v>2</v>
      </c>
      <c r="H73" s="54" t="n">
        <f aca="false">D73/(G73*F73)</f>
        <v>1.0285</v>
      </c>
      <c r="I73" s="26" t="str">
        <f aca="false">IF(D73=0,"no arrivals",IF(H73&lt;0.85,"stable",IF(H73&lt;1,"near capacity","over capacity")))</f>
        <v>over capacity</v>
      </c>
      <c r="J73" s="47" t="str">
        <f aca="false">IF(AND(D73&gt;0,H73&lt;1),((D73/F73)^G73/FACT(G73)/(1-H73))/(SUMPRODUCT(--({0,1,2,3,4,5,6,7,8,9}&lt;G73),(D73/F73)^{0,1,2,3,4,5,6,7,8,9}/FACT({0,1,2,3,4,5,6,7,8,9}))+((D73/F73)^G73/FACT(G73)/(1-H73)))/(G73*F73-D73),"—")</f>
        <v>—</v>
      </c>
      <c r="K73" s="47" t="str">
        <f aca="false">IF(ISNUMBER(J73),(1+Assumptions!$B$22^2)/2*J73,"—")</f>
        <v>—</v>
      </c>
      <c r="L73" s="55" t="n">
        <f aca="false">'Sim Data'!$F$212</f>
        <v>0.6329</v>
      </c>
      <c r="M73" s="50" t="n">
        <f aca="false">'Sim Data'!$H$212</f>
        <v>11.3914</v>
      </c>
      <c r="N73" s="52" t="n">
        <f aca="false">D73*L73</f>
        <v>13.018753</v>
      </c>
      <c r="O73" s="47" t="n">
        <f aca="false">IF(MAX(M73,N73)&lt;0.5,"both ≈ 0",IF(N73=0,"no new arrivals",M73/N73))</f>
        <v>0.874999318291084</v>
      </c>
      <c r="P73" s="13" t="str">
        <f aca="false">IF(D73=0,"",IF(H73&gt;=1,"No steady state: the line grows by about "&amp;TEXT((D73-G73*F73)*10,"0")&amp;" in 10 min",IF(ISNUMBER(O73),IF(ABS(O73-1)&lt;=0.2,"Steady: Little's Law holds",IF(O73&gt;1,"Draining a line left from earlier","Line still building")),"Hardly any line")))</f>
        <v>No steady state: the line grows by about 6 in 10 min</v>
      </c>
    </row>
    <row r="74" customFormat="false" ht="21.75" hidden="false" customHeight="true" outlineLevel="0" collapsed="false">
      <c r="A74" s="13" t="s">
        <v>327</v>
      </c>
      <c r="B74" s="13" t="s">
        <v>325</v>
      </c>
      <c r="C74" s="26" t="s">
        <v>348</v>
      </c>
      <c r="D74" s="50" t="n">
        <f aca="false">'Sim Data'!$E$213</f>
        <v>21.425</v>
      </c>
      <c r="E74" s="51" t="n">
        <f aca="false">'Sim Data'!$G$213</f>
        <v>0.0994</v>
      </c>
      <c r="F74" s="52" t="n">
        <f aca="false">IF(E74&gt;0,1/E74,Assumptions!$B$21)</f>
        <v>10.0603621730382</v>
      </c>
      <c r="G74" s="53" t="n">
        <f aca="false">Assumptions!$B$20</f>
        <v>2</v>
      </c>
      <c r="H74" s="54" t="n">
        <f aca="false">D74/(G74*F74)</f>
        <v>1.0648225</v>
      </c>
      <c r="I74" s="26" t="str">
        <f aca="false">IF(D74=0,"no arrivals",IF(H74&lt;0.85,"stable",IF(H74&lt;1,"near capacity","over capacity")))</f>
        <v>over capacity</v>
      </c>
      <c r="J74" s="47" t="str">
        <f aca="false">IF(AND(D74&gt;0,H74&lt;1),((D74/F74)^G74/FACT(G74)/(1-H74))/(SUMPRODUCT(--({0,1,2,3,4,5,6,7,8,9}&lt;G74),(D74/F74)^{0,1,2,3,4,5,6,7,8,9}/FACT({0,1,2,3,4,5,6,7,8,9}))+((D74/F74)^G74/FACT(G74)/(1-H74)))/(G74*F74-D74),"—")</f>
        <v>—</v>
      </c>
      <c r="K74" s="47" t="str">
        <f aca="false">IF(ISNUMBER(J74),(1+Assumptions!$B$22^2)/2*J74,"—")</f>
        <v>—</v>
      </c>
      <c r="L74" s="55" t="n">
        <f aca="false">'Sim Data'!$F$213</f>
        <v>1.8116</v>
      </c>
      <c r="M74" s="50" t="n">
        <f aca="false">'Sim Data'!$H$213</f>
        <v>36.3816</v>
      </c>
      <c r="N74" s="52" t="n">
        <f aca="false">D74*L74</f>
        <v>38.81353</v>
      </c>
      <c r="O74" s="47" t="n">
        <f aca="false">IF(MAX(M74,N74)&lt;0.5,"both ≈ 0",IF(N74=0,"no new arrivals",M74/N74))</f>
        <v>0.937343240875025</v>
      </c>
      <c r="P74" s="13" t="str">
        <f aca="false">IF(D74=0,"",IF(H74&gt;=1,"No steady state: the line grows by about "&amp;TEXT((D74-G74*F74)*10,"0")&amp;" in 10 min",IF(ISNUMBER(O74),IF(ABS(O74-1)&lt;=0.2,"Steady: Little's Law holds",IF(O74&gt;1,"Draining a line left from earlier","Line still building")),"Hardly any line")))</f>
        <v>No steady state: the line grows by about 13 in 10 min</v>
      </c>
    </row>
    <row r="75" customFormat="false" ht="21.75" hidden="false" customHeight="true" outlineLevel="0" collapsed="false">
      <c r="A75" s="13" t="s">
        <v>327</v>
      </c>
      <c r="B75" s="13" t="s">
        <v>325</v>
      </c>
      <c r="C75" s="26" t="s">
        <v>349</v>
      </c>
      <c r="D75" s="50" t="n">
        <f aca="false">'Sim Data'!$E$214</f>
        <v>19.955</v>
      </c>
      <c r="E75" s="51" t="n">
        <f aca="false">'Sim Data'!$G$214</f>
        <v>0.1006</v>
      </c>
      <c r="F75" s="52" t="n">
        <f aca="false">IF(E75&gt;0,1/E75,Assumptions!$B$21)</f>
        <v>9.9403578528827</v>
      </c>
      <c r="G75" s="53" t="n">
        <f aca="false">Assumptions!$B$20</f>
        <v>2</v>
      </c>
      <c r="H75" s="54" t="n">
        <f aca="false">D75/(G75*F75)</f>
        <v>1.0037365</v>
      </c>
      <c r="I75" s="26" t="str">
        <f aca="false">IF(D75=0,"no arrivals",IF(H75&lt;0.85,"stable",IF(H75&lt;1,"near capacity","over capacity")))</f>
        <v>over capacity</v>
      </c>
      <c r="J75" s="47" t="str">
        <f aca="false">IF(AND(D75&gt;0,H75&lt;1),((D75/F75)^G75/FACT(G75)/(1-H75))/(SUMPRODUCT(--({0,1,2,3,4,5,6,7,8,9}&lt;G75),(D75/F75)^{0,1,2,3,4,5,6,7,8,9}/FACT({0,1,2,3,4,5,6,7,8,9}))+((D75/F75)^G75/FACT(G75)/(1-H75)))/(G75*F75-D75),"—")</f>
        <v>—</v>
      </c>
      <c r="K75" s="47" t="str">
        <f aca="false">IF(ISNUMBER(J75),(1+Assumptions!$B$22^2)/2*J75,"—")</f>
        <v>—</v>
      </c>
      <c r="L75" s="55" t="n">
        <f aca="false">'Sim Data'!$F$214</f>
        <v>2.1938</v>
      </c>
      <c r="M75" s="50" t="n">
        <f aca="false">'Sim Data'!$H$214</f>
        <v>43.5311</v>
      </c>
      <c r="N75" s="52" t="n">
        <f aca="false">D75*L75</f>
        <v>43.777279</v>
      </c>
      <c r="O75" s="47" t="n">
        <f aca="false">IF(MAX(M75,N75)&lt;0.5,"both ≈ 0",IF(N75=0,"no new arrivals",M75/N75))</f>
        <v>0.994376557757279</v>
      </c>
      <c r="P75" s="13" t="str">
        <f aca="false">IF(D75=0,"",IF(H75&gt;=1,"No steady state: the line grows by about "&amp;TEXT((D75-G75*F75)*10,"0")&amp;" in 10 min",IF(ISNUMBER(O75),IF(ABS(O75-1)&lt;=0.2,"Steady: Little's Law holds",IF(O75&gt;1,"Draining a line left from earlier","Line still building")),"Hardly any line")))</f>
        <v>No steady state: the line grows by about 1 in 10 min</v>
      </c>
    </row>
    <row r="76" customFormat="false" ht="21.75" hidden="false" customHeight="true" outlineLevel="0" collapsed="false">
      <c r="A76" s="13" t="s">
        <v>327</v>
      </c>
      <c r="B76" s="13" t="s">
        <v>325</v>
      </c>
      <c r="C76" s="26" t="s">
        <v>156</v>
      </c>
      <c r="D76" s="50" t="n">
        <f aca="false">'Sim Data'!$E$215</f>
        <v>18.14</v>
      </c>
      <c r="E76" s="51" t="n">
        <f aca="false">'Sim Data'!$G$215</f>
        <v>0.0996</v>
      </c>
      <c r="F76" s="52" t="n">
        <f aca="false">IF(E76&gt;0,1/E76,Assumptions!$B$21)</f>
        <v>10.0401606425703</v>
      </c>
      <c r="G76" s="53" t="n">
        <f aca="false">Assumptions!$B$20</f>
        <v>2</v>
      </c>
      <c r="H76" s="54" t="n">
        <f aca="false">D76/(G76*F76)</f>
        <v>0.903372</v>
      </c>
      <c r="I76" s="26" t="str">
        <f aca="false">IF(D76=0,"no arrivals",IF(H76&lt;0.85,"stable",IF(H76&lt;1,"near capacity","over capacity")))</f>
        <v>near capacity</v>
      </c>
      <c r="J76" s="47" t="n">
        <f aca="false">IF(AND(D76&gt;0,H76&lt;1),((D76/F76)^G76/FACT(G76)/(1-H76))/(SUMPRODUCT(--({0,1,2,3,4,5,6,7,8,9}&lt;G76),(D76/F76)^{0,1,2,3,4,5,6,7,8,9}/FACT({0,1,2,3,4,5,6,7,8,9}))+((D76/F76)^G76/FACT(G76)/(1-H76)))/(G76*F76-D76),"—")</f>
        <v>0.441942657157078</v>
      </c>
      <c r="K76" s="47" t="n">
        <f aca="false">IF(ISNUMBER(J76),(1+Assumptions!$B$22^2)/2*J76,"—")</f>
        <v>0.300521006866813</v>
      </c>
      <c r="L76" s="55" t="n">
        <f aca="false">'Sim Data'!$F$215</f>
        <v>1.9222</v>
      </c>
      <c r="M76" s="50" t="n">
        <f aca="false">'Sim Data'!$H$215</f>
        <v>34.7681</v>
      </c>
      <c r="N76" s="52" t="n">
        <f aca="false">D76*L76</f>
        <v>34.868708</v>
      </c>
      <c r="O76" s="47" t="n">
        <f aca="false">IF(MAX(M76,N76)&lt;0.5,"both ≈ 0",IF(N76=0,"no new arrivals",M76/N76))</f>
        <v>0.997114662235263</v>
      </c>
      <c r="P76" s="13" t="str">
        <f aca="false">IF(D76=0,"",IF(H76&gt;=1,"No steady state: the line grows by about "&amp;TEXT((D76-G76*F76)*10,"0")&amp;" in 10 min",IF(ISNUMBER(O76),IF(ABS(O76-1)&lt;=0.2,"Steady: Little's Law holds",IF(O76&gt;1,"Draining a line left from earlier","Line still building")),"Hardly any line")))</f>
        <v>Steady: Little's Law holds</v>
      </c>
    </row>
    <row r="77" customFormat="false" ht="21.75" hidden="false" customHeight="true" outlineLevel="0" collapsed="false">
      <c r="A77" s="13" t="s">
        <v>327</v>
      </c>
      <c r="B77" s="13" t="s">
        <v>325</v>
      </c>
      <c r="C77" s="26" t="s">
        <v>160</v>
      </c>
      <c r="D77" s="50" t="n">
        <f aca="false">'Sim Data'!$E$216</f>
        <v>14.65</v>
      </c>
      <c r="E77" s="51" t="n">
        <f aca="false">'Sim Data'!$G$216</f>
        <v>0.1019</v>
      </c>
      <c r="F77" s="52" t="n">
        <f aca="false">IF(E77&gt;0,1/E77,Assumptions!$B$21)</f>
        <v>9.8135426889107</v>
      </c>
      <c r="G77" s="53" t="n">
        <f aca="false">Assumptions!$B$20</f>
        <v>2</v>
      </c>
      <c r="H77" s="54" t="n">
        <f aca="false">D77/(G77*F77)</f>
        <v>0.7464175</v>
      </c>
      <c r="I77" s="26" t="str">
        <f aca="false">IF(D77=0,"no arrivals",IF(H77&lt;0.85,"stable",IF(H77&lt;1,"near capacity","over capacity")))</f>
        <v>stable</v>
      </c>
      <c r="J77" s="47" t="n">
        <f aca="false">IF(AND(D77&gt;0,H77&lt;1),((D77/F77)^G77/FACT(G77)/(1-H77))/(SUMPRODUCT(--({0,1,2,3,4,5,6,7,8,9}&lt;G77),(D77/F77)^{0,1,2,3,4,5,6,7,8,9}/FACT({0,1,2,3,4,5,6,7,8,9}))+((D77/F77)^G77/FACT(G77)/(1-H77)))/(G77*F77-D77),"—")</f>
        <v>0.128194813944852</v>
      </c>
      <c r="K77" s="47" t="n">
        <f aca="false">IF(ISNUMBER(J77),(1+Assumptions!$B$22^2)/2*J77,"—")</f>
        <v>0.0871724734824991</v>
      </c>
      <c r="L77" s="55" t="n">
        <f aca="false">'Sim Data'!$F$216</f>
        <v>1.0969</v>
      </c>
      <c r="M77" s="50" t="n">
        <f aca="false">'Sim Data'!$H$216</f>
        <v>20.3581</v>
      </c>
      <c r="N77" s="52" t="n">
        <f aca="false">D77*L77</f>
        <v>16.069585</v>
      </c>
      <c r="O77" s="47" t="n">
        <f aca="false">IF(MAX(M77,N77)&lt;0.5,"both ≈ 0",IF(N77=0,"no new arrivals",M77/N77))</f>
        <v>1.26687154646495</v>
      </c>
      <c r="P77" s="13" t="str">
        <f aca="false">IF(D77=0,"",IF(H77&gt;=1,"No steady state: the line grows by about "&amp;TEXT((D77-G77*F77)*10,"0")&amp;" in 10 min",IF(ISNUMBER(O77),IF(ABS(O77-1)&lt;=0.2,"Steady: Little's Law holds",IF(O77&gt;1,"Draining a line left from earlier","Line still building")),"Hardly any line")))</f>
        <v>Draining a line left from earlier</v>
      </c>
    </row>
    <row r="78" customFormat="false" ht="21.75" hidden="false" customHeight="true" outlineLevel="0" collapsed="false">
      <c r="A78" s="13" t="s">
        <v>327</v>
      </c>
      <c r="B78" s="13" t="s">
        <v>325</v>
      </c>
      <c r="C78" s="26" t="s">
        <v>163</v>
      </c>
      <c r="D78" s="50" t="n">
        <f aca="false">'Sim Data'!$E$217</f>
        <v>7.49</v>
      </c>
      <c r="E78" s="51" t="n">
        <f aca="false">'Sim Data'!$G$217</f>
        <v>0.0991</v>
      </c>
      <c r="F78" s="52" t="n">
        <f aca="false">IF(E78&gt;0,1/E78,Assumptions!$B$21)</f>
        <v>10.0908173562059</v>
      </c>
      <c r="G78" s="53" t="n">
        <f aca="false">Assumptions!$B$20</f>
        <v>2</v>
      </c>
      <c r="H78" s="54" t="n">
        <f aca="false">D78/(G78*F78)</f>
        <v>0.3711295</v>
      </c>
      <c r="I78" s="26" t="str">
        <f aca="false">IF(D78=0,"no arrivals",IF(H78&lt;0.85,"stable",IF(H78&lt;1,"near capacity","over capacity")))</f>
        <v>stable</v>
      </c>
      <c r="J78" s="47" t="n">
        <f aca="false">IF(AND(D78&gt;0,H78&lt;1),((D78/F78)^G78/FACT(G78)/(1-H78))/(SUMPRODUCT(--({0,1,2,3,4,5,6,7,8,9}&lt;G78),(D78/F78)^{0,1,2,3,4,5,6,7,8,9}/FACT({0,1,2,3,4,5,6,7,8,9}))+((D78/F78)^G78/FACT(G78)/(1-H78)))/(G78*F78-D78),"—")</f>
        <v>0.0158301456240036</v>
      </c>
      <c r="K78" s="47" t="n">
        <f aca="false">IF(ISNUMBER(J78),(1+Assumptions!$B$22^2)/2*J78,"—")</f>
        <v>0.0107644990243225</v>
      </c>
      <c r="L78" s="55" t="n">
        <f aca="false">'Sim Data'!$F$217</f>
        <v>0.0843</v>
      </c>
      <c r="M78" s="50" t="n">
        <f aca="false">'Sim Data'!$H$217</f>
        <v>1.2219</v>
      </c>
      <c r="N78" s="52" t="n">
        <f aca="false">D78*L78</f>
        <v>0.631407</v>
      </c>
      <c r="O78" s="47" t="n">
        <f aca="false">IF(MAX(M78,N78)&lt;0.5,"both ≈ 0",IF(N78=0,"no new arrivals",M78/N78))</f>
        <v>1.93520185870603</v>
      </c>
      <c r="P78" s="13" t="str">
        <f aca="false">IF(D78=0,"",IF(H78&gt;=1,"No steady state: the line grows by about "&amp;TEXT((D78-G78*F78)*10,"0")&amp;" in 10 min",IF(ISNUMBER(O78),IF(ABS(O78-1)&lt;=0.2,"Steady: Little's Law holds",IF(O78&gt;1,"Draining a line left from earlier","Line still building")),"Hardly any line")))</f>
        <v>Draining a line left from earlier</v>
      </c>
    </row>
    <row r="79" customFormat="false" ht="21.75" hidden="false" customHeight="true" outlineLevel="0" collapsed="false">
      <c r="A79" s="13" t="s">
        <v>327</v>
      </c>
      <c r="B79" s="13" t="s">
        <v>325</v>
      </c>
      <c r="C79" s="26" t="s">
        <v>150</v>
      </c>
      <c r="D79" s="50" t="n">
        <f aca="false">'Sim Data'!$E$218</f>
        <v>0.275</v>
      </c>
      <c r="E79" s="51" t="n">
        <f aca="false">'Sim Data'!$G$218</f>
        <v>0.0997</v>
      </c>
      <c r="F79" s="52" t="n">
        <f aca="false">IF(E79&gt;0,1/E79,Assumptions!$B$21)</f>
        <v>10.0300902708124</v>
      </c>
      <c r="G79" s="53" t="n">
        <f aca="false">Assumptions!$B$20</f>
        <v>2</v>
      </c>
      <c r="H79" s="54" t="n">
        <f aca="false">D79/(G79*F79)</f>
        <v>0.01370875</v>
      </c>
      <c r="I79" s="26" t="str">
        <f aca="false">IF(D79=0,"no arrivals",IF(H79&lt;0.85,"stable",IF(H79&lt;1,"near capacity","over capacity")))</f>
        <v>stable</v>
      </c>
      <c r="J79" s="47" t="n">
        <f aca="false">IF(AND(D79&gt;0,H79&lt;1),((D79/F79)^G79/FACT(G79)/(1-H79))/(SUMPRODUCT(--({0,1,2,3,4,5,6,7,8,9}&lt;G79),(D79/F79)^{0,1,2,3,4,5,6,7,8,9}/FACT({0,1,2,3,4,5,6,7,8,9}))+((D79/F79)^G79/FACT(G79)/(1-H79)))/(G79*F79-D79),"—")</f>
        <v>1.87401255368232E-005</v>
      </c>
      <c r="K79" s="47" t="n">
        <f aca="false">IF(ISNUMBER(J79),(1+Assumptions!$B$22^2)/2*J79,"—")</f>
        <v>1.27432853650397E-005</v>
      </c>
      <c r="L79" s="55" t="n">
        <f aca="false">'Sim Data'!$F$218</f>
        <v>0.0029</v>
      </c>
      <c r="M79" s="50" t="n">
        <f aca="false">'Sim Data'!$H$218</f>
        <v>0.0008</v>
      </c>
      <c r="N79" s="52" t="n">
        <f aca="false">D79*L79</f>
        <v>0.0007975</v>
      </c>
      <c r="O79" s="47" t="str">
        <f aca="false">IF(MAX(M79,N79)&lt;0.5,"both ≈ 0",IF(N79=0,"no new arrivals",M79/N79))</f>
        <v>both ≈ 0</v>
      </c>
      <c r="P79" s="13" t="str">
        <f aca="false">IF(D79=0,"",IF(H79&gt;=1,"No steady state: the line grows by about "&amp;TEXT((D79-G79*F79)*10,"0")&amp;" in 10 min",IF(ISNUMBER(O79),IF(ABS(O79-1)&lt;=0.2,"Steady: Little's Law holds",IF(O79&gt;1,"Draining a line left from earlier","Line still building")),"Hardly any line")))</f>
        <v>Hardly any line</v>
      </c>
    </row>
    <row r="80" customFormat="false" ht="21.75" hidden="false" customHeight="true" outlineLevel="0" collapsed="false">
      <c r="A80" s="13" t="s">
        <v>327</v>
      </c>
      <c r="B80" s="13" t="s">
        <v>325</v>
      </c>
      <c r="C80" s="26" t="s">
        <v>350</v>
      </c>
      <c r="D80" s="50" t="n">
        <f aca="false">'Sim Data'!$E$219</f>
        <v>0</v>
      </c>
      <c r="E80" s="51" t="n">
        <f aca="false">'Sim Data'!$G$219</f>
        <v>0</v>
      </c>
      <c r="F80" s="52" t="n">
        <f aca="false">IF(E80&gt;0,1/E80,Assumptions!$B$21)</f>
        <v>10</v>
      </c>
      <c r="G80" s="53" t="n">
        <f aca="false">Assumptions!$B$20</f>
        <v>2</v>
      </c>
      <c r="H80" s="54" t="n">
        <f aca="false">D80/(G80*F80)</f>
        <v>0</v>
      </c>
      <c r="I80" s="26" t="str">
        <f aca="false">IF(D80=0,"no arrivals",IF(H80&lt;0.85,"stable",IF(H80&lt;1,"near capacity","over capacity")))</f>
        <v>no arrivals</v>
      </c>
      <c r="J80" s="47" t="str">
        <f aca="false">IF(AND(D80&gt;0,H80&lt;1),((D80/F80)^G80/FACT(G80)/(1-H80))/(SUMPRODUCT(--({0,1,2,3,4,5,6,7,8,9}&lt;G80),(D80/F80)^{0,1,2,3,4,5,6,7,8,9}/FACT({0,1,2,3,4,5,6,7,8,9}))+((D80/F80)^G80/FACT(G80)/(1-H80)))/(G80*F80-D80),"—")</f>
        <v>—</v>
      </c>
      <c r="K80" s="47" t="str">
        <f aca="false">IF(ISNUMBER(J80),(1+Assumptions!$B$22^2)/2*J80,"—")</f>
        <v>—</v>
      </c>
      <c r="L80" s="55" t="n">
        <f aca="false">'Sim Data'!$F$219</f>
        <v>0</v>
      </c>
      <c r="M80" s="50" t="n">
        <f aca="false">'Sim Data'!$H$219</f>
        <v>0</v>
      </c>
      <c r="N80" s="52" t="n">
        <f aca="false">D80*L80</f>
        <v>0</v>
      </c>
      <c r="O80" s="47" t="str">
        <f aca="false">IF(MAX(M80,N80)&lt;0.5,"both ≈ 0",IF(N80=0,"no new arrivals",M80/N80))</f>
        <v>both ≈ 0</v>
      </c>
      <c r="P80" s="13" t="str">
        <f aca="false">IF(D80=0,"",IF(H80&gt;=1,"No steady state: the line grows by about "&amp;TEXT((D80-G80*F80)*10,"0")&amp;" in 10 min",IF(ISNUMBER(O80),IF(ABS(O80-1)&lt;=0.2,"Steady: Little's Law holds",IF(O80&gt;1,"Draining a line left from earlier","Line still building")),"Hardly any line")))</f>
        <v/>
      </c>
    </row>
    <row r="81" customFormat="false" ht="21.75" hidden="false" customHeight="true" outlineLevel="0" collapsed="false">
      <c r="A81" s="13" t="s">
        <v>327</v>
      </c>
      <c r="B81" s="13" t="s">
        <v>325</v>
      </c>
      <c r="C81" s="26" t="s">
        <v>351</v>
      </c>
      <c r="D81" s="50" t="n">
        <f aca="false">'Sim Data'!$E$220</f>
        <v>0</v>
      </c>
      <c r="E81" s="51" t="n">
        <f aca="false">'Sim Data'!$G$220</f>
        <v>0</v>
      </c>
      <c r="F81" s="52" t="n">
        <f aca="false">IF(E81&gt;0,1/E81,Assumptions!$B$21)</f>
        <v>10</v>
      </c>
      <c r="G81" s="53" t="n">
        <f aca="false">Assumptions!$B$20</f>
        <v>2</v>
      </c>
      <c r="H81" s="54" t="n">
        <f aca="false">D81/(G81*F81)</f>
        <v>0</v>
      </c>
      <c r="I81" s="26" t="str">
        <f aca="false">IF(D81=0,"no arrivals",IF(H81&lt;0.85,"stable",IF(H81&lt;1,"near capacity","over capacity")))</f>
        <v>no arrivals</v>
      </c>
      <c r="J81" s="47" t="str">
        <f aca="false">IF(AND(D81&gt;0,H81&lt;1),((D81/F81)^G81/FACT(G81)/(1-H81))/(SUMPRODUCT(--({0,1,2,3,4,5,6,7,8,9}&lt;G81),(D81/F81)^{0,1,2,3,4,5,6,7,8,9}/FACT({0,1,2,3,4,5,6,7,8,9}))+((D81/F81)^G81/FACT(G81)/(1-H81)))/(G81*F81-D81),"—")</f>
        <v>—</v>
      </c>
      <c r="K81" s="47" t="str">
        <f aca="false">IF(ISNUMBER(J81),(1+Assumptions!$B$22^2)/2*J81,"—")</f>
        <v>—</v>
      </c>
      <c r="L81" s="55" t="n">
        <f aca="false">'Sim Data'!$F$220</f>
        <v>0</v>
      </c>
      <c r="M81" s="50" t="n">
        <f aca="false">'Sim Data'!$H$220</f>
        <v>0</v>
      </c>
      <c r="N81" s="52" t="n">
        <f aca="false">D81*L81</f>
        <v>0</v>
      </c>
      <c r="O81" s="47" t="str">
        <f aca="false">IF(MAX(M81,N81)&lt;0.5,"both ≈ 0",IF(N81=0,"no new arrivals",M81/N81))</f>
        <v>both ≈ 0</v>
      </c>
      <c r="P81" s="13" t="str">
        <f aca="false">IF(D81=0,"",IF(H81&gt;=1,"No steady state: the line grows by about "&amp;TEXT((D81-G81*F81)*10,"0")&amp;" in 10 min",IF(ISNUMBER(O81),IF(ABS(O81-1)&lt;=0.2,"Steady: Little's Law holds",IF(O81&gt;1,"Draining a line left from earlier","Line still building")),"Hardly any line")))</f>
        <v/>
      </c>
    </row>
    <row r="82" customFormat="false" ht="21.75" hidden="false" customHeight="true" outlineLevel="0" collapsed="false">
      <c r="A82" s="13" t="s">
        <v>327</v>
      </c>
      <c r="B82" s="13" t="s">
        <v>326</v>
      </c>
      <c r="C82" s="26" t="s">
        <v>343</v>
      </c>
      <c r="D82" s="50" t="n">
        <f aca="false">'Sim Data'!$E$293</f>
        <v>0</v>
      </c>
      <c r="E82" s="51" t="n">
        <f aca="false">'Sim Data'!$G$293</f>
        <v>0</v>
      </c>
      <c r="F82" s="52" t="n">
        <f aca="false">IF(E82&gt;0,1/E82,Assumptions!$B$21)</f>
        <v>10</v>
      </c>
      <c r="G82" s="53" t="n">
        <f aca="false">Assumptions!$B$20</f>
        <v>2</v>
      </c>
      <c r="H82" s="54" t="n">
        <f aca="false">D82/(G82*F82)</f>
        <v>0</v>
      </c>
      <c r="I82" s="26" t="str">
        <f aca="false">IF(D82=0,"no arrivals",IF(H82&lt;0.85,"stable",IF(H82&lt;1,"near capacity","over capacity")))</f>
        <v>no arrivals</v>
      </c>
      <c r="J82" s="47" t="str">
        <f aca="false">IF(AND(D82&gt;0,H82&lt;1),((D82/F82)^G82/FACT(G82)/(1-H82))/(SUMPRODUCT(--({0,1,2,3,4,5,6,7,8,9}&lt;G82),(D82/F82)^{0,1,2,3,4,5,6,7,8,9}/FACT({0,1,2,3,4,5,6,7,8,9}))+((D82/F82)^G82/FACT(G82)/(1-H82)))/(G82*F82-D82),"—")</f>
        <v>—</v>
      </c>
      <c r="K82" s="47" t="str">
        <f aca="false">IF(ISNUMBER(J82),(1+Assumptions!$B$22^2)/2*J82,"—")</f>
        <v>—</v>
      </c>
      <c r="L82" s="55" t="n">
        <f aca="false">'Sim Data'!$F$293</f>
        <v>0</v>
      </c>
      <c r="M82" s="50" t="n">
        <f aca="false">'Sim Data'!$H$293</f>
        <v>0</v>
      </c>
      <c r="N82" s="52" t="n">
        <f aca="false">D82*L82</f>
        <v>0</v>
      </c>
      <c r="O82" s="47" t="str">
        <f aca="false">IF(MAX(M82,N82)&lt;0.5,"both ≈ 0",IF(N82=0,"no new arrivals",M82/N82))</f>
        <v>both ≈ 0</v>
      </c>
      <c r="P82" s="13" t="str">
        <f aca="false">IF(D82=0,"",IF(H82&gt;=1,"No steady state: the line grows by about "&amp;TEXT((D82-G82*F82)*10,"0")&amp;" in 10 min",IF(ISNUMBER(O82),IF(ABS(O82-1)&lt;=0.2,"Steady: Little's Law holds",IF(O82&gt;1,"Draining a line left from earlier","Line still building")),"Hardly any line")))</f>
        <v/>
      </c>
    </row>
    <row r="83" customFormat="false" ht="21.75" hidden="false" customHeight="true" outlineLevel="0" collapsed="false">
      <c r="A83" s="13" t="s">
        <v>327</v>
      </c>
      <c r="B83" s="13" t="s">
        <v>326</v>
      </c>
      <c r="C83" s="26" t="s">
        <v>344</v>
      </c>
      <c r="D83" s="50" t="n">
        <f aca="false">'Sim Data'!$E$294</f>
        <v>0</v>
      </c>
      <c r="E83" s="51" t="n">
        <f aca="false">'Sim Data'!$G$294</f>
        <v>0</v>
      </c>
      <c r="F83" s="52" t="n">
        <f aca="false">IF(E83&gt;0,1/E83,Assumptions!$B$21)</f>
        <v>10</v>
      </c>
      <c r="G83" s="53" t="n">
        <f aca="false">Assumptions!$B$20</f>
        <v>2</v>
      </c>
      <c r="H83" s="54" t="n">
        <f aca="false">D83/(G83*F83)</f>
        <v>0</v>
      </c>
      <c r="I83" s="26" t="str">
        <f aca="false">IF(D83=0,"no arrivals",IF(H83&lt;0.85,"stable",IF(H83&lt;1,"near capacity","over capacity")))</f>
        <v>no arrivals</v>
      </c>
      <c r="J83" s="47" t="str">
        <f aca="false">IF(AND(D83&gt;0,H83&lt;1),((D83/F83)^G83/FACT(G83)/(1-H83))/(SUMPRODUCT(--({0,1,2,3,4,5,6,7,8,9}&lt;G83),(D83/F83)^{0,1,2,3,4,5,6,7,8,9}/FACT({0,1,2,3,4,5,6,7,8,9}))+((D83/F83)^G83/FACT(G83)/(1-H83)))/(G83*F83-D83),"—")</f>
        <v>—</v>
      </c>
      <c r="K83" s="47" t="str">
        <f aca="false">IF(ISNUMBER(J83),(1+Assumptions!$B$22^2)/2*J83,"—")</f>
        <v>—</v>
      </c>
      <c r="L83" s="55" t="n">
        <f aca="false">'Sim Data'!$F$294</f>
        <v>0</v>
      </c>
      <c r="M83" s="50" t="n">
        <f aca="false">'Sim Data'!$H$294</f>
        <v>0</v>
      </c>
      <c r="N83" s="52" t="n">
        <f aca="false">D83*L83</f>
        <v>0</v>
      </c>
      <c r="O83" s="47" t="str">
        <f aca="false">IF(MAX(M83,N83)&lt;0.5,"both ≈ 0",IF(N83=0,"no new arrivals",M83/N83))</f>
        <v>both ≈ 0</v>
      </c>
      <c r="P83" s="13" t="str">
        <f aca="false">IF(D83=0,"",IF(H83&gt;=1,"No steady state: the line grows by about "&amp;TEXT((D83-G83*F83)*10,"0")&amp;" in 10 min",IF(ISNUMBER(O83),IF(ABS(O83-1)&lt;=0.2,"Steady: Little's Law holds",IF(O83&gt;1,"Draining a line left from earlier","Line still building")),"Hardly any line")))</f>
        <v/>
      </c>
    </row>
    <row r="84" customFormat="false" ht="21.75" hidden="false" customHeight="true" outlineLevel="0" collapsed="false">
      <c r="A84" s="13" t="s">
        <v>327</v>
      </c>
      <c r="B84" s="13" t="s">
        <v>326</v>
      </c>
      <c r="C84" s="26" t="s">
        <v>345</v>
      </c>
      <c r="D84" s="50" t="n">
        <f aca="false">'Sim Data'!$E$295</f>
        <v>0</v>
      </c>
      <c r="E84" s="51" t="n">
        <f aca="false">'Sim Data'!$G$295</f>
        <v>0</v>
      </c>
      <c r="F84" s="52" t="n">
        <f aca="false">IF(E84&gt;0,1/E84,Assumptions!$B$21)</f>
        <v>10</v>
      </c>
      <c r="G84" s="53" t="n">
        <f aca="false">Assumptions!$B$20</f>
        <v>2</v>
      </c>
      <c r="H84" s="54" t="n">
        <f aca="false">D84/(G84*F84)</f>
        <v>0</v>
      </c>
      <c r="I84" s="26" t="str">
        <f aca="false">IF(D84=0,"no arrivals",IF(H84&lt;0.85,"stable",IF(H84&lt;1,"near capacity","over capacity")))</f>
        <v>no arrivals</v>
      </c>
      <c r="J84" s="47" t="str">
        <f aca="false">IF(AND(D84&gt;0,H84&lt;1),((D84/F84)^G84/FACT(G84)/(1-H84))/(SUMPRODUCT(--({0,1,2,3,4,5,6,7,8,9}&lt;G84),(D84/F84)^{0,1,2,3,4,5,6,7,8,9}/FACT({0,1,2,3,4,5,6,7,8,9}))+((D84/F84)^G84/FACT(G84)/(1-H84)))/(G84*F84-D84),"—")</f>
        <v>—</v>
      </c>
      <c r="K84" s="47" t="str">
        <f aca="false">IF(ISNUMBER(J84),(1+Assumptions!$B$22^2)/2*J84,"—")</f>
        <v>—</v>
      </c>
      <c r="L84" s="55" t="n">
        <f aca="false">'Sim Data'!$F$295</f>
        <v>0</v>
      </c>
      <c r="M84" s="50" t="n">
        <f aca="false">'Sim Data'!$H$295</f>
        <v>0</v>
      </c>
      <c r="N84" s="52" t="n">
        <f aca="false">D84*L84</f>
        <v>0</v>
      </c>
      <c r="O84" s="47" t="str">
        <f aca="false">IF(MAX(M84,N84)&lt;0.5,"both ≈ 0",IF(N84=0,"no new arrivals",M84/N84))</f>
        <v>both ≈ 0</v>
      </c>
      <c r="P84" s="13" t="str">
        <f aca="false">IF(D84=0,"",IF(H84&gt;=1,"No steady state: the line grows by about "&amp;TEXT((D84-G84*F84)*10,"0")&amp;" in 10 min",IF(ISNUMBER(O84),IF(ABS(O84-1)&lt;=0.2,"Steady: Little's Law holds",IF(O84&gt;1,"Draining a line left from earlier","Line still building")),"Hardly any line")))</f>
        <v/>
      </c>
    </row>
    <row r="85" customFormat="false" ht="21.75" hidden="false" customHeight="true" outlineLevel="0" collapsed="false">
      <c r="A85" s="13" t="s">
        <v>327</v>
      </c>
      <c r="B85" s="13" t="s">
        <v>326</v>
      </c>
      <c r="C85" s="26" t="s">
        <v>146</v>
      </c>
      <c r="D85" s="50" t="n">
        <f aca="false">'Sim Data'!$E$296</f>
        <v>3.655</v>
      </c>
      <c r="E85" s="51" t="n">
        <f aca="false">'Sim Data'!$G$296</f>
        <v>0.0953</v>
      </c>
      <c r="F85" s="52" t="n">
        <f aca="false">IF(E85&gt;0,1/E85,Assumptions!$B$21)</f>
        <v>10.4931794333683</v>
      </c>
      <c r="G85" s="53" t="n">
        <f aca="false">Assumptions!$B$20</f>
        <v>2</v>
      </c>
      <c r="H85" s="54" t="n">
        <f aca="false">D85/(G85*F85)</f>
        <v>0.17416075</v>
      </c>
      <c r="I85" s="26" t="str">
        <f aca="false">IF(D85=0,"no arrivals",IF(H85&lt;0.85,"stable",IF(H85&lt;1,"near capacity","over capacity")))</f>
        <v>stable</v>
      </c>
      <c r="J85" s="47" t="n">
        <f aca="false">IF(AND(D85&gt;0,H85&lt;1),((D85/F85)^G85/FACT(G85)/(1-H85))/(SUMPRODUCT(--({0,1,2,3,4,5,6,7,8,9}&lt;G85),(D85/F85)^{0,1,2,3,4,5,6,7,8,9}/FACT({0,1,2,3,4,5,6,7,8,9}))+((D85/F85)^G85/FACT(G85)/(1-H85)))/(G85*F85-D85),"—")</f>
        <v>0.00298105778581474</v>
      </c>
      <c r="K85" s="47" t="n">
        <f aca="false">IF(ISNUMBER(J85),(1+Assumptions!$B$22^2)/2*J85,"—")</f>
        <v>0.00202711929435402</v>
      </c>
      <c r="L85" s="55" t="n">
        <f aca="false">'Sim Data'!$F$296</f>
        <v>0.0021</v>
      </c>
      <c r="M85" s="50" t="n">
        <f aca="false">'Sim Data'!$H$296</f>
        <v>0.0077</v>
      </c>
      <c r="N85" s="52" t="n">
        <f aca="false">D85*L85</f>
        <v>0.0076755</v>
      </c>
      <c r="O85" s="47" t="str">
        <f aca="false">IF(MAX(M85,N85)&lt;0.5,"both ≈ 0",IF(N85=0,"no new arrivals",M85/N85))</f>
        <v>both ≈ 0</v>
      </c>
      <c r="P85" s="13" t="str">
        <f aca="false">IF(D85=0,"",IF(H85&gt;=1,"No steady state: the line grows by about "&amp;TEXT((D85-G85*F85)*10,"0")&amp;" in 10 min",IF(ISNUMBER(O85),IF(ABS(O85-1)&lt;=0.2,"Steady: Little's Law holds",IF(O85&gt;1,"Draining a line left from earlier","Line still building")),"Hardly any line")))</f>
        <v>Hardly any line</v>
      </c>
    </row>
    <row r="86" customFormat="false" ht="21.75" hidden="false" customHeight="true" outlineLevel="0" collapsed="false">
      <c r="A86" s="13" t="s">
        <v>327</v>
      </c>
      <c r="B86" s="13" t="s">
        <v>326</v>
      </c>
      <c r="C86" s="26" t="s">
        <v>346</v>
      </c>
      <c r="D86" s="50" t="n">
        <f aca="false">'Sim Data'!$E$297</f>
        <v>4.545</v>
      </c>
      <c r="E86" s="51" t="n">
        <f aca="false">'Sim Data'!$G$297</f>
        <v>0.0984</v>
      </c>
      <c r="F86" s="52" t="n">
        <f aca="false">IF(E86&gt;0,1/E86,Assumptions!$B$21)</f>
        <v>10.1626016260163</v>
      </c>
      <c r="G86" s="53" t="n">
        <f aca="false">Assumptions!$B$20</f>
        <v>2</v>
      </c>
      <c r="H86" s="54" t="n">
        <f aca="false">D86/(G86*F86)</f>
        <v>0.223614</v>
      </c>
      <c r="I86" s="26" t="str">
        <f aca="false">IF(D86=0,"no arrivals",IF(H86&lt;0.85,"stable",IF(H86&lt;1,"near capacity","over capacity")))</f>
        <v>stable</v>
      </c>
      <c r="J86" s="47" t="n">
        <f aca="false">IF(AND(D86&gt;0,H86&lt;1),((D86/F86)^G86/FACT(G86)/(1-H86))/(SUMPRODUCT(--({0,1,2,3,4,5,6,7,8,9}&lt;G86),(D86/F86)^{0,1,2,3,4,5,6,7,8,9}/FACT({0,1,2,3,4,5,6,7,8,9}))+((D86/F86)^G86/FACT(G86)/(1-H86)))/(G86*F86-D86),"—")</f>
        <v>0.00517929855632246</v>
      </c>
      <c r="K86" s="47" t="n">
        <f aca="false">IF(ISNUMBER(J86),(1+Assumptions!$B$22^2)/2*J86,"—")</f>
        <v>0.00352192301829927</v>
      </c>
      <c r="L86" s="55" t="n">
        <f aca="false">'Sim Data'!$F$297</f>
        <v>0.0034</v>
      </c>
      <c r="M86" s="50" t="n">
        <f aca="false">'Sim Data'!$H$297</f>
        <v>0.0154</v>
      </c>
      <c r="N86" s="52" t="n">
        <f aca="false">D86*L86</f>
        <v>0.015453</v>
      </c>
      <c r="O86" s="47" t="str">
        <f aca="false">IF(MAX(M86,N86)&lt;0.5,"both ≈ 0",IF(N86=0,"no new arrivals",M86/N86))</f>
        <v>both ≈ 0</v>
      </c>
      <c r="P86" s="13" t="str">
        <f aca="false">IF(D86=0,"",IF(H86&gt;=1,"No steady state: the line grows by about "&amp;TEXT((D86-G86*F86)*10,"0")&amp;" in 10 min",IF(ISNUMBER(O86),IF(ABS(O86-1)&lt;=0.2,"Steady: Little's Law holds",IF(O86&gt;1,"Draining a line left from earlier","Line still building")),"Hardly any line")))</f>
        <v>Hardly any line</v>
      </c>
    </row>
    <row r="87" customFormat="false" ht="21.75" hidden="false" customHeight="true" outlineLevel="0" collapsed="false">
      <c r="A87" s="13" t="s">
        <v>327</v>
      </c>
      <c r="B87" s="13" t="s">
        <v>326</v>
      </c>
      <c r="C87" s="26" t="s">
        <v>347</v>
      </c>
      <c r="D87" s="50" t="n">
        <f aca="false">'Sim Data'!$E$298</f>
        <v>5.02</v>
      </c>
      <c r="E87" s="51" t="n">
        <f aca="false">'Sim Data'!$G$298</f>
        <v>0.1007</v>
      </c>
      <c r="F87" s="52" t="n">
        <f aca="false">IF(E87&gt;0,1/E87,Assumptions!$B$21)</f>
        <v>9.9304865938431</v>
      </c>
      <c r="G87" s="53" t="n">
        <f aca="false">Assumptions!$B$20</f>
        <v>2</v>
      </c>
      <c r="H87" s="54" t="n">
        <f aca="false">D87/(G87*F87)</f>
        <v>0.252757</v>
      </c>
      <c r="I87" s="26" t="str">
        <f aca="false">IF(D87=0,"no arrivals",IF(H87&lt;0.85,"stable",IF(H87&lt;1,"near capacity","over capacity")))</f>
        <v>stable</v>
      </c>
      <c r="J87" s="47" t="n">
        <f aca="false">IF(AND(D87&gt;0,H87&lt;1),((D87/F87)^G87/FACT(G87)/(1-H87))/(SUMPRODUCT(--({0,1,2,3,4,5,6,7,8,9}&lt;G87),(D87/F87)^{0,1,2,3,4,5,6,7,8,9}/FACT({0,1,2,3,4,5,6,7,8,9}))+((D87/F87)^G87/FACT(G87)/(1-H87)))/(G87*F87-D87),"—")</f>
        <v>0.00687237993458213</v>
      </c>
      <c r="K87" s="47" t="n">
        <f aca="false">IF(ISNUMBER(J87),(1+Assumptions!$B$22^2)/2*J87,"—")</f>
        <v>0.00467321835551585</v>
      </c>
      <c r="L87" s="55" t="n">
        <f aca="false">'Sim Data'!$F$298</f>
        <v>0.0067</v>
      </c>
      <c r="M87" s="50" t="n">
        <f aca="false">'Sim Data'!$H$298</f>
        <v>0.0341</v>
      </c>
      <c r="N87" s="52" t="n">
        <f aca="false">D87*L87</f>
        <v>0.033634</v>
      </c>
      <c r="O87" s="47" t="str">
        <f aca="false">IF(MAX(M87,N87)&lt;0.5,"both ≈ 0",IF(N87=0,"no new arrivals",M87/N87))</f>
        <v>both ≈ 0</v>
      </c>
      <c r="P87" s="13" t="str">
        <f aca="false">IF(D87=0,"",IF(H87&gt;=1,"No steady state: the line grows by about "&amp;TEXT((D87-G87*F87)*10,"0")&amp;" in 10 min",IF(ISNUMBER(O87),IF(ABS(O87-1)&lt;=0.2,"Steady: Little's Law holds",IF(O87&gt;1,"Draining a line left from earlier","Line still building")),"Hardly any line")))</f>
        <v>Hardly any line</v>
      </c>
    </row>
    <row r="88" customFormat="false" ht="21.75" hidden="false" customHeight="true" outlineLevel="0" collapsed="false">
      <c r="A88" s="13" t="s">
        <v>327</v>
      </c>
      <c r="B88" s="13" t="s">
        <v>326</v>
      </c>
      <c r="C88" s="26" t="s">
        <v>155</v>
      </c>
      <c r="D88" s="50" t="n">
        <f aca="false">'Sim Data'!$E$299</f>
        <v>6.9</v>
      </c>
      <c r="E88" s="51" t="n">
        <f aca="false">'Sim Data'!$G$299</f>
        <v>0.101</v>
      </c>
      <c r="F88" s="52" t="n">
        <f aca="false">IF(E88&gt;0,1/E88,Assumptions!$B$21)</f>
        <v>9.9009900990099</v>
      </c>
      <c r="G88" s="53" t="n">
        <f aca="false">Assumptions!$B$20</f>
        <v>2</v>
      </c>
      <c r="H88" s="54" t="n">
        <f aca="false">D88/(G88*F88)</f>
        <v>0.34845</v>
      </c>
      <c r="I88" s="26" t="str">
        <f aca="false">IF(D88=0,"no arrivals",IF(H88&lt;0.85,"stable",IF(H88&lt;1,"near capacity","over capacity")))</f>
        <v>stable</v>
      </c>
      <c r="J88" s="47" t="n">
        <f aca="false">IF(AND(D88&gt;0,H88&lt;1),((D88/F88)^G88/FACT(G88)/(1-H88))/(SUMPRODUCT(--({0,1,2,3,4,5,6,7,8,9}&lt;G88),(D88/F88)^{0,1,2,3,4,5,6,7,8,9}/FACT({0,1,2,3,4,5,6,7,8,9}))+((D88/F88)^G88/FACT(G88)/(1-H88)))/(G88*F88-D88),"—")</f>
        <v>0.0139578881796597</v>
      </c>
      <c r="K88" s="47" t="n">
        <f aca="false">IF(ISNUMBER(J88),(1+Assumptions!$B$22^2)/2*J88,"—")</f>
        <v>0.00949136396216862</v>
      </c>
      <c r="L88" s="55" t="n">
        <f aca="false">'Sim Data'!$F$299</f>
        <v>0.0294</v>
      </c>
      <c r="M88" s="50" t="n">
        <f aca="false">'Sim Data'!$H$299</f>
        <v>0.2026</v>
      </c>
      <c r="N88" s="52" t="n">
        <f aca="false">D88*L88</f>
        <v>0.20286</v>
      </c>
      <c r="O88" s="47" t="str">
        <f aca="false">IF(MAX(M88,N88)&lt;0.5,"both ≈ 0",IF(N88=0,"no new arrivals",M88/N88))</f>
        <v>both ≈ 0</v>
      </c>
      <c r="P88" s="13" t="str">
        <f aca="false">IF(D88=0,"",IF(H88&gt;=1,"No steady state: the line grows by about "&amp;TEXT((D88-G88*F88)*10,"0")&amp;" in 10 min",IF(ISNUMBER(O88),IF(ABS(O88-1)&lt;=0.2,"Steady: Little's Law holds",IF(O88&gt;1,"Draining a line left from earlier","Line still building")),"Hardly any line")))</f>
        <v>Hardly any line</v>
      </c>
    </row>
    <row r="89" customFormat="false" ht="21.75" hidden="false" customHeight="true" outlineLevel="0" collapsed="false">
      <c r="A89" s="13" t="s">
        <v>327</v>
      </c>
      <c r="B89" s="13" t="s">
        <v>326</v>
      </c>
      <c r="C89" s="26" t="s">
        <v>159</v>
      </c>
      <c r="D89" s="50" t="n">
        <f aca="false">'Sim Data'!$E$300</f>
        <v>6.885</v>
      </c>
      <c r="E89" s="51" t="n">
        <f aca="false">'Sim Data'!$G$300</f>
        <v>0.0989</v>
      </c>
      <c r="F89" s="52" t="n">
        <f aca="false">IF(E89&gt;0,1/E89,Assumptions!$B$21)</f>
        <v>10.1112234580384</v>
      </c>
      <c r="G89" s="53" t="n">
        <f aca="false">Assumptions!$B$20</f>
        <v>2</v>
      </c>
      <c r="H89" s="54" t="n">
        <f aca="false">D89/(G89*F89)</f>
        <v>0.34046325</v>
      </c>
      <c r="I89" s="26" t="str">
        <f aca="false">IF(D89=0,"no arrivals",IF(H89&lt;0.85,"stable",IF(H89&lt;1,"near capacity","over capacity")))</f>
        <v>stable</v>
      </c>
      <c r="J89" s="47" t="n">
        <f aca="false">IF(AND(D89&gt;0,H89&lt;1),((D89/F89)^G89/FACT(G89)/(1-H89))/(SUMPRODUCT(--({0,1,2,3,4,5,6,7,8,9}&lt;G89),(D89/F89)^{0,1,2,3,4,5,6,7,8,9}/FACT({0,1,2,3,4,5,6,7,8,9}))+((D89/F89)^G89/FACT(G89)/(1-H89)))/(G89*F89-D89),"—")</f>
        <v>0.0129671000247868</v>
      </c>
      <c r="K89" s="47" t="n">
        <f aca="false">IF(ISNUMBER(J89),(1+Assumptions!$B$22^2)/2*J89,"—")</f>
        <v>0.00881762801685499</v>
      </c>
      <c r="L89" s="55" t="n">
        <f aca="false">'Sim Data'!$F$300</f>
        <v>0.0336</v>
      </c>
      <c r="M89" s="50" t="n">
        <f aca="false">'Sim Data'!$H$300</f>
        <v>0.2312</v>
      </c>
      <c r="N89" s="52" t="n">
        <f aca="false">D89*L89</f>
        <v>0.231336</v>
      </c>
      <c r="O89" s="47" t="str">
        <f aca="false">IF(MAX(M89,N89)&lt;0.5,"both ≈ 0",IF(N89=0,"no new arrivals",M89/N89))</f>
        <v>both ≈ 0</v>
      </c>
      <c r="P89" s="13" t="str">
        <f aca="false">IF(D89=0,"",IF(H89&gt;=1,"No steady state: the line grows by about "&amp;TEXT((D89-G89*F89)*10,"0")&amp;" in 10 min",IF(ISNUMBER(O89),IF(ABS(O89-1)&lt;=0.2,"Steady: Little's Law holds",IF(O89&gt;1,"Draining a line left from earlier","Line still building")),"Hardly any line")))</f>
        <v>Hardly any line</v>
      </c>
    </row>
    <row r="90" customFormat="false" ht="21.75" hidden="false" customHeight="true" outlineLevel="0" collapsed="false">
      <c r="A90" s="13" t="s">
        <v>327</v>
      </c>
      <c r="B90" s="13" t="s">
        <v>326</v>
      </c>
      <c r="C90" s="26" t="s">
        <v>162</v>
      </c>
      <c r="D90" s="50" t="n">
        <f aca="false">'Sim Data'!$E$301</f>
        <v>5.52</v>
      </c>
      <c r="E90" s="51" t="n">
        <f aca="false">'Sim Data'!$G$301</f>
        <v>0.0979</v>
      </c>
      <c r="F90" s="52" t="n">
        <f aca="false">IF(E90&gt;0,1/E90,Assumptions!$B$21)</f>
        <v>10.2145045965271</v>
      </c>
      <c r="G90" s="53" t="n">
        <f aca="false">Assumptions!$B$20</f>
        <v>2</v>
      </c>
      <c r="H90" s="54" t="n">
        <f aca="false">D90/(G90*F90)</f>
        <v>0.270204</v>
      </c>
      <c r="I90" s="26" t="str">
        <f aca="false">IF(D90=0,"no arrivals",IF(H90&lt;0.85,"stable",IF(H90&lt;1,"near capacity","over capacity")))</f>
        <v>stable</v>
      </c>
      <c r="J90" s="47" t="n">
        <f aca="false">IF(AND(D90&gt;0,H90&lt;1),((D90/F90)^G90/FACT(G90)/(1-H90))/(SUMPRODUCT(--({0,1,2,3,4,5,6,7,8,9}&lt;G90),(D90/F90)^{0,1,2,3,4,5,6,7,8,9}/FACT({0,1,2,3,4,5,6,7,8,9}))+((D90/F90)^G90/FACT(G90)/(1-H90)))/(G90*F90-D90),"—")</f>
        <v>0.00771065523122997</v>
      </c>
      <c r="K90" s="47" t="n">
        <f aca="false">IF(ISNUMBER(J90),(1+Assumptions!$B$22^2)/2*J90,"—")</f>
        <v>0.00524324555723638</v>
      </c>
      <c r="L90" s="55" t="n">
        <f aca="false">'Sim Data'!$F$301</f>
        <v>0.0203</v>
      </c>
      <c r="M90" s="50" t="n">
        <f aca="false">'Sim Data'!$H$301</f>
        <v>0.1123</v>
      </c>
      <c r="N90" s="52" t="n">
        <f aca="false">D90*L90</f>
        <v>0.112056</v>
      </c>
      <c r="O90" s="47" t="str">
        <f aca="false">IF(MAX(M90,N90)&lt;0.5,"both ≈ 0",IF(N90=0,"no new arrivals",M90/N90))</f>
        <v>both ≈ 0</v>
      </c>
      <c r="P90" s="13" t="str">
        <f aca="false">IF(D90=0,"",IF(H90&gt;=1,"No steady state: the line grows by about "&amp;TEXT((D90-G90*F90)*10,"0")&amp;" in 10 min",IF(ISNUMBER(O90),IF(ABS(O90-1)&lt;=0.2,"Steady: Little's Law holds",IF(O90&gt;1,"Draining a line left from earlier","Line still building")),"Hardly any line")))</f>
        <v>Hardly any line</v>
      </c>
    </row>
    <row r="91" customFormat="false" ht="21.75" hidden="false" customHeight="true" outlineLevel="0" collapsed="false">
      <c r="A91" s="13" t="s">
        <v>327</v>
      </c>
      <c r="B91" s="13" t="s">
        <v>326</v>
      </c>
      <c r="C91" s="26" t="s">
        <v>147</v>
      </c>
      <c r="D91" s="50" t="n">
        <f aca="false">'Sim Data'!$E$302</f>
        <v>6.155</v>
      </c>
      <c r="E91" s="51" t="n">
        <f aca="false">'Sim Data'!$G$302</f>
        <v>0.1006</v>
      </c>
      <c r="F91" s="52" t="n">
        <f aca="false">IF(E91&gt;0,1/E91,Assumptions!$B$21)</f>
        <v>9.9403578528827</v>
      </c>
      <c r="G91" s="53" t="n">
        <f aca="false">Assumptions!$B$20</f>
        <v>2</v>
      </c>
      <c r="H91" s="54" t="n">
        <f aca="false">D91/(G91*F91)</f>
        <v>0.3095965</v>
      </c>
      <c r="I91" s="26" t="str">
        <f aca="false">IF(D91=0,"no arrivals",IF(H91&lt;0.85,"stable",IF(H91&lt;1,"near capacity","over capacity")))</f>
        <v>stable</v>
      </c>
      <c r="J91" s="47" t="n">
        <f aca="false">IF(AND(D91&gt;0,H91&lt;1),((D91/F91)^G91/FACT(G91)/(1-H91))/(SUMPRODUCT(--({0,1,2,3,4,5,6,7,8,9}&lt;G91),(D91/F91)^{0,1,2,3,4,5,6,7,8,9}/FACT({0,1,2,3,4,5,6,7,8,9}))+((D91/F91)^G91/FACT(G91)/(1-H91)))/(G91*F91-D91),"—")</f>
        <v>0.0106647228891854</v>
      </c>
      <c r="K91" s="47" t="n">
        <f aca="false">IF(ISNUMBER(J91),(1+Assumptions!$B$22^2)/2*J91,"—")</f>
        <v>0.00725201156464608</v>
      </c>
      <c r="L91" s="55" t="n">
        <f aca="false">'Sim Data'!$F$302</f>
        <v>0.0309</v>
      </c>
      <c r="M91" s="50" t="n">
        <f aca="false">'Sim Data'!$H$302</f>
        <v>0.1436</v>
      </c>
      <c r="N91" s="52" t="n">
        <f aca="false">D91*L91</f>
        <v>0.1901895</v>
      </c>
      <c r="O91" s="47" t="str">
        <f aca="false">IF(MAX(M91,N91)&lt;0.5,"both ≈ 0",IF(N91=0,"no new arrivals",M91/N91))</f>
        <v>both ≈ 0</v>
      </c>
      <c r="P91" s="13" t="str">
        <f aca="false">IF(D91=0,"",IF(H91&gt;=1,"No steady state: the line grows by about "&amp;TEXT((D91-G91*F91)*10,"0")&amp;" in 10 min",IF(ISNUMBER(O91),IF(ABS(O91-1)&lt;=0.2,"Steady: Little's Law holds",IF(O91&gt;1,"Draining a line left from earlier","Line still building")),"Hardly any line")))</f>
        <v>Hardly any line</v>
      </c>
    </row>
    <row r="92" customFormat="false" ht="21.75" hidden="false" customHeight="true" outlineLevel="0" collapsed="false">
      <c r="A92" s="13" t="s">
        <v>327</v>
      </c>
      <c r="B92" s="13" t="s">
        <v>326</v>
      </c>
      <c r="C92" s="26" t="s">
        <v>348</v>
      </c>
      <c r="D92" s="50" t="n">
        <f aca="false">'Sim Data'!$E$303</f>
        <v>15.64</v>
      </c>
      <c r="E92" s="51" t="n">
        <f aca="false">'Sim Data'!$G$303</f>
        <v>0.0994</v>
      </c>
      <c r="F92" s="52" t="n">
        <f aca="false">IF(E92&gt;0,1/E92,Assumptions!$B$21)</f>
        <v>10.0603621730382</v>
      </c>
      <c r="G92" s="53" t="n">
        <f aca="false">Assumptions!$B$20</f>
        <v>2</v>
      </c>
      <c r="H92" s="54" t="n">
        <f aca="false">D92/(G92*F92)</f>
        <v>0.777308</v>
      </c>
      <c r="I92" s="26" t="str">
        <f aca="false">IF(D92=0,"no arrivals",IF(H92&lt;0.85,"stable",IF(H92&lt;1,"near capacity","over capacity")))</f>
        <v>stable</v>
      </c>
      <c r="J92" s="47" t="n">
        <f aca="false">IF(AND(D92&gt;0,H92&lt;1),((D92/F92)^G92/FACT(G92)/(1-H92))/(SUMPRODUCT(--({0,1,2,3,4,5,6,7,8,9}&lt;G92),(D92/F92)^{0,1,2,3,4,5,6,7,8,9}/FACT({0,1,2,3,4,5,6,7,8,9}))+((D92/F92)^G92/FACT(G92)/(1-H92)))/(G92*F92-D92),"—")</f>
        <v>0.151741840674198</v>
      </c>
      <c r="K92" s="47" t="n">
        <f aca="false">IF(ISNUMBER(J92),(1+Assumptions!$B$22^2)/2*J92,"—")</f>
        <v>0.103184451658455</v>
      </c>
      <c r="L92" s="55" t="n">
        <f aca="false">'Sim Data'!$F$303</f>
        <v>0.1334</v>
      </c>
      <c r="M92" s="50" t="n">
        <f aca="false">'Sim Data'!$H$303</f>
        <v>2.0936</v>
      </c>
      <c r="N92" s="52" t="n">
        <f aca="false">D92*L92</f>
        <v>2.086376</v>
      </c>
      <c r="O92" s="47" t="n">
        <f aca="false">IF(MAX(M92,N92)&lt;0.5,"both ≈ 0",IF(N92=0,"no new arrivals",M92/N92))</f>
        <v>1.00346246314183</v>
      </c>
      <c r="P92" s="13" t="str">
        <f aca="false">IF(D92=0,"",IF(H92&gt;=1,"No steady state: the line grows by about "&amp;TEXT((D92-G92*F92)*10,"0")&amp;" in 10 min",IF(ISNUMBER(O92),IF(ABS(O92-1)&lt;=0.2,"Steady: Little's Law holds",IF(O92&gt;1,"Draining a line left from earlier","Line still building")),"Hardly any line")))</f>
        <v>Steady: Little's Law holds</v>
      </c>
    </row>
    <row r="93" customFormat="false" ht="21.75" hidden="false" customHeight="true" outlineLevel="0" collapsed="false">
      <c r="A93" s="13" t="s">
        <v>327</v>
      </c>
      <c r="B93" s="13" t="s">
        <v>326</v>
      </c>
      <c r="C93" s="26" t="s">
        <v>349</v>
      </c>
      <c r="D93" s="50" t="n">
        <f aca="false">'Sim Data'!$E$304</f>
        <v>15.9</v>
      </c>
      <c r="E93" s="51" t="n">
        <f aca="false">'Sim Data'!$G$304</f>
        <v>0.0992</v>
      </c>
      <c r="F93" s="52" t="n">
        <f aca="false">IF(E93&gt;0,1/E93,Assumptions!$B$21)</f>
        <v>10.0806451612903</v>
      </c>
      <c r="G93" s="53" t="n">
        <f aca="false">Assumptions!$B$20</f>
        <v>2</v>
      </c>
      <c r="H93" s="54" t="n">
        <f aca="false">D93/(G93*F93)</f>
        <v>0.78864</v>
      </c>
      <c r="I93" s="26" t="str">
        <f aca="false">IF(D93=0,"no arrivals",IF(H93&lt;0.85,"stable",IF(H93&lt;1,"near capacity","over capacity")))</f>
        <v>stable</v>
      </c>
      <c r="J93" s="47" t="n">
        <f aca="false">IF(AND(D93&gt;0,H93&lt;1),((D93/F93)^G93/FACT(G93)/(1-H93))/(SUMPRODUCT(--({0,1,2,3,4,5,6,7,8,9}&lt;G93),(D93/F93)^{0,1,2,3,4,5,6,7,8,9}/FACT({0,1,2,3,4,5,6,7,8,9}))+((D93/F93)^G93/FACT(G93)/(1-H93)))/(G93*F93-D93),"—")</f>
        <v>0.163201270252384</v>
      </c>
      <c r="K93" s="47" t="n">
        <f aca="false">IF(ISNUMBER(J93),(1+Assumptions!$B$22^2)/2*J93,"—")</f>
        <v>0.110976863771621</v>
      </c>
      <c r="L93" s="55" t="n">
        <f aca="false">'Sim Data'!$F$304</f>
        <v>0.1552</v>
      </c>
      <c r="M93" s="50" t="n">
        <f aca="false">'Sim Data'!$H$304</f>
        <v>2.4765</v>
      </c>
      <c r="N93" s="52" t="n">
        <f aca="false">D93*L93</f>
        <v>2.46768</v>
      </c>
      <c r="O93" s="47" t="n">
        <f aca="false">IF(MAX(M93,N93)&lt;0.5,"both ≈ 0",IF(N93=0,"no new arrivals",M93/N93))</f>
        <v>1.00357420735266</v>
      </c>
      <c r="P93" s="13" t="str">
        <f aca="false">IF(D93=0,"",IF(H93&gt;=1,"No steady state: the line grows by about "&amp;TEXT((D93-G93*F93)*10,"0")&amp;" in 10 min",IF(ISNUMBER(O93),IF(ABS(O93-1)&lt;=0.2,"Steady: Little's Law holds",IF(O93&gt;1,"Draining a line left from earlier","Line still building")),"Hardly any line")))</f>
        <v>Steady: Little's Law holds</v>
      </c>
    </row>
    <row r="94" customFormat="false" ht="21.75" hidden="false" customHeight="true" outlineLevel="0" collapsed="false">
      <c r="A94" s="13" t="s">
        <v>327</v>
      </c>
      <c r="B94" s="13" t="s">
        <v>326</v>
      </c>
      <c r="C94" s="26" t="s">
        <v>156</v>
      </c>
      <c r="D94" s="50" t="n">
        <f aca="false">'Sim Data'!$E$305</f>
        <v>9.67</v>
      </c>
      <c r="E94" s="51" t="n">
        <f aca="false">'Sim Data'!$G$305</f>
        <v>0.0992</v>
      </c>
      <c r="F94" s="52" t="n">
        <f aca="false">IF(E94&gt;0,1/E94,Assumptions!$B$21)</f>
        <v>10.0806451612903</v>
      </c>
      <c r="G94" s="53" t="n">
        <f aca="false">Assumptions!$B$20</f>
        <v>2</v>
      </c>
      <c r="H94" s="54" t="n">
        <f aca="false">D94/(G94*F94)</f>
        <v>0.479632</v>
      </c>
      <c r="I94" s="26" t="str">
        <f aca="false">IF(D94=0,"no arrivals",IF(H94&lt;0.85,"stable",IF(H94&lt;1,"near capacity","over capacity")))</f>
        <v>stable</v>
      </c>
      <c r="J94" s="47" t="n">
        <f aca="false">IF(AND(D94&gt;0,H94&lt;1),((D94/F94)^G94/FACT(G94)/(1-H94))/(SUMPRODUCT(--({0,1,2,3,4,5,6,7,8,9}&lt;G94),(D94/F94)^{0,1,2,3,4,5,6,7,8,9}/FACT({0,1,2,3,4,5,6,7,8,9}))+((D94/F94)^G94/FACT(G94)/(1-H94)))/(G94*F94-D94),"—")</f>
        <v>0.0296390088394635</v>
      </c>
      <c r="K94" s="47" t="n">
        <f aca="false">IF(ISNUMBER(J94),(1+Assumptions!$B$22^2)/2*J94,"—")</f>
        <v>0.0201545260108352</v>
      </c>
      <c r="L94" s="55" t="n">
        <f aca="false">'Sim Data'!$F$305</f>
        <v>0.0851</v>
      </c>
      <c r="M94" s="50" t="n">
        <f aca="false">'Sim Data'!$H$305</f>
        <v>0.8525</v>
      </c>
      <c r="N94" s="52" t="n">
        <f aca="false">D94*L94</f>
        <v>0.822917</v>
      </c>
      <c r="O94" s="47" t="n">
        <f aca="false">IF(MAX(M94,N94)&lt;0.5,"both ≈ 0",IF(N94=0,"no new arrivals",M94/N94))</f>
        <v>1.03594894746372</v>
      </c>
      <c r="P94" s="13" t="str">
        <f aca="false">IF(D94=0,"",IF(H94&gt;=1,"No steady state: the line grows by about "&amp;TEXT((D94-G94*F94)*10,"0")&amp;" in 10 min",IF(ISNUMBER(O94),IF(ABS(O94-1)&lt;=0.2,"Steady: Little's Law holds",IF(O94&gt;1,"Draining a line left from earlier","Line still building")),"Hardly any line")))</f>
        <v>Steady: Little's Law holds</v>
      </c>
    </row>
    <row r="95" customFormat="false" ht="21.75" hidden="false" customHeight="true" outlineLevel="0" collapsed="false">
      <c r="A95" s="13" t="s">
        <v>327</v>
      </c>
      <c r="B95" s="13" t="s">
        <v>326</v>
      </c>
      <c r="C95" s="26" t="s">
        <v>160</v>
      </c>
      <c r="D95" s="50" t="n">
        <f aca="false">'Sim Data'!$E$306</f>
        <v>4.1</v>
      </c>
      <c r="E95" s="51" t="n">
        <f aca="false">'Sim Data'!$G$306</f>
        <v>0.1</v>
      </c>
      <c r="F95" s="52" t="n">
        <f aca="false">IF(E95&gt;0,1/E95,Assumptions!$B$21)</f>
        <v>10</v>
      </c>
      <c r="G95" s="53" t="n">
        <f aca="false">Assumptions!$B$20</f>
        <v>2</v>
      </c>
      <c r="H95" s="54" t="n">
        <f aca="false">D95/(G95*F95)</f>
        <v>0.205</v>
      </c>
      <c r="I95" s="26" t="str">
        <f aca="false">IF(D95=0,"no arrivals",IF(H95&lt;0.85,"stable",IF(H95&lt;1,"near capacity","over capacity")))</f>
        <v>stable</v>
      </c>
      <c r="J95" s="47" t="n">
        <f aca="false">IF(AND(D95&gt;0,H95&lt;1),((D95/F95)^G95/FACT(G95)/(1-H95))/(SUMPRODUCT(--({0,1,2,3,4,5,6,7,8,9}&lt;G95),(D95/F95)^{0,1,2,3,4,5,6,7,8,9}/FACT({0,1,2,3,4,5,6,7,8,9}))+((D95/F95)^G95/FACT(G95)/(1-H95)))/(G95*F95-D95),"—")</f>
        <v>0.00438685769461625</v>
      </c>
      <c r="K95" s="47" t="n">
        <f aca="false">IF(ISNUMBER(J95),(1+Assumptions!$B$22^2)/2*J95,"—")</f>
        <v>0.00298306323233905</v>
      </c>
      <c r="L95" s="55" t="n">
        <f aca="false">'Sim Data'!$F$306</f>
        <v>0.0111</v>
      </c>
      <c r="M95" s="50" t="n">
        <f aca="false">'Sim Data'!$H$306</f>
        <v>0.0464</v>
      </c>
      <c r="N95" s="52" t="n">
        <f aca="false">D95*L95</f>
        <v>0.04551</v>
      </c>
      <c r="O95" s="47" t="str">
        <f aca="false">IF(MAX(M95,N95)&lt;0.5,"both ≈ 0",IF(N95=0,"no new arrivals",M95/N95))</f>
        <v>both ≈ 0</v>
      </c>
      <c r="P95" s="13" t="str">
        <f aca="false">IF(D95=0,"",IF(H95&gt;=1,"No steady state: the line grows by about "&amp;TEXT((D95-G95*F95)*10,"0")&amp;" in 10 min",IF(ISNUMBER(O95),IF(ABS(O95-1)&lt;=0.2,"Steady: Little's Law holds",IF(O95&gt;1,"Draining a line left from earlier","Line still building")),"Hardly any line")))</f>
        <v>Hardly any line</v>
      </c>
    </row>
    <row r="96" customFormat="false" ht="21.75" hidden="false" customHeight="true" outlineLevel="0" collapsed="false">
      <c r="A96" s="13" t="s">
        <v>327</v>
      </c>
      <c r="B96" s="13" t="s">
        <v>326</v>
      </c>
      <c r="C96" s="26" t="s">
        <v>163</v>
      </c>
      <c r="D96" s="50" t="n">
        <f aca="false">'Sim Data'!$E$307</f>
        <v>1.895</v>
      </c>
      <c r="E96" s="51" t="n">
        <f aca="false">'Sim Data'!$G$307</f>
        <v>0.0956</v>
      </c>
      <c r="F96" s="52" t="n">
        <f aca="false">IF(E96&gt;0,1/E96,Assumptions!$B$21)</f>
        <v>10.4602510460251</v>
      </c>
      <c r="G96" s="53" t="n">
        <f aca="false">Assumptions!$B$20</f>
        <v>2</v>
      </c>
      <c r="H96" s="54" t="n">
        <f aca="false">D96/(G96*F96)</f>
        <v>0.090581</v>
      </c>
      <c r="I96" s="26" t="str">
        <f aca="false">IF(D96=0,"no arrivals",IF(H96&lt;0.85,"stable",IF(H96&lt;1,"near capacity","over capacity")))</f>
        <v>stable</v>
      </c>
      <c r="J96" s="47" t="n">
        <f aca="false">IF(AND(D96&gt;0,H96&lt;1),((D96/F96)^G96/FACT(G96)/(1-H96))/(SUMPRODUCT(--({0,1,2,3,4,5,6,7,8,9}&lt;G96),(D96/F96)^{0,1,2,3,4,5,6,7,8,9}/FACT({0,1,2,3,4,5,6,7,8,9}))+((D96/F96)^G96/FACT(G96)/(1-H96)))/(G96*F96-D96),"—")</f>
        <v>0.000790879217612822</v>
      </c>
      <c r="K96" s="47" t="n">
        <f aca="false">IF(ISNUMBER(J96),(1+Assumptions!$B$22^2)/2*J96,"—")</f>
        <v>0.000537797867976719</v>
      </c>
      <c r="L96" s="55" t="n">
        <f aca="false">'Sim Data'!$F$307</f>
        <v>0.0004</v>
      </c>
      <c r="M96" s="50" t="n">
        <f aca="false">'Sim Data'!$H$307</f>
        <v>0.0008</v>
      </c>
      <c r="N96" s="52" t="n">
        <f aca="false">D96*L96</f>
        <v>0.000758</v>
      </c>
      <c r="O96" s="47" t="str">
        <f aca="false">IF(MAX(M96,N96)&lt;0.5,"both ≈ 0",IF(N96=0,"no new arrivals",M96/N96))</f>
        <v>both ≈ 0</v>
      </c>
      <c r="P96" s="13" t="str">
        <f aca="false">IF(D96=0,"",IF(H96&gt;=1,"No steady state: the line grows by about "&amp;TEXT((D96-G96*F96)*10,"0")&amp;" in 10 min",IF(ISNUMBER(O96),IF(ABS(O96-1)&lt;=0.2,"Steady: Little's Law holds",IF(O96&gt;1,"Draining a line left from earlier","Line still building")),"Hardly any line")))</f>
        <v>Hardly any line</v>
      </c>
    </row>
    <row r="97" customFormat="false" ht="21.75" hidden="false" customHeight="true" outlineLevel="0" collapsed="false">
      <c r="A97" s="13" t="s">
        <v>327</v>
      </c>
      <c r="B97" s="13" t="s">
        <v>326</v>
      </c>
      <c r="C97" s="26" t="s">
        <v>150</v>
      </c>
      <c r="D97" s="50" t="n">
        <f aca="false">'Sim Data'!$E$308</f>
        <v>0.075</v>
      </c>
      <c r="E97" s="51" t="n">
        <f aca="false">'Sim Data'!$G$308</f>
        <v>0.1062</v>
      </c>
      <c r="F97" s="52" t="n">
        <f aca="false">IF(E97&gt;0,1/E97,Assumptions!$B$21)</f>
        <v>9.41619585687382</v>
      </c>
      <c r="G97" s="53" t="n">
        <f aca="false">Assumptions!$B$20</f>
        <v>2</v>
      </c>
      <c r="H97" s="54" t="n">
        <f aca="false">D97/(G97*F97)</f>
        <v>0.0039825</v>
      </c>
      <c r="I97" s="26" t="str">
        <f aca="false">IF(D97=0,"no arrivals",IF(H97&lt;0.85,"stable",IF(H97&lt;1,"near capacity","over capacity")))</f>
        <v>stable</v>
      </c>
      <c r="J97" s="47" t="n">
        <f aca="false">IF(AND(D97&gt;0,H97&lt;1),((D97/F97)^G97/FACT(G97)/(1-H97))/(SUMPRODUCT(--({0,1,2,3,4,5,6,7,8,9}&lt;G97),(D97/F97)^{0,1,2,3,4,5,6,7,8,9}/FACT({0,1,2,3,4,5,6,7,8,9}))+((D97/F97)^G97/FACT(G97)/(1-H97)))/(G97*F97-D97),"—")</f>
        <v>1.68439123871089E-006</v>
      </c>
      <c r="K97" s="47" t="n">
        <f aca="false">IF(ISNUMBER(J97),(1+Assumptions!$B$22^2)/2*J97,"—")</f>
        <v>1.14538604232341E-006</v>
      </c>
      <c r="L97" s="55" t="n">
        <f aca="false">'Sim Data'!$F$308</f>
        <v>0</v>
      </c>
      <c r="M97" s="50" t="n">
        <f aca="false">'Sim Data'!$H$308</f>
        <v>0</v>
      </c>
      <c r="N97" s="52" t="n">
        <f aca="false">D97*L97</f>
        <v>0</v>
      </c>
      <c r="O97" s="47" t="str">
        <f aca="false">IF(MAX(M97,N97)&lt;0.5,"both ≈ 0",IF(N97=0,"no new arrivals",M97/N97))</f>
        <v>both ≈ 0</v>
      </c>
      <c r="P97" s="13" t="str">
        <f aca="false">IF(D97=0,"",IF(H97&gt;=1,"No steady state: the line grows by about "&amp;TEXT((D97-G97*F97)*10,"0")&amp;" in 10 min",IF(ISNUMBER(O97),IF(ABS(O97-1)&lt;=0.2,"Steady: Little's Law holds",IF(O97&gt;1,"Draining a line left from earlier","Line still building")),"Hardly any line")))</f>
        <v>Hardly any line</v>
      </c>
    </row>
    <row r="98" customFormat="false" ht="21.75" hidden="false" customHeight="true" outlineLevel="0" collapsed="false">
      <c r="A98" s="13" t="s">
        <v>327</v>
      </c>
      <c r="B98" s="13" t="s">
        <v>326</v>
      </c>
      <c r="C98" s="26" t="s">
        <v>350</v>
      </c>
      <c r="D98" s="50" t="n">
        <f aca="false">'Sim Data'!$E$309</f>
        <v>0</v>
      </c>
      <c r="E98" s="51" t="n">
        <f aca="false">'Sim Data'!$G$309</f>
        <v>0</v>
      </c>
      <c r="F98" s="52" t="n">
        <f aca="false">IF(E98&gt;0,1/E98,Assumptions!$B$21)</f>
        <v>10</v>
      </c>
      <c r="G98" s="53" t="n">
        <f aca="false">Assumptions!$B$20</f>
        <v>2</v>
      </c>
      <c r="H98" s="54" t="n">
        <f aca="false">D98/(G98*F98)</f>
        <v>0</v>
      </c>
      <c r="I98" s="26" t="str">
        <f aca="false">IF(D98=0,"no arrivals",IF(H98&lt;0.85,"stable",IF(H98&lt;1,"near capacity","over capacity")))</f>
        <v>no arrivals</v>
      </c>
      <c r="J98" s="47" t="str">
        <f aca="false">IF(AND(D98&gt;0,H98&lt;1),((D98/F98)^G98/FACT(G98)/(1-H98))/(SUMPRODUCT(--({0,1,2,3,4,5,6,7,8,9}&lt;G98),(D98/F98)^{0,1,2,3,4,5,6,7,8,9}/FACT({0,1,2,3,4,5,6,7,8,9}))+((D98/F98)^G98/FACT(G98)/(1-H98)))/(G98*F98-D98),"—")</f>
        <v>—</v>
      </c>
      <c r="K98" s="47" t="str">
        <f aca="false">IF(ISNUMBER(J98),(1+Assumptions!$B$22^2)/2*J98,"—")</f>
        <v>—</v>
      </c>
      <c r="L98" s="55" t="n">
        <f aca="false">'Sim Data'!$F$309</f>
        <v>0</v>
      </c>
      <c r="M98" s="50" t="n">
        <f aca="false">'Sim Data'!$H$309</f>
        <v>0</v>
      </c>
      <c r="N98" s="52" t="n">
        <f aca="false">D98*L98</f>
        <v>0</v>
      </c>
      <c r="O98" s="47" t="str">
        <f aca="false">IF(MAX(M98,N98)&lt;0.5,"both ≈ 0",IF(N98=0,"no new arrivals",M98/N98))</f>
        <v>both ≈ 0</v>
      </c>
      <c r="P98" s="13" t="str">
        <f aca="false">IF(D98=0,"",IF(H98&gt;=1,"No steady state: the line grows by about "&amp;TEXT((D98-G98*F98)*10,"0")&amp;" in 10 min",IF(ISNUMBER(O98),IF(ABS(O98-1)&lt;=0.2,"Steady: Little's Law holds",IF(O98&gt;1,"Draining a line left from earlier","Line still building")),"Hardly any line")))</f>
        <v/>
      </c>
    </row>
    <row r="99" customFormat="false" ht="21.75" hidden="false" customHeight="true" outlineLevel="0" collapsed="false">
      <c r="A99" s="13" t="s">
        <v>327</v>
      </c>
      <c r="B99" s="13" t="s">
        <v>326</v>
      </c>
      <c r="C99" s="26" t="s">
        <v>351</v>
      </c>
      <c r="D99" s="50" t="n">
        <f aca="false">'Sim Data'!$E$310</f>
        <v>0</v>
      </c>
      <c r="E99" s="51" t="n">
        <f aca="false">'Sim Data'!$G$310</f>
        <v>0</v>
      </c>
      <c r="F99" s="52" t="n">
        <f aca="false">IF(E99&gt;0,1/E99,Assumptions!$B$21)</f>
        <v>10</v>
      </c>
      <c r="G99" s="53" t="n">
        <f aca="false">Assumptions!$B$20</f>
        <v>2</v>
      </c>
      <c r="H99" s="54" t="n">
        <f aca="false">D99/(G99*F99)</f>
        <v>0</v>
      </c>
      <c r="I99" s="26" t="str">
        <f aca="false">IF(D99=0,"no arrivals",IF(H99&lt;0.85,"stable",IF(H99&lt;1,"near capacity","over capacity")))</f>
        <v>no arrivals</v>
      </c>
      <c r="J99" s="47" t="str">
        <f aca="false">IF(AND(D99&gt;0,H99&lt;1),((D99/F99)^G99/FACT(G99)/(1-H99))/(SUMPRODUCT(--({0,1,2,3,4,5,6,7,8,9}&lt;G99),(D99/F99)^{0,1,2,3,4,5,6,7,8,9}/FACT({0,1,2,3,4,5,6,7,8,9}))+((D99/F99)^G99/FACT(G99)/(1-H99)))/(G99*F99-D99),"—")</f>
        <v>—</v>
      </c>
      <c r="K99" s="47" t="str">
        <f aca="false">IF(ISNUMBER(J99),(1+Assumptions!$B$22^2)/2*J99,"—")</f>
        <v>—</v>
      </c>
      <c r="L99" s="55" t="n">
        <f aca="false">'Sim Data'!$F$310</f>
        <v>0</v>
      </c>
      <c r="M99" s="50" t="n">
        <f aca="false">'Sim Data'!$H$310</f>
        <v>0</v>
      </c>
      <c r="N99" s="52" t="n">
        <f aca="false">D99*L99</f>
        <v>0</v>
      </c>
      <c r="O99" s="47" t="str">
        <f aca="false">IF(MAX(M99,N99)&lt;0.5,"both ≈ 0",IF(N99=0,"no new arrivals",M99/N99))</f>
        <v>both ≈ 0</v>
      </c>
      <c r="P99" s="13" t="str">
        <f aca="false">IF(D99=0,"",IF(H99&gt;=1,"No steady state: the line grows by about "&amp;TEXT((D99-G99*F99)*10,"0")&amp;" in 10 min",IF(ISNUMBER(O99),IF(ABS(O99-1)&lt;=0.2,"Steady: Little's Law holds",IF(O99&gt;1,"Draining a line left from earlier","Line still building")),"Hardly any line")))</f>
        <v/>
      </c>
    </row>
    <row r="102" customFormat="false" ht="24.75" hidden="false" customHeight="true" outlineLevel="0" collapsed="false">
      <c r="A102" s="4" t="s">
        <v>352</v>
      </c>
    </row>
    <row r="103" customFormat="false" ht="53.25" hidden="false" customHeight="true" outlineLevel="0" collapsed="false">
      <c r="A103" s="7" t="s">
        <v>332</v>
      </c>
      <c r="B103" s="7" t="s">
        <v>353</v>
      </c>
      <c r="C103" s="7" t="s">
        <v>354</v>
      </c>
      <c r="D103" s="7" t="s">
        <v>355</v>
      </c>
      <c r="E103" s="7" t="s">
        <v>356</v>
      </c>
      <c r="F103" s="7" t="s">
        <v>357</v>
      </c>
    </row>
    <row r="104" customFormat="false" ht="21.75" hidden="false" customHeight="true" outlineLevel="0" collapsed="false">
      <c r="A104" s="13" t="s">
        <v>343</v>
      </c>
      <c r="B104" s="56" t="n">
        <f aca="false">H28</f>
        <v>0</v>
      </c>
      <c r="C104" s="56" t="n">
        <f aca="false">H46</f>
        <v>0</v>
      </c>
      <c r="D104" s="56" t="n">
        <f aca="false">H64</f>
        <v>0</v>
      </c>
      <c r="E104" s="56" t="n">
        <f aca="false">H82</f>
        <v>0</v>
      </c>
      <c r="F104" s="56" t="n">
        <v>1</v>
      </c>
    </row>
    <row r="105" customFormat="false" ht="21.75" hidden="false" customHeight="true" outlineLevel="0" collapsed="false">
      <c r="A105" s="13" t="s">
        <v>344</v>
      </c>
      <c r="B105" s="56" t="n">
        <f aca="false">H29</f>
        <v>0</v>
      </c>
      <c r="C105" s="56" t="n">
        <f aca="false">H47</f>
        <v>0</v>
      </c>
      <c r="D105" s="56" t="n">
        <f aca="false">H65</f>
        <v>0</v>
      </c>
      <c r="E105" s="56" t="n">
        <f aca="false">H83</f>
        <v>0</v>
      </c>
      <c r="F105" s="56" t="n">
        <v>1</v>
      </c>
    </row>
    <row r="106" customFormat="false" ht="21.75" hidden="false" customHeight="true" outlineLevel="0" collapsed="false">
      <c r="A106" s="13" t="s">
        <v>345</v>
      </c>
      <c r="B106" s="56" t="n">
        <f aca="false">H30</f>
        <v>0</v>
      </c>
      <c r="C106" s="56" t="n">
        <f aca="false">H48</f>
        <v>0</v>
      </c>
      <c r="D106" s="56" t="n">
        <f aca="false">H66</f>
        <v>0</v>
      </c>
      <c r="E106" s="56" t="n">
        <f aca="false">H84</f>
        <v>0</v>
      </c>
      <c r="F106" s="56" t="n">
        <v>1</v>
      </c>
    </row>
    <row r="107" customFormat="false" ht="21.75" hidden="false" customHeight="true" outlineLevel="0" collapsed="false">
      <c r="A107" s="13" t="s">
        <v>146</v>
      </c>
      <c r="B107" s="56" t="n">
        <f aca="false">H31</f>
        <v>0.68706075</v>
      </c>
      <c r="C107" s="56" t="n">
        <f aca="false">H49</f>
        <v>0.17416075</v>
      </c>
      <c r="D107" s="56" t="n">
        <f aca="false">H67</f>
        <v>0.68706075</v>
      </c>
      <c r="E107" s="56" t="n">
        <f aca="false">H85</f>
        <v>0.17416075</v>
      </c>
      <c r="F107" s="56" t="n">
        <v>1</v>
      </c>
    </row>
    <row r="108" customFormat="false" ht="21.75" hidden="false" customHeight="true" outlineLevel="0" collapsed="false">
      <c r="A108" s="13" t="s">
        <v>346</v>
      </c>
      <c r="B108" s="56" t="n">
        <f aca="false">H32</f>
        <v>0.928198</v>
      </c>
      <c r="C108" s="56" t="n">
        <f aca="false">H50</f>
        <v>0.223614</v>
      </c>
      <c r="D108" s="56" t="n">
        <f aca="false">H68</f>
        <v>0.928198</v>
      </c>
      <c r="E108" s="56" t="n">
        <f aca="false">H86</f>
        <v>0.223614</v>
      </c>
      <c r="F108" s="56" t="n">
        <v>1</v>
      </c>
    </row>
    <row r="109" customFormat="false" ht="21.75" hidden="false" customHeight="true" outlineLevel="0" collapsed="false">
      <c r="A109" s="13" t="s">
        <v>347</v>
      </c>
      <c r="B109" s="56" t="n">
        <f aca="false">H33</f>
        <v>0.95880225</v>
      </c>
      <c r="C109" s="56" t="n">
        <f aca="false">H51</f>
        <v>0.24025</v>
      </c>
      <c r="D109" s="56" t="n">
        <f aca="false">H69</f>
        <v>0.949329</v>
      </c>
      <c r="E109" s="56" t="n">
        <f aca="false">H87</f>
        <v>0.252757</v>
      </c>
      <c r="F109" s="56" t="n">
        <v>1</v>
      </c>
    </row>
    <row r="110" customFormat="false" ht="21.75" hidden="false" customHeight="true" outlineLevel="0" collapsed="false">
      <c r="A110" s="13" t="s">
        <v>155</v>
      </c>
      <c r="B110" s="56" t="n">
        <f aca="false">H34</f>
        <v>1.1310075</v>
      </c>
      <c r="C110" s="56" t="n">
        <f aca="false">H52</f>
        <v>0.279675</v>
      </c>
      <c r="D110" s="56" t="n">
        <f aca="false">H70</f>
        <v>1.06255275</v>
      </c>
      <c r="E110" s="56" t="n">
        <f aca="false">H88</f>
        <v>0.34845</v>
      </c>
      <c r="F110" s="56" t="n">
        <v>1</v>
      </c>
    </row>
    <row r="111" customFormat="false" ht="21.75" hidden="false" customHeight="true" outlineLevel="0" collapsed="false">
      <c r="A111" s="13" t="s">
        <v>159</v>
      </c>
      <c r="B111" s="56" t="n">
        <f aca="false">H35</f>
        <v>1.01027825</v>
      </c>
      <c r="C111" s="56" t="n">
        <f aca="false">H53</f>
        <v>0.2728575</v>
      </c>
      <c r="D111" s="56" t="n">
        <f aca="false">H71</f>
        <v>0.9428625</v>
      </c>
      <c r="E111" s="56" t="n">
        <f aca="false">H89</f>
        <v>0.34046325</v>
      </c>
      <c r="F111" s="56" t="n">
        <v>1</v>
      </c>
    </row>
    <row r="112" customFormat="false" ht="21.75" hidden="false" customHeight="true" outlineLevel="0" collapsed="false">
      <c r="A112" s="13" t="s">
        <v>162</v>
      </c>
      <c r="B112" s="56" t="n">
        <f aca="false">H36</f>
        <v>0.8649765</v>
      </c>
      <c r="C112" s="56" t="n">
        <f aca="false">H54</f>
        <v>0.217626</v>
      </c>
      <c r="D112" s="56" t="n">
        <f aca="false">H72</f>
        <v>0.809977</v>
      </c>
      <c r="E112" s="56" t="n">
        <f aca="false">H90</f>
        <v>0.270204</v>
      </c>
      <c r="F112" s="56" t="n">
        <v>1</v>
      </c>
    </row>
    <row r="113" customFormat="false" ht="21.75" hidden="false" customHeight="true" outlineLevel="0" collapsed="false">
      <c r="A113" s="13" t="s">
        <v>147</v>
      </c>
      <c r="B113" s="56" t="n">
        <f aca="false">H37</f>
        <v>1.0646165</v>
      </c>
      <c r="C113" s="56" t="n">
        <f aca="false">H55</f>
        <v>0.2805</v>
      </c>
      <c r="D113" s="56" t="n">
        <f aca="false">H73</f>
        <v>1.0285</v>
      </c>
      <c r="E113" s="56" t="n">
        <f aca="false">H91</f>
        <v>0.3095965</v>
      </c>
      <c r="F113" s="56" t="n">
        <v>1</v>
      </c>
    </row>
    <row r="114" customFormat="false" ht="21.75" hidden="false" customHeight="true" outlineLevel="0" collapsed="false">
      <c r="A114" s="13" t="s">
        <v>348</v>
      </c>
      <c r="B114" s="56" t="n">
        <f aca="false">H38</f>
        <v>1.465742</v>
      </c>
      <c r="C114" s="56" t="n">
        <f aca="false">H56</f>
        <v>0.381</v>
      </c>
      <c r="D114" s="56" t="n">
        <f aca="false">H74</f>
        <v>1.0648225</v>
      </c>
      <c r="E114" s="56" t="n">
        <f aca="false">H92</f>
        <v>0.777308</v>
      </c>
      <c r="F114" s="56" t="n">
        <v>1</v>
      </c>
    </row>
    <row r="115" customFormat="false" ht="21.75" hidden="false" customHeight="true" outlineLevel="0" collapsed="false">
      <c r="A115" s="13" t="s">
        <v>349</v>
      </c>
      <c r="B115" s="56" t="n">
        <f aca="false">H39</f>
        <v>1.4695395</v>
      </c>
      <c r="C115" s="56" t="n">
        <f aca="false">H57</f>
        <v>0.364188</v>
      </c>
      <c r="D115" s="56" t="n">
        <f aca="false">H75</f>
        <v>1.0037365</v>
      </c>
      <c r="E115" s="56" t="n">
        <f aca="false">H93</f>
        <v>0.78864</v>
      </c>
      <c r="F115" s="56" t="n">
        <v>1</v>
      </c>
    </row>
    <row r="116" customFormat="false" ht="21.75" hidden="false" customHeight="true" outlineLevel="0" collapsed="false">
      <c r="A116" s="13" t="s">
        <v>156</v>
      </c>
      <c r="B116" s="56" t="n">
        <f aca="false">H40</f>
        <v>1.12559375</v>
      </c>
      <c r="C116" s="56" t="n">
        <f aca="false">H58</f>
        <v>0.26310625</v>
      </c>
      <c r="D116" s="56" t="n">
        <f aca="false">H76</f>
        <v>0.903372</v>
      </c>
      <c r="E116" s="56" t="n">
        <f aca="false">H94</f>
        <v>0.479632</v>
      </c>
      <c r="F116" s="56" t="n">
        <v>1</v>
      </c>
    </row>
    <row r="117" customFormat="false" ht="21.75" hidden="false" customHeight="true" outlineLevel="0" collapsed="false">
      <c r="A117" s="13" t="s">
        <v>160</v>
      </c>
      <c r="B117" s="56" t="n">
        <f aca="false">H41</f>
        <v>0.7442575</v>
      </c>
      <c r="C117" s="56" t="n">
        <f aca="false">H59</f>
        <v>0.182728</v>
      </c>
      <c r="D117" s="56" t="n">
        <f aca="false">H77</f>
        <v>0.7464175</v>
      </c>
      <c r="E117" s="56" t="n">
        <f aca="false">H95</f>
        <v>0.205</v>
      </c>
      <c r="F117" s="56" t="n">
        <v>1</v>
      </c>
    </row>
    <row r="118" customFormat="false" ht="21.75" hidden="false" customHeight="true" outlineLevel="0" collapsed="false">
      <c r="A118" s="13" t="s">
        <v>163</v>
      </c>
      <c r="B118" s="56" t="n">
        <f aca="false">H42</f>
        <v>0.3701385</v>
      </c>
      <c r="C118" s="56" t="n">
        <f aca="false">H60</f>
        <v>0.09306</v>
      </c>
      <c r="D118" s="56" t="n">
        <f aca="false">H78</f>
        <v>0.3711295</v>
      </c>
      <c r="E118" s="56" t="n">
        <f aca="false">H96</f>
        <v>0.090581</v>
      </c>
      <c r="F118" s="56" t="n">
        <v>1</v>
      </c>
    </row>
    <row r="119" customFormat="false" ht="21.75" hidden="false" customHeight="true" outlineLevel="0" collapsed="false">
      <c r="A119" s="13" t="s">
        <v>150</v>
      </c>
      <c r="B119" s="56" t="n">
        <f aca="false">H43</f>
        <v>0.015442</v>
      </c>
      <c r="C119" s="56" t="n">
        <f aca="false">H61</f>
        <v>0.00334125</v>
      </c>
      <c r="D119" s="56" t="n">
        <f aca="false">H79</f>
        <v>0.01370875</v>
      </c>
      <c r="E119" s="56" t="n">
        <f aca="false">H97</f>
        <v>0.0039825</v>
      </c>
      <c r="F119" s="56" t="n">
        <v>1</v>
      </c>
    </row>
    <row r="120" customFormat="false" ht="21.75" hidden="false" customHeight="true" outlineLevel="0" collapsed="false">
      <c r="A120" s="13" t="s">
        <v>350</v>
      </c>
      <c r="B120" s="56" t="n">
        <f aca="false">H44</f>
        <v>0</v>
      </c>
      <c r="C120" s="56" t="n">
        <f aca="false">H62</f>
        <v>0</v>
      </c>
      <c r="D120" s="56" t="n">
        <f aca="false">H80</f>
        <v>0</v>
      </c>
      <c r="E120" s="56" t="n">
        <f aca="false">H98</f>
        <v>0</v>
      </c>
      <c r="F120" s="56" t="n">
        <v>1</v>
      </c>
    </row>
    <row r="121" customFormat="false" ht="21.75" hidden="false" customHeight="true" outlineLevel="0" collapsed="false">
      <c r="A121" s="13" t="s">
        <v>351</v>
      </c>
      <c r="B121" s="56" t="n">
        <f aca="false">H45</f>
        <v>0</v>
      </c>
      <c r="C121" s="56" t="n">
        <f aca="false">H63</f>
        <v>0</v>
      </c>
      <c r="D121" s="56" t="n">
        <f aca="false">H81</f>
        <v>0</v>
      </c>
      <c r="E121" s="56" t="n">
        <f aca="false">H99</f>
        <v>0</v>
      </c>
      <c r="F121" s="56" t="n">
        <v>1</v>
      </c>
    </row>
  </sheetData>
  <autoFilter ref="A27:P99"/>
  <mergeCells count="1">
    <mergeCell ref="A12:G18"/>
  </mergeCells>
  <conditionalFormatting sqref="H28:I99">
    <cfRule type="expression" priority="2" aboveAverage="0" equalAverage="0" bottom="0" percent="0" rank="0" text="" dxfId="6">
      <formula>$H28&gt;=1</formula>
    </cfRule>
    <cfRule type="expression" priority="3" aboveAverage="0" equalAverage="0" bottom="0" percent="0" rank="0" text="" dxfId="7">
      <formula>AND($H28&gt;=0.85,$H28&lt;1)</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L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0" topLeftCell="D21" activePane="bottomRight" state="frozen"/>
      <selection pane="topLeft" activeCell="A1" activeCellId="0" sqref="A1"/>
      <selection pane="topRight" activeCell="D1" activeCellId="0" sqref="D1"/>
      <selection pane="bottomLeft" activeCell="A21" activeCellId="0" sqref="A2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5" min="4" style="0" width="12"/>
    <col collapsed="false" customWidth="true" hidden="false" outlineLevel="0" max="6" min="6" style="0" width="9"/>
    <col collapsed="false" customWidth="true" hidden="false" outlineLevel="0" max="7" min="7" style="0" width="11"/>
    <col collapsed="false" customWidth="true" hidden="false" outlineLevel="0" max="8" min="8" style="0" width="22"/>
    <col collapsed="false" customWidth="true" hidden="false" outlineLevel="0" max="11" min="9" style="0" width="13"/>
    <col collapsed="false" customWidth="true" hidden="false" outlineLevel="0" max="12" min="12" style="0" width="18"/>
  </cols>
  <sheetData>
    <row r="1" customFormat="false" ht="36" hidden="false" customHeight="true" outlineLevel="0" collapsed="false">
      <c r="A1" s="1" t="s">
        <v>361</v>
      </c>
      <c r="B1" s="2"/>
      <c r="C1" s="2"/>
      <c r="D1" s="2"/>
      <c r="E1" s="2"/>
      <c r="F1" s="2"/>
      <c r="G1" s="2"/>
      <c r="H1" s="2"/>
      <c r="I1" s="2"/>
      <c r="J1" s="2"/>
      <c r="K1" s="2"/>
      <c r="L1" s="2"/>
    </row>
    <row r="2" customFormat="false" ht="21.75" hidden="false" customHeight="true" outlineLevel="0" collapsed="false">
      <c r="A2" s="3" t="s">
        <v>362</v>
      </c>
    </row>
    <row r="3" customFormat="false" ht="7.5" hidden="false" customHeight="true" outlineLevel="0" collapsed="false"/>
    <row r="4" customFormat="false" ht="24.75" hidden="false" customHeight="true" outlineLevel="0" collapsed="false">
      <c r="A4" s="4" t="s">
        <v>316</v>
      </c>
    </row>
    <row r="5" customFormat="false" ht="53.25" hidden="false" customHeight="true" outlineLevel="0" collapsed="false">
      <c r="A5" s="7" t="s">
        <v>317</v>
      </c>
      <c r="B5" s="7" t="s">
        <v>318</v>
      </c>
      <c r="C5" s="7" t="s">
        <v>363</v>
      </c>
      <c r="D5" s="7" t="s">
        <v>364</v>
      </c>
      <c r="E5" s="7" t="s">
        <v>281</v>
      </c>
      <c r="F5" s="7" t="s">
        <v>365</v>
      </c>
    </row>
    <row r="6" customFormat="false" ht="21.75" hidden="false" customHeight="true" outlineLevel="0" collapsed="false">
      <c r="A6" s="13" t="s">
        <v>324</v>
      </c>
      <c r="B6" s="13" t="s">
        <v>325</v>
      </c>
      <c r="C6" s="44" t="n">
        <f aca="false">_xlfn.MAXIFS($G$21:$G$92,$A$21:$A$92,"Today (no screens)",$B$21:$B$92,"Central CT")</f>
        <v>0.361054485555556</v>
      </c>
      <c r="D6" s="57" t="n">
        <f aca="false">'Sim Data'!$D$368</f>
        <v>340.8</v>
      </c>
      <c r="E6" s="57" t="n">
        <f aca="false">Assumptions!$B$26</f>
        <v>900</v>
      </c>
      <c r="F6" s="50" t="n">
        <f aca="false">SUMPRODUCT('Sim Data'!$E$41:$E$58,'Sim Data'!$G$41:$G$58)/SUM('Sim Data'!$E$41:$E$58)</f>
        <v>15.9999855084135</v>
      </c>
    </row>
    <row r="7" customFormat="false" ht="21.75" hidden="false" customHeight="true" outlineLevel="0" collapsed="false">
      <c r="A7" s="13" t="s">
        <v>324</v>
      </c>
      <c r="B7" s="13" t="s">
        <v>326</v>
      </c>
      <c r="C7" s="44" t="n">
        <f aca="false">_xlfn.MAXIFS($G$21:$G$92,$A$21:$A$92,"Today (no screens)",$B$21:$B$92,"Munch Mess")</f>
        <v>0.248106942073171</v>
      </c>
      <c r="D7" s="57" t="n">
        <f aca="false">'Sim Data'!$D$369</f>
        <v>128</v>
      </c>
      <c r="E7" s="57" t="n">
        <f aca="false">Assumptions!$B$27</f>
        <v>492</v>
      </c>
      <c r="F7" s="50" t="n">
        <f aca="false">SUMPRODUCT('Sim Data'!$E$131:$E$148,'Sim Data'!$G$131:$G$148)/SUM('Sim Data'!$E$131:$E$148)</f>
        <v>16.0299767894429</v>
      </c>
    </row>
    <row r="8" customFormat="false" ht="21.75" hidden="false" customHeight="true" outlineLevel="0" collapsed="false">
      <c r="A8" s="13" t="s">
        <v>327</v>
      </c>
      <c r="B8" s="13" t="s">
        <v>325</v>
      </c>
      <c r="C8" s="44" t="n">
        <f aca="false">_xlfn.MAXIFS($G$21:$G$92,$A$21:$A$92,"With Smart Scan screens",$B$21:$B$92,"Central CT")</f>
        <v>0.357309195</v>
      </c>
      <c r="D8" s="57" t="n">
        <f aca="false">'Sim Data'!$D$370</f>
        <v>335.8</v>
      </c>
      <c r="E8" s="57" t="n">
        <f aca="false">Assumptions!$B$26</f>
        <v>900</v>
      </c>
      <c r="F8" s="50" t="n">
        <f aca="false">SUMPRODUCT('Sim Data'!$E$221:$E$238,'Sim Data'!$G$221:$G$238)/SUM('Sim Data'!$E$221:$E$238)</f>
        <v>15.9948886267782</v>
      </c>
    </row>
    <row r="9" customFormat="false" ht="21.75" hidden="false" customHeight="true" outlineLevel="0" collapsed="false">
      <c r="A9" s="13" t="s">
        <v>327</v>
      </c>
      <c r="B9" s="13" t="s">
        <v>326</v>
      </c>
      <c r="C9" s="44" t="n">
        <f aca="false">_xlfn.MAXIFS($G$21:$G$92,$A$21:$A$92,"With Smart Scan screens",$B$21:$B$92,"Munch Mess")</f>
        <v>0.517670008130081</v>
      </c>
      <c r="D9" s="57" t="n">
        <f aca="false">'Sim Data'!$D$371</f>
        <v>263.9</v>
      </c>
      <c r="E9" s="57" t="n">
        <f aca="false">Assumptions!$B$27</f>
        <v>492</v>
      </c>
      <c r="F9" s="50" t="n">
        <f aca="false">SUMPRODUCT('Sim Data'!$E$311:$E$328,'Sim Data'!$G$311:$G$328)/SUM('Sim Data'!$E$311:$E$328)</f>
        <v>16.0129283969288</v>
      </c>
    </row>
    <row r="11" customFormat="false" ht="18" hidden="false" customHeight="true" outlineLevel="0" collapsed="false">
      <c r="A11" s="49" t="s">
        <v>366</v>
      </c>
      <c r="B11" s="49"/>
      <c r="C11" s="49"/>
      <c r="D11" s="49"/>
      <c r="E11" s="49"/>
      <c r="F11" s="49"/>
    </row>
    <row r="12" customFormat="false" ht="15" hidden="false" customHeight="false" outlineLevel="0" collapsed="false">
      <c r="A12" s="49"/>
      <c r="B12" s="49"/>
      <c r="C12" s="49"/>
      <c r="D12" s="49"/>
      <c r="E12" s="49"/>
      <c r="F12" s="49"/>
    </row>
    <row r="13" customFormat="false" ht="15" hidden="false" customHeight="false" outlineLevel="0" collapsed="false">
      <c r="A13" s="49"/>
      <c r="B13" s="49"/>
      <c r="C13" s="49"/>
      <c r="D13" s="49"/>
      <c r="E13" s="49"/>
      <c r="F13" s="49"/>
    </row>
    <row r="14" customFormat="false" ht="15" hidden="false" customHeight="false" outlineLevel="0" collapsed="false">
      <c r="A14" s="49"/>
      <c r="B14" s="49"/>
      <c r="C14" s="49"/>
      <c r="D14" s="49"/>
      <c r="E14" s="49"/>
      <c r="F14" s="49"/>
    </row>
    <row r="15" customFormat="false" ht="15" hidden="false" customHeight="false" outlineLevel="0" collapsed="false">
      <c r="A15" s="49"/>
      <c r="B15" s="49"/>
      <c r="C15" s="49"/>
      <c r="D15" s="49"/>
      <c r="E15" s="49"/>
      <c r="F15" s="49"/>
    </row>
    <row r="16" customFormat="false" ht="15" hidden="false" customHeight="false" outlineLevel="0" collapsed="false">
      <c r="A16" s="49"/>
      <c r="B16" s="49"/>
      <c r="C16" s="49"/>
      <c r="D16" s="49"/>
      <c r="E16" s="49"/>
      <c r="F16" s="49"/>
    </row>
    <row r="19" customFormat="false" ht="24.75" hidden="false" customHeight="true" outlineLevel="0" collapsed="false">
      <c r="A19" s="4" t="s">
        <v>367</v>
      </c>
    </row>
    <row r="20" customFormat="false" ht="37.5" hidden="false" customHeight="true" outlineLevel="0" collapsed="false">
      <c r="A20" s="7" t="s">
        <v>317</v>
      </c>
      <c r="B20" s="7" t="s">
        <v>318</v>
      </c>
      <c r="C20" s="7" t="s">
        <v>332</v>
      </c>
      <c r="D20" s="7" t="s">
        <v>368</v>
      </c>
      <c r="E20" s="7" t="s">
        <v>369</v>
      </c>
      <c r="F20" s="7" t="s">
        <v>370</v>
      </c>
      <c r="G20" s="7" t="s">
        <v>371</v>
      </c>
      <c r="H20" s="7" t="s">
        <v>198</v>
      </c>
      <c r="I20" s="7" t="s">
        <v>372</v>
      </c>
      <c r="J20" s="7" t="s">
        <v>373</v>
      </c>
      <c r="K20" s="7" t="s">
        <v>374</v>
      </c>
      <c r="L20" s="7" t="s">
        <v>375</v>
      </c>
    </row>
    <row r="21" customFormat="false" ht="21.75" hidden="false" customHeight="true" outlineLevel="0" collapsed="false">
      <c r="A21" s="13" t="s">
        <v>324</v>
      </c>
      <c r="B21" s="13" t="s">
        <v>325</v>
      </c>
      <c r="C21" s="26" t="s">
        <v>343</v>
      </c>
      <c r="D21" s="50" t="n">
        <f aca="false">'Sim Data'!$E$41</f>
        <v>0</v>
      </c>
      <c r="E21" s="50" t="n">
        <f aca="false">IF('Sim Data'!$G$41&gt;0,'Sim Data'!$G$41,(Assumptions!$B$28+Assumptions!$B$29)/2)</f>
        <v>16</v>
      </c>
      <c r="F21" s="57" t="n">
        <f aca="false">Assumptions!$B$26</f>
        <v>900</v>
      </c>
      <c r="G21" s="54" t="n">
        <f aca="false">D21*E21/F21</f>
        <v>0</v>
      </c>
      <c r="H21" s="26" t="str">
        <f aca="false">IF(D21=0,"no arrivals",IF(G21&lt;1,"stable: seats free","over capacity"))</f>
        <v>no arrivals</v>
      </c>
      <c r="I21" s="53" t="n">
        <f aca="false">'Sim Data'!$I$41</f>
        <v>0</v>
      </c>
      <c r="J21" s="46" t="n">
        <f aca="false">D21*E21</f>
        <v>0</v>
      </c>
      <c r="K21" s="47" t="str">
        <f aca="false">IF(MAX(I21,J21)&lt;5,"≈ 0",IF(J21=0,"no new diners",I21/J21))</f>
        <v>≈ 0</v>
      </c>
      <c r="L21" s="50" t="n">
        <f aca="false">'Sim Data'!$E$59*'Sim Data'!$G$59</f>
        <v>0</v>
      </c>
    </row>
    <row r="22" customFormat="false" ht="21.75" hidden="false" customHeight="true" outlineLevel="0" collapsed="false">
      <c r="A22" s="13" t="s">
        <v>324</v>
      </c>
      <c r="B22" s="13" t="s">
        <v>325</v>
      </c>
      <c r="C22" s="26" t="s">
        <v>344</v>
      </c>
      <c r="D22" s="50" t="n">
        <f aca="false">'Sim Data'!$E$42</f>
        <v>0</v>
      </c>
      <c r="E22" s="50" t="n">
        <f aca="false">IF('Sim Data'!$G$42&gt;0,'Sim Data'!$G$42,(Assumptions!$B$28+Assumptions!$B$29)/2)</f>
        <v>16</v>
      </c>
      <c r="F22" s="57" t="n">
        <f aca="false">Assumptions!$B$26</f>
        <v>900</v>
      </c>
      <c r="G22" s="54" t="n">
        <f aca="false">D22*E22/F22</f>
        <v>0</v>
      </c>
      <c r="H22" s="26" t="str">
        <f aca="false">IF(D22=0,"no arrivals",IF(G22&lt;1,"stable: seats free","over capacity"))</f>
        <v>no arrivals</v>
      </c>
      <c r="I22" s="53" t="n">
        <f aca="false">'Sim Data'!$I$42</f>
        <v>0</v>
      </c>
      <c r="J22" s="46" t="n">
        <f aca="false">D22*E22</f>
        <v>0</v>
      </c>
      <c r="K22" s="47" t="str">
        <f aca="false">IF(MAX(I22,J22)&lt;5,"≈ 0",IF(J22=0,"no new diners",I22/J22))</f>
        <v>≈ 0</v>
      </c>
      <c r="L22" s="50" t="n">
        <f aca="false">'Sim Data'!$E$60*'Sim Data'!$G$60</f>
        <v>0</v>
      </c>
    </row>
    <row r="23" customFormat="false" ht="21.75" hidden="false" customHeight="true" outlineLevel="0" collapsed="false">
      <c r="A23" s="13" t="s">
        <v>324</v>
      </c>
      <c r="B23" s="13" t="s">
        <v>325</v>
      </c>
      <c r="C23" s="26" t="s">
        <v>345</v>
      </c>
      <c r="D23" s="50" t="n">
        <f aca="false">'Sim Data'!$E$43</f>
        <v>0</v>
      </c>
      <c r="E23" s="50" t="n">
        <f aca="false">IF('Sim Data'!$G$43&gt;0,'Sim Data'!$G$43,(Assumptions!$B$28+Assumptions!$B$29)/2)</f>
        <v>16</v>
      </c>
      <c r="F23" s="57" t="n">
        <f aca="false">Assumptions!$B$26</f>
        <v>900</v>
      </c>
      <c r="G23" s="54" t="n">
        <f aca="false">D23*E23/F23</f>
        <v>0</v>
      </c>
      <c r="H23" s="26" t="str">
        <f aca="false">IF(D23=0,"no arrivals",IF(G23&lt;1,"stable: seats free","over capacity"))</f>
        <v>no arrivals</v>
      </c>
      <c r="I23" s="53" t="n">
        <f aca="false">'Sim Data'!$I$43</f>
        <v>0</v>
      </c>
      <c r="J23" s="46" t="n">
        <f aca="false">D23*E23</f>
        <v>0</v>
      </c>
      <c r="K23" s="47" t="str">
        <f aca="false">IF(MAX(I23,J23)&lt;5,"≈ 0",IF(J23=0,"no new diners",I23/J23))</f>
        <v>≈ 0</v>
      </c>
      <c r="L23" s="50" t="n">
        <f aca="false">'Sim Data'!$E$61*'Sim Data'!$G$61</f>
        <v>0</v>
      </c>
    </row>
    <row r="24" customFormat="false" ht="21.75" hidden="false" customHeight="true" outlineLevel="0" collapsed="false">
      <c r="A24" s="13" t="s">
        <v>324</v>
      </c>
      <c r="B24" s="13" t="s">
        <v>325</v>
      </c>
      <c r="C24" s="26" t="s">
        <v>146</v>
      </c>
      <c r="D24" s="50" t="n">
        <f aca="false">'Sim Data'!$E$44</f>
        <v>10.825</v>
      </c>
      <c r="E24" s="50" t="n">
        <f aca="false">IF('Sim Data'!$G$44&gt;0,'Sim Data'!$G$44,(Assumptions!$B$28+Assumptions!$B$29)/2)</f>
        <v>16.0199</v>
      </c>
      <c r="F24" s="57" t="n">
        <f aca="false">Assumptions!$B$26</f>
        <v>900</v>
      </c>
      <c r="G24" s="54" t="n">
        <f aca="false">D24*E24/F24</f>
        <v>0.192683797222222</v>
      </c>
      <c r="H24" s="26" t="str">
        <f aca="false">IF(D24=0,"no arrivals",IF(G24&lt;1,"stable: seats free","over capacity"))</f>
        <v>stable: seats free</v>
      </c>
      <c r="I24" s="53" t="n">
        <f aca="false">'Sim Data'!$I$44</f>
        <v>39.0209</v>
      </c>
      <c r="J24" s="46" t="n">
        <f aca="false">D24*E24</f>
        <v>173.4154175</v>
      </c>
      <c r="K24" s="47" t="n">
        <f aca="false">IF(MAX(I24,J24)&lt;5,"≈ 0",IF(J24=0,"no new diners",I24/J24))</f>
        <v>0.225014018721836</v>
      </c>
      <c r="L24" s="50" t="n">
        <f aca="false">'Sim Data'!$E$62*'Sim Data'!$G$62</f>
        <v>0</v>
      </c>
    </row>
    <row r="25" customFormat="false" ht="21.75" hidden="false" customHeight="true" outlineLevel="0" collapsed="false">
      <c r="A25" s="13" t="s">
        <v>324</v>
      </c>
      <c r="B25" s="13" t="s">
        <v>325</v>
      </c>
      <c r="C25" s="26" t="s">
        <v>346</v>
      </c>
      <c r="D25" s="50" t="n">
        <f aca="false">'Sim Data'!$E$45</f>
        <v>17.58</v>
      </c>
      <c r="E25" s="50" t="n">
        <f aca="false">IF('Sim Data'!$G$45&gt;0,'Sim Data'!$G$45,(Assumptions!$B$28+Assumptions!$B$29)/2)</f>
        <v>15.9978</v>
      </c>
      <c r="F25" s="57" t="n">
        <f aca="false">Assumptions!$B$26</f>
        <v>900</v>
      </c>
      <c r="G25" s="54" t="n">
        <f aca="false">D25*E25/F25</f>
        <v>0.31249036</v>
      </c>
      <c r="H25" s="26" t="str">
        <f aca="false">IF(D25=0,"no arrivals",IF(G25&lt;1,"stable: seats free","over capacity"))</f>
        <v>stable: seats free</v>
      </c>
      <c r="I25" s="53" t="n">
        <f aca="false">'Sim Data'!$I$45</f>
        <v>190.3209</v>
      </c>
      <c r="J25" s="46" t="n">
        <f aca="false">D25*E25</f>
        <v>281.241324</v>
      </c>
      <c r="K25" s="47" t="n">
        <f aca="false">IF(MAX(I25,J25)&lt;5,"≈ 0",IF(J25=0,"no new diners",I25/J25))</f>
        <v>0.676717408711957</v>
      </c>
      <c r="L25" s="50" t="n">
        <f aca="false">'Sim Data'!$E$63*'Sim Data'!$G$63</f>
        <v>3.141502</v>
      </c>
    </row>
    <row r="26" customFormat="false" ht="21.75" hidden="false" customHeight="true" outlineLevel="0" collapsed="false">
      <c r="A26" s="13" t="s">
        <v>324</v>
      </c>
      <c r="B26" s="13" t="s">
        <v>325</v>
      </c>
      <c r="C26" s="26" t="s">
        <v>347</v>
      </c>
      <c r="D26" s="50" t="n">
        <f aca="false">'Sim Data'!$E$46</f>
        <v>18.725</v>
      </c>
      <c r="E26" s="50" t="n">
        <f aca="false">IF('Sim Data'!$G$46&gt;0,'Sim Data'!$G$46,(Assumptions!$B$28+Assumptions!$B$29)/2)</f>
        <v>15.9372</v>
      </c>
      <c r="F26" s="57" t="n">
        <f aca="false">Assumptions!$B$26</f>
        <v>900</v>
      </c>
      <c r="G26" s="54" t="n">
        <f aca="false">D26*E26/F26</f>
        <v>0.3315823</v>
      </c>
      <c r="H26" s="26" t="str">
        <f aca="false">IF(D26=0,"no arrivals",IF(G26&lt;1,"stable: seats free","over capacity"))</f>
        <v>stable: seats free</v>
      </c>
      <c r="I26" s="53" t="n">
        <f aca="false">'Sim Data'!$I$46</f>
        <v>283.9617</v>
      </c>
      <c r="J26" s="46" t="n">
        <f aca="false">D26*E26</f>
        <v>298.42407</v>
      </c>
      <c r="K26" s="47" t="n">
        <f aca="false">IF(MAX(I26,J26)&lt;5,"≈ 0",IF(J26=0,"no new diners",I26/J26))</f>
        <v>0.951537521755534</v>
      </c>
      <c r="L26" s="50" t="n">
        <f aca="false">'Sim Data'!$E$64*'Sim Data'!$G$64</f>
        <v>23.13831</v>
      </c>
    </row>
    <row r="27" customFormat="false" ht="21.75" hidden="false" customHeight="true" outlineLevel="0" collapsed="false">
      <c r="A27" s="13" t="s">
        <v>324</v>
      </c>
      <c r="B27" s="13" t="s">
        <v>325</v>
      </c>
      <c r="C27" s="26" t="s">
        <v>155</v>
      </c>
      <c r="D27" s="50" t="n">
        <f aca="false">'Sim Data'!$E$47</f>
        <v>19.72</v>
      </c>
      <c r="E27" s="50" t="n">
        <f aca="false">IF('Sim Data'!$G$47&gt;0,'Sim Data'!$G$47,(Assumptions!$B$28+Assumptions!$B$29)/2)</f>
        <v>16.0145</v>
      </c>
      <c r="F27" s="57" t="n">
        <f aca="false">Assumptions!$B$26</f>
        <v>900</v>
      </c>
      <c r="G27" s="54" t="n">
        <f aca="false">D27*E27/F27</f>
        <v>0.350895488888889</v>
      </c>
      <c r="H27" s="26" t="str">
        <f aca="false">IF(D27=0,"no arrivals",IF(G27&lt;1,"stable: seats free","over capacity"))</f>
        <v>stable: seats free</v>
      </c>
      <c r="I27" s="53" t="n">
        <f aca="false">'Sim Data'!$I$47</f>
        <v>301.5679</v>
      </c>
      <c r="J27" s="46" t="n">
        <f aca="false">D27*E27</f>
        <v>315.80594</v>
      </c>
      <c r="K27" s="47" t="n">
        <f aca="false">IF(MAX(I27,J27)&lt;5,"≈ 0",IF(J27=0,"no new diners",I27/J27))</f>
        <v>0.954915224203826</v>
      </c>
      <c r="L27" s="50" t="n">
        <f aca="false">'Sim Data'!$E$65*'Sim Data'!$G$65</f>
        <v>27.814728</v>
      </c>
    </row>
    <row r="28" customFormat="false" ht="21.75" hidden="false" customHeight="true" outlineLevel="0" collapsed="false">
      <c r="A28" s="13" t="s">
        <v>324</v>
      </c>
      <c r="B28" s="13" t="s">
        <v>325</v>
      </c>
      <c r="C28" s="26" t="s">
        <v>159</v>
      </c>
      <c r="D28" s="50" t="n">
        <f aca="false">'Sim Data'!$E$48</f>
        <v>19.885</v>
      </c>
      <c r="E28" s="50" t="n">
        <f aca="false">IF('Sim Data'!$G$48&gt;0,'Sim Data'!$G$48,(Assumptions!$B$28+Assumptions!$B$29)/2)</f>
        <v>16.005</v>
      </c>
      <c r="F28" s="57" t="n">
        <f aca="false">Assumptions!$B$26</f>
        <v>900</v>
      </c>
      <c r="G28" s="54" t="n">
        <f aca="false">D28*E28/F28</f>
        <v>0.353621583333333</v>
      </c>
      <c r="H28" s="26" t="str">
        <f aca="false">IF(D28=0,"no arrivals",IF(G28&lt;1,"stable: seats free","over capacity"))</f>
        <v>stable: seats free</v>
      </c>
      <c r="I28" s="53" t="n">
        <f aca="false">'Sim Data'!$I$48</f>
        <v>313.8677</v>
      </c>
      <c r="J28" s="46" t="n">
        <f aca="false">D28*E28</f>
        <v>318.259425</v>
      </c>
      <c r="K28" s="47" t="n">
        <f aca="false">IF(MAX(I28,J28)&lt;5,"≈ 0",IF(J28=0,"no new diners",I28/J28))</f>
        <v>0.986200801437381</v>
      </c>
      <c r="L28" s="50" t="n">
        <f aca="false">'Sim Data'!$E$66*'Sim Data'!$G$66</f>
        <v>27.743776</v>
      </c>
    </row>
    <row r="29" customFormat="false" ht="21.75" hidden="false" customHeight="true" outlineLevel="0" collapsed="false">
      <c r="A29" s="13" t="s">
        <v>324</v>
      </c>
      <c r="B29" s="13" t="s">
        <v>325</v>
      </c>
      <c r="C29" s="26" t="s">
        <v>162</v>
      </c>
      <c r="D29" s="50" t="n">
        <f aca="false">'Sim Data'!$E$49</f>
        <v>17.975</v>
      </c>
      <c r="E29" s="50" t="n">
        <f aca="false">IF('Sim Data'!$G$49&gt;0,'Sim Data'!$G$49,(Assumptions!$B$28+Assumptions!$B$29)/2)</f>
        <v>16.0141</v>
      </c>
      <c r="F29" s="57" t="n">
        <f aca="false">Assumptions!$B$26</f>
        <v>900</v>
      </c>
      <c r="G29" s="54" t="n">
        <f aca="false">D29*E29/F29</f>
        <v>0.319837163888889</v>
      </c>
      <c r="H29" s="26" t="str">
        <f aca="false">IF(D29=0,"no arrivals",IF(G29&lt;1,"stable: seats free","over capacity"))</f>
        <v>stable: seats free</v>
      </c>
      <c r="I29" s="53" t="n">
        <f aca="false">'Sim Data'!$I$49</f>
        <v>309.8301</v>
      </c>
      <c r="J29" s="46" t="n">
        <f aca="false">D29*E29</f>
        <v>287.8534475</v>
      </c>
      <c r="K29" s="47" t="n">
        <f aca="false">IF(MAX(I29,J29)&lt;5,"≈ 0",IF(J29=0,"no new diners",I29/J29))</f>
        <v>1.07634667116502</v>
      </c>
      <c r="L29" s="50" t="n">
        <f aca="false">'Sim Data'!$E$67*'Sim Data'!$G$67</f>
        <v>29.859063</v>
      </c>
    </row>
    <row r="30" customFormat="false" ht="21.75" hidden="false" customHeight="true" outlineLevel="0" collapsed="false">
      <c r="A30" s="13" t="s">
        <v>324</v>
      </c>
      <c r="B30" s="13" t="s">
        <v>325</v>
      </c>
      <c r="C30" s="26" t="s">
        <v>147</v>
      </c>
      <c r="D30" s="50" t="n">
        <f aca="false">'Sim Data'!$E$50</f>
        <v>19.1</v>
      </c>
      <c r="E30" s="50" t="n">
        <f aca="false">IF('Sim Data'!$G$50&gt;0,'Sim Data'!$G$50,(Assumptions!$B$28+Assumptions!$B$29)/2)</f>
        <v>15.9857</v>
      </c>
      <c r="F30" s="57" t="n">
        <f aca="false">Assumptions!$B$26</f>
        <v>900</v>
      </c>
      <c r="G30" s="54" t="n">
        <f aca="false">D30*E30/F30</f>
        <v>0.339252077777778</v>
      </c>
      <c r="H30" s="26" t="str">
        <f aca="false">IF(D30=0,"no arrivals",IF(G30&lt;1,"stable: seats free","over capacity"))</f>
        <v>stable: seats free</v>
      </c>
      <c r="I30" s="53" t="n">
        <f aca="false">'Sim Data'!$I$50</f>
        <v>295.2475</v>
      </c>
      <c r="J30" s="46" t="n">
        <f aca="false">D30*E30</f>
        <v>305.32687</v>
      </c>
      <c r="K30" s="47" t="n">
        <f aca="false">IF(MAX(I30,J30)&lt;5,"≈ 0",IF(J30=0,"no new diners",I30/J30))</f>
        <v>0.966988264085634</v>
      </c>
      <c r="L30" s="50" t="n">
        <f aca="false">'Sim Data'!$E$68*'Sim Data'!$G$68</f>
        <v>29.046494</v>
      </c>
    </row>
    <row r="31" customFormat="false" ht="21.75" hidden="false" customHeight="true" outlineLevel="0" collapsed="false">
      <c r="A31" s="13" t="s">
        <v>324</v>
      </c>
      <c r="B31" s="13" t="s">
        <v>325</v>
      </c>
      <c r="C31" s="26" t="s">
        <v>348</v>
      </c>
      <c r="D31" s="50" t="n">
        <f aca="false">'Sim Data'!$E$51</f>
        <v>20.03</v>
      </c>
      <c r="E31" s="50" t="n">
        <f aca="false">IF('Sim Data'!$G$51&gt;0,'Sim Data'!$G$51,(Assumptions!$B$28+Assumptions!$B$29)/2)</f>
        <v>16.0244</v>
      </c>
      <c r="F31" s="57" t="n">
        <f aca="false">Assumptions!$B$26</f>
        <v>900</v>
      </c>
      <c r="G31" s="54" t="n">
        <f aca="false">D31*E31/F31</f>
        <v>0.356631924444444</v>
      </c>
      <c r="H31" s="26" t="str">
        <f aca="false">IF(D31=0,"no arrivals",IF(G31&lt;1,"stable: seats free","over capacity"))</f>
        <v>stable: seats free</v>
      </c>
      <c r="I31" s="53" t="n">
        <f aca="false">'Sim Data'!$I$51</f>
        <v>309.0409</v>
      </c>
      <c r="J31" s="46" t="n">
        <f aca="false">D31*E31</f>
        <v>320.968732</v>
      </c>
      <c r="K31" s="47" t="n">
        <f aca="false">IF(MAX(I31,J31)&lt;5,"≈ 0",IF(J31=0,"no new diners",I31/J31))</f>
        <v>0.962838024982446</v>
      </c>
      <c r="L31" s="50" t="n">
        <f aca="false">'Sim Data'!$E$69*'Sim Data'!$G$69</f>
        <v>27.2384175</v>
      </c>
    </row>
    <row r="32" customFormat="false" ht="21.75" hidden="false" customHeight="true" outlineLevel="0" collapsed="false">
      <c r="A32" s="13" t="s">
        <v>324</v>
      </c>
      <c r="B32" s="13" t="s">
        <v>325</v>
      </c>
      <c r="C32" s="26" t="s">
        <v>349</v>
      </c>
      <c r="D32" s="50" t="n">
        <f aca="false">'Sim Data'!$E$52</f>
        <v>19.53</v>
      </c>
      <c r="E32" s="50" t="n">
        <f aca="false">IF('Sim Data'!$G$52&gt;0,'Sim Data'!$G$52,(Assumptions!$B$28+Assumptions!$B$29)/2)</f>
        <v>16.0102</v>
      </c>
      <c r="F32" s="57" t="n">
        <f aca="false">Assumptions!$B$26</f>
        <v>900</v>
      </c>
      <c r="G32" s="54" t="n">
        <f aca="false">D32*E32/F32</f>
        <v>0.34742134</v>
      </c>
      <c r="H32" s="26" t="str">
        <f aca="false">IF(D32=0,"no arrivals",IF(G32&lt;1,"stable: seats free","over capacity"))</f>
        <v>stable: seats free</v>
      </c>
      <c r="I32" s="53" t="n">
        <f aca="false">'Sim Data'!$I$52</f>
        <v>318.7968</v>
      </c>
      <c r="J32" s="46" t="n">
        <f aca="false">D32*E32</f>
        <v>312.679206</v>
      </c>
      <c r="K32" s="47" t="n">
        <f aca="false">IF(MAX(I32,J32)&lt;5,"≈ 0",IF(J32=0,"no new diners",I32/J32))</f>
        <v>1.01956508102429</v>
      </c>
      <c r="L32" s="50" t="n">
        <f aca="false">'Sim Data'!$E$70*'Sim Data'!$G$70</f>
        <v>29.190862</v>
      </c>
    </row>
    <row r="33" customFormat="false" ht="21.75" hidden="false" customHeight="true" outlineLevel="0" collapsed="false">
      <c r="A33" s="13" t="s">
        <v>324</v>
      </c>
      <c r="B33" s="13" t="s">
        <v>325</v>
      </c>
      <c r="C33" s="26" t="s">
        <v>156</v>
      </c>
      <c r="D33" s="50" t="n">
        <f aca="false">'Sim Data'!$E$53</f>
        <v>19.14</v>
      </c>
      <c r="E33" s="50" t="n">
        <f aca="false">IF('Sim Data'!$G$53&gt;0,'Sim Data'!$G$53,(Assumptions!$B$28+Assumptions!$B$29)/2)</f>
        <v>16.029</v>
      </c>
      <c r="F33" s="57" t="n">
        <f aca="false">Assumptions!$B$26</f>
        <v>900</v>
      </c>
      <c r="G33" s="54" t="n">
        <f aca="false">D33*E33/F33</f>
        <v>0.3408834</v>
      </c>
      <c r="H33" s="26" t="str">
        <f aca="false">IF(D33=0,"no arrivals",IF(G33&lt;1,"stable: seats free","over capacity"))</f>
        <v>stable: seats free</v>
      </c>
      <c r="I33" s="53" t="n">
        <f aca="false">'Sim Data'!$I$53</f>
        <v>314.1192</v>
      </c>
      <c r="J33" s="46" t="n">
        <f aca="false">D33*E33</f>
        <v>306.79506</v>
      </c>
      <c r="K33" s="47" t="n">
        <f aca="false">IF(MAX(I33,J33)&lt;5,"≈ 0",IF(J33=0,"no new diners",I33/J33))</f>
        <v>1.02387307018568</v>
      </c>
      <c r="L33" s="50" t="n">
        <f aca="false">'Sim Data'!$E$71*'Sim Data'!$G$71</f>
        <v>29.9494855</v>
      </c>
    </row>
    <row r="34" customFormat="false" ht="21.75" hidden="false" customHeight="true" outlineLevel="0" collapsed="false">
      <c r="A34" s="13" t="s">
        <v>324</v>
      </c>
      <c r="B34" s="13" t="s">
        <v>325</v>
      </c>
      <c r="C34" s="26" t="s">
        <v>160</v>
      </c>
      <c r="D34" s="50" t="n">
        <f aca="false">'Sim Data'!$E$54</f>
        <v>17.805</v>
      </c>
      <c r="E34" s="50" t="n">
        <f aca="false">IF('Sim Data'!$G$54&gt;0,'Sim Data'!$G$54,(Assumptions!$B$28+Assumptions!$B$29)/2)</f>
        <v>15.9593</v>
      </c>
      <c r="F34" s="57" t="n">
        <f aca="false">Assumptions!$B$26</f>
        <v>900</v>
      </c>
      <c r="G34" s="54" t="n">
        <f aca="false">D34*E34/F34</f>
        <v>0.315728151666667</v>
      </c>
      <c r="H34" s="26" t="str">
        <f aca="false">IF(D34=0,"no arrivals",IF(G34&lt;1,"stable: seats free","over capacity"))</f>
        <v>stable: seats free</v>
      </c>
      <c r="I34" s="53" t="n">
        <f aca="false">'Sim Data'!$I$54</f>
        <v>296.1703</v>
      </c>
      <c r="J34" s="46" t="n">
        <f aca="false">D34*E34</f>
        <v>284.1553365</v>
      </c>
      <c r="K34" s="47" t="n">
        <f aca="false">IF(MAX(I34,J34)&lt;5,"≈ 0",IF(J34=0,"no new diners",I34/J34))</f>
        <v>1.04228308237315</v>
      </c>
      <c r="L34" s="50" t="n">
        <f aca="false">'Sim Data'!$E$72*'Sim Data'!$G$72</f>
        <v>29.3185305</v>
      </c>
    </row>
    <row r="35" customFormat="false" ht="21.75" hidden="false" customHeight="true" outlineLevel="0" collapsed="false">
      <c r="A35" s="13" t="s">
        <v>324</v>
      </c>
      <c r="B35" s="13" t="s">
        <v>325</v>
      </c>
      <c r="C35" s="26" t="s">
        <v>163</v>
      </c>
      <c r="D35" s="50" t="n">
        <f aca="false">'Sim Data'!$E$55</f>
        <v>20.305</v>
      </c>
      <c r="E35" s="50" t="n">
        <f aca="false">IF('Sim Data'!$G$55&gt;0,'Sim Data'!$G$55,(Assumptions!$B$28+Assumptions!$B$29)/2)</f>
        <v>16.0034</v>
      </c>
      <c r="F35" s="57" t="n">
        <f aca="false">Assumptions!$B$26</f>
        <v>900</v>
      </c>
      <c r="G35" s="54" t="n">
        <f aca="false">D35*E35/F35</f>
        <v>0.361054485555556</v>
      </c>
      <c r="H35" s="26" t="str">
        <f aca="false">IF(D35=0,"no arrivals",IF(G35&lt;1,"stable: seats free","over capacity"))</f>
        <v>stable: seats free</v>
      </c>
      <c r="I35" s="53" t="n">
        <f aca="false">'Sim Data'!$I$55</f>
        <v>300.2076</v>
      </c>
      <c r="J35" s="46" t="n">
        <f aca="false">D35*E35</f>
        <v>324.949037</v>
      </c>
      <c r="K35" s="47" t="n">
        <f aca="false">IF(MAX(I35,J35)&lt;5,"≈ 0",IF(J35=0,"no new diners",I35/J35))</f>
        <v>0.923860562171785</v>
      </c>
      <c r="L35" s="50" t="n">
        <f aca="false">'Sim Data'!$E$73*'Sim Data'!$G$73</f>
        <v>27.2908125</v>
      </c>
    </row>
    <row r="36" customFormat="false" ht="21.75" hidden="false" customHeight="true" outlineLevel="0" collapsed="false">
      <c r="A36" s="13" t="s">
        <v>324</v>
      </c>
      <c r="B36" s="13" t="s">
        <v>325</v>
      </c>
      <c r="C36" s="26" t="s">
        <v>150</v>
      </c>
      <c r="D36" s="50" t="n">
        <f aca="false">'Sim Data'!$E$56</f>
        <v>14.125</v>
      </c>
      <c r="E36" s="50" t="n">
        <f aca="false">IF('Sim Data'!$G$56&gt;0,'Sim Data'!$G$56,(Assumptions!$B$28+Assumptions!$B$29)/2)</f>
        <v>16.0069</v>
      </c>
      <c r="F36" s="57" t="n">
        <f aca="false">Assumptions!$B$26</f>
        <v>900</v>
      </c>
      <c r="G36" s="54" t="n">
        <f aca="false">D36*E36/F36</f>
        <v>0.251219402777778</v>
      </c>
      <c r="H36" s="26" t="str">
        <f aca="false">IF(D36=0,"no arrivals",IF(G36&lt;1,"stable: seats free","over capacity"))</f>
        <v>stable: seats free</v>
      </c>
      <c r="I36" s="53" t="n">
        <f aca="false">'Sim Data'!$I$56</f>
        <v>307.91</v>
      </c>
      <c r="J36" s="46" t="n">
        <f aca="false">D36*E36</f>
        <v>226.0974625</v>
      </c>
      <c r="K36" s="47" t="n">
        <f aca="false">IF(MAX(I36,J36)&lt;5,"≈ 0",IF(J36=0,"no new diners",I36/J36))</f>
        <v>1.36184633208787</v>
      </c>
      <c r="L36" s="50" t="n">
        <f aca="false">'Sim Data'!$E$74*'Sim Data'!$G$74</f>
        <v>28.998366</v>
      </c>
    </row>
    <row r="37" customFormat="false" ht="21.75" hidden="false" customHeight="true" outlineLevel="0" collapsed="false">
      <c r="A37" s="13" t="s">
        <v>324</v>
      </c>
      <c r="B37" s="13" t="s">
        <v>325</v>
      </c>
      <c r="C37" s="26" t="s">
        <v>350</v>
      </c>
      <c r="D37" s="50" t="n">
        <f aca="false">'Sim Data'!$E$57</f>
        <v>1.185</v>
      </c>
      <c r="E37" s="50" t="n">
        <f aca="false">IF('Sim Data'!$G$57&gt;0,'Sim Data'!$G$57,(Assumptions!$B$28+Assumptions!$B$29)/2)</f>
        <v>15.9538</v>
      </c>
      <c r="F37" s="57" t="n">
        <f aca="false">Assumptions!$B$26</f>
        <v>900</v>
      </c>
      <c r="G37" s="54" t="n">
        <f aca="false">D37*E37/F37</f>
        <v>0.0210058366666667</v>
      </c>
      <c r="H37" s="26" t="str">
        <f aca="false">IF(D37=0,"no arrivals",IF(G37&lt;1,"stable: seats free","over capacity"))</f>
        <v>stable: seats free</v>
      </c>
      <c r="I37" s="53" t="n">
        <f aca="false">'Sim Data'!$I$57</f>
        <v>170.2096</v>
      </c>
      <c r="J37" s="46" t="n">
        <f aca="false">D37*E37</f>
        <v>18.905253</v>
      </c>
      <c r="K37" s="47" t="n">
        <f aca="false">IF(MAX(I37,J37)&lt;5,"≈ 0",IF(J37=0,"no new diners",I37/J37))</f>
        <v>9.00329659698286</v>
      </c>
      <c r="L37" s="50" t="n">
        <f aca="false">'Sim Data'!$E$75*'Sim Data'!$G$75</f>
        <v>30.1291375</v>
      </c>
    </row>
    <row r="38" customFormat="false" ht="21.75" hidden="false" customHeight="true" outlineLevel="0" collapsed="false">
      <c r="A38" s="13" t="s">
        <v>324</v>
      </c>
      <c r="B38" s="13" t="s">
        <v>325</v>
      </c>
      <c r="C38" s="26" t="s">
        <v>351</v>
      </c>
      <c r="D38" s="50" t="n">
        <f aca="false">'Sim Data'!$E$58</f>
        <v>0</v>
      </c>
      <c r="E38" s="50" t="n">
        <f aca="false">IF('Sim Data'!$G$58&gt;0,'Sim Data'!$G$58,(Assumptions!$B$28+Assumptions!$B$29)/2)</f>
        <v>16</v>
      </c>
      <c r="F38" s="57" t="n">
        <f aca="false">Assumptions!$B$26</f>
        <v>900</v>
      </c>
      <c r="G38" s="54" t="n">
        <f aca="false">D38*E38/F38</f>
        <v>0</v>
      </c>
      <c r="H38" s="26" t="str">
        <f aca="false">IF(D38=0,"no arrivals",IF(G38&lt;1,"stable: seats free","over capacity"))</f>
        <v>no arrivals</v>
      </c>
      <c r="I38" s="53" t="n">
        <f aca="false">'Sim Data'!$I$58</f>
        <v>24.2056</v>
      </c>
      <c r="J38" s="46" t="n">
        <f aca="false">D38*E38</f>
        <v>0</v>
      </c>
      <c r="K38" s="47" t="str">
        <f aca="false">IF(MAX(I38,J38)&lt;5,"≈ 0",IF(J38=0,"no new diners",I38/J38))</f>
        <v>no new diners</v>
      </c>
      <c r="L38" s="50" t="n">
        <f aca="false">'Sim Data'!$E$76*'Sim Data'!$G$76</f>
        <v>10.5917</v>
      </c>
    </row>
    <row r="39" customFormat="false" ht="21.75" hidden="false" customHeight="true" outlineLevel="0" collapsed="false">
      <c r="A39" s="13" t="s">
        <v>324</v>
      </c>
      <c r="B39" s="13" t="s">
        <v>326</v>
      </c>
      <c r="C39" s="26" t="s">
        <v>343</v>
      </c>
      <c r="D39" s="50" t="n">
        <f aca="false">'Sim Data'!$E$131</f>
        <v>0</v>
      </c>
      <c r="E39" s="50" t="n">
        <f aca="false">IF('Sim Data'!$G$131&gt;0,'Sim Data'!$G$131,(Assumptions!$B$28+Assumptions!$B$29)/2)</f>
        <v>16</v>
      </c>
      <c r="F39" s="57" t="n">
        <f aca="false">Assumptions!$B$27</f>
        <v>492</v>
      </c>
      <c r="G39" s="54" t="n">
        <f aca="false">D39*E39/F39</f>
        <v>0</v>
      </c>
      <c r="H39" s="26" t="str">
        <f aca="false">IF(D39=0,"no arrivals",IF(G39&lt;1,"stable: seats free","over capacity"))</f>
        <v>no arrivals</v>
      </c>
      <c r="I39" s="53" t="n">
        <f aca="false">'Sim Data'!$I$131</f>
        <v>0</v>
      </c>
      <c r="J39" s="46" t="n">
        <f aca="false">D39*E39</f>
        <v>0</v>
      </c>
      <c r="K39" s="47" t="str">
        <f aca="false">IF(MAX(I39,J39)&lt;5,"≈ 0",IF(J39=0,"no new diners",I39/J39))</f>
        <v>≈ 0</v>
      </c>
      <c r="L39" s="50" t="n">
        <f aca="false">'Sim Data'!$E$149*'Sim Data'!$G$149</f>
        <v>0</v>
      </c>
    </row>
    <row r="40" customFormat="false" ht="21.75" hidden="false" customHeight="true" outlineLevel="0" collapsed="false">
      <c r="A40" s="13" t="s">
        <v>324</v>
      </c>
      <c r="B40" s="13" t="s">
        <v>326</v>
      </c>
      <c r="C40" s="26" t="s">
        <v>344</v>
      </c>
      <c r="D40" s="50" t="n">
        <f aca="false">'Sim Data'!$E$132</f>
        <v>0</v>
      </c>
      <c r="E40" s="50" t="n">
        <f aca="false">IF('Sim Data'!$G$132&gt;0,'Sim Data'!$G$132,(Assumptions!$B$28+Assumptions!$B$29)/2)</f>
        <v>16</v>
      </c>
      <c r="F40" s="57" t="n">
        <f aca="false">Assumptions!$B$27</f>
        <v>492</v>
      </c>
      <c r="G40" s="54" t="n">
        <f aca="false">D40*E40/F40</f>
        <v>0</v>
      </c>
      <c r="H40" s="26" t="str">
        <f aca="false">IF(D40=0,"no arrivals",IF(G40&lt;1,"stable: seats free","over capacity"))</f>
        <v>no arrivals</v>
      </c>
      <c r="I40" s="53" t="n">
        <f aca="false">'Sim Data'!$I$132</f>
        <v>0</v>
      </c>
      <c r="J40" s="46" t="n">
        <f aca="false">D40*E40</f>
        <v>0</v>
      </c>
      <c r="K40" s="47" t="str">
        <f aca="false">IF(MAX(I40,J40)&lt;5,"≈ 0",IF(J40=0,"no new diners",I40/J40))</f>
        <v>≈ 0</v>
      </c>
      <c r="L40" s="50" t="n">
        <f aca="false">'Sim Data'!$E$150*'Sim Data'!$G$150</f>
        <v>0</v>
      </c>
    </row>
    <row r="41" customFormat="false" ht="21.75" hidden="false" customHeight="true" outlineLevel="0" collapsed="false">
      <c r="A41" s="13" t="s">
        <v>324</v>
      </c>
      <c r="B41" s="13" t="s">
        <v>326</v>
      </c>
      <c r="C41" s="26" t="s">
        <v>345</v>
      </c>
      <c r="D41" s="50" t="n">
        <f aca="false">'Sim Data'!$E$133</f>
        <v>0</v>
      </c>
      <c r="E41" s="50" t="n">
        <f aca="false">IF('Sim Data'!$G$133&gt;0,'Sim Data'!$G$133,(Assumptions!$B$28+Assumptions!$B$29)/2)</f>
        <v>16</v>
      </c>
      <c r="F41" s="57" t="n">
        <f aca="false">Assumptions!$B$27</f>
        <v>492</v>
      </c>
      <c r="G41" s="54" t="n">
        <f aca="false">D41*E41/F41</f>
        <v>0</v>
      </c>
      <c r="H41" s="26" t="str">
        <f aca="false">IF(D41=0,"no arrivals",IF(G41&lt;1,"stable: seats free","over capacity"))</f>
        <v>no arrivals</v>
      </c>
      <c r="I41" s="53" t="n">
        <f aca="false">'Sim Data'!$I$133</f>
        <v>0</v>
      </c>
      <c r="J41" s="46" t="n">
        <f aca="false">D41*E41</f>
        <v>0</v>
      </c>
      <c r="K41" s="47" t="str">
        <f aca="false">IF(MAX(I41,J41)&lt;5,"≈ 0",IF(J41=0,"no new diners",I41/J41))</f>
        <v>≈ 0</v>
      </c>
      <c r="L41" s="50" t="n">
        <f aca="false">'Sim Data'!$E$151*'Sim Data'!$G$151</f>
        <v>0</v>
      </c>
    </row>
    <row r="42" customFormat="false" ht="21.75" hidden="false" customHeight="true" outlineLevel="0" collapsed="false">
      <c r="A42" s="13" t="s">
        <v>324</v>
      </c>
      <c r="B42" s="13" t="s">
        <v>326</v>
      </c>
      <c r="C42" s="26" t="s">
        <v>146</v>
      </c>
      <c r="D42" s="50" t="n">
        <f aca="false">'Sim Data'!$E$134</f>
        <v>3.07</v>
      </c>
      <c r="E42" s="50" t="n">
        <f aca="false">IF('Sim Data'!$G$134&gt;0,'Sim Data'!$G$134,(Assumptions!$B$28+Assumptions!$B$29)/2)</f>
        <v>16.0073</v>
      </c>
      <c r="F42" s="57" t="n">
        <f aca="false">Assumptions!$B$27</f>
        <v>492</v>
      </c>
      <c r="G42" s="54" t="n">
        <f aca="false">D42*E42/F42</f>
        <v>0.0998829491869919</v>
      </c>
      <c r="H42" s="26" t="str">
        <f aca="false">IF(D42=0,"no arrivals",IF(G42&lt;1,"stable: seats free","over capacity"))</f>
        <v>stable: seats free</v>
      </c>
      <c r="I42" s="53" t="n">
        <f aca="false">'Sim Data'!$I$134</f>
        <v>11.6759</v>
      </c>
      <c r="J42" s="46" t="n">
        <f aca="false">D42*E42</f>
        <v>49.142411</v>
      </c>
      <c r="K42" s="47" t="n">
        <f aca="false">IF(MAX(I42,J42)&lt;5,"≈ 0",IF(J42=0,"no new diners",I42/J42))</f>
        <v>0.2375931453587</v>
      </c>
      <c r="L42" s="50" t="n">
        <f aca="false">'Sim Data'!$E$152*'Sim Data'!$G$152</f>
        <v>0</v>
      </c>
    </row>
    <row r="43" customFormat="false" ht="21.75" hidden="false" customHeight="true" outlineLevel="0" collapsed="false">
      <c r="A43" s="13" t="s">
        <v>324</v>
      </c>
      <c r="B43" s="13" t="s">
        <v>326</v>
      </c>
      <c r="C43" s="26" t="s">
        <v>346</v>
      </c>
      <c r="D43" s="50" t="n">
        <f aca="false">'Sim Data'!$E$135</f>
        <v>4.47</v>
      </c>
      <c r="E43" s="50" t="n">
        <f aca="false">IF('Sim Data'!$G$135&gt;0,'Sim Data'!$G$135,(Assumptions!$B$28+Assumptions!$B$29)/2)</f>
        <v>16.1394</v>
      </c>
      <c r="F43" s="57" t="n">
        <f aca="false">Assumptions!$B$27</f>
        <v>492</v>
      </c>
      <c r="G43" s="54" t="n">
        <f aca="false">D43*E43/F43</f>
        <v>0.146632353658537</v>
      </c>
      <c r="H43" s="26" t="str">
        <f aca="false">IF(D43=0,"no arrivals",IF(G43&lt;1,"stable: seats free","over capacity"))</f>
        <v>stable: seats free</v>
      </c>
      <c r="I43" s="53" t="n">
        <f aca="false">'Sim Data'!$I$135</f>
        <v>51.514</v>
      </c>
      <c r="J43" s="46" t="n">
        <f aca="false">D43*E43</f>
        <v>72.143118</v>
      </c>
      <c r="K43" s="47" t="n">
        <f aca="false">IF(MAX(I43,J43)&lt;5,"≈ 0",IF(J43=0,"no new diners",I43/J43))</f>
        <v>0.714052863642517</v>
      </c>
      <c r="L43" s="50" t="n">
        <f aca="false">'Sim Data'!$E$153*'Sim Data'!$G$153</f>
        <v>1.03719</v>
      </c>
    </row>
    <row r="44" customFormat="false" ht="21.75" hidden="false" customHeight="true" outlineLevel="0" collapsed="false">
      <c r="A44" s="13" t="s">
        <v>324</v>
      </c>
      <c r="B44" s="13" t="s">
        <v>326</v>
      </c>
      <c r="C44" s="26" t="s">
        <v>347</v>
      </c>
      <c r="D44" s="50" t="n">
        <f aca="false">'Sim Data'!$E$136</f>
        <v>4.725</v>
      </c>
      <c r="E44" s="50" t="n">
        <f aca="false">IF('Sim Data'!$G$136&gt;0,'Sim Data'!$G$136,(Assumptions!$B$28+Assumptions!$B$29)/2)</f>
        <v>16.025</v>
      </c>
      <c r="F44" s="57" t="n">
        <f aca="false">Assumptions!$B$27</f>
        <v>492</v>
      </c>
      <c r="G44" s="54" t="n">
        <f aca="false">D44*E44/F44</f>
        <v>0.15389862804878</v>
      </c>
      <c r="H44" s="26" t="str">
        <f aca="false">IF(D44=0,"no arrivals",IF(G44&lt;1,"stable: seats free","over capacity"))</f>
        <v>stable: seats free</v>
      </c>
      <c r="I44" s="53" t="n">
        <f aca="false">'Sim Data'!$I$136</f>
        <v>73.1067</v>
      </c>
      <c r="J44" s="46" t="n">
        <f aca="false">D44*E44</f>
        <v>75.718125</v>
      </c>
      <c r="K44" s="47" t="n">
        <f aca="false">IF(MAX(I44,J44)&lt;5,"≈ 0",IF(J44=0,"no new diners",I44/J44))</f>
        <v>0.965511229973009</v>
      </c>
      <c r="L44" s="50" t="n">
        <f aca="false">'Sim Data'!$E$154*'Sim Data'!$G$154</f>
        <v>6.0423435</v>
      </c>
    </row>
    <row r="45" customFormat="false" ht="21.75" hidden="false" customHeight="true" outlineLevel="0" collapsed="false">
      <c r="A45" s="13" t="s">
        <v>324</v>
      </c>
      <c r="B45" s="13" t="s">
        <v>326</v>
      </c>
      <c r="C45" s="26" t="s">
        <v>155</v>
      </c>
      <c r="D45" s="50" t="n">
        <f aca="false">'Sim Data'!$E$137</f>
        <v>5.635</v>
      </c>
      <c r="E45" s="50" t="n">
        <f aca="false">IF('Sim Data'!$G$137&gt;0,'Sim Data'!$G$137,(Assumptions!$B$28+Assumptions!$B$29)/2)</f>
        <v>16.0169</v>
      </c>
      <c r="F45" s="57" t="n">
        <f aca="false">Assumptions!$B$27</f>
        <v>492</v>
      </c>
      <c r="G45" s="54" t="n">
        <f aca="false">D45*E45/F45</f>
        <v>0.183445592479675</v>
      </c>
      <c r="H45" s="26" t="str">
        <f aca="false">IF(D45=0,"no arrivals",IF(G45&lt;1,"stable: seats free","over capacity"))</f>
        <v>stable: seats free</v>
      </c>
      <c r="I45" s="53" t="n">
        <f aca="false">'Sim Data'!$I$137</f>
        <v>79.4773</v>
      </c>
      <c r="J45" s="46" t="n">
        <f aca="false">D45*E45</f>
        <v>90.2552315</v>
      </c>
      <c r="K45" s="47" t="n">
        <f aca="false">IF(MAX(I45,J45)&lt;5,"≈ 0",IF(J45=0,"no new diners",I45/J45))</f>
        <v>0.880583858454787</v>
      </c>
      <c r="L45" s="50" t="n">
        <f aca="false">'Sim Data'!$E$155*'Sim Data'!$G$155</f>
        <v>7.200592</v>
      </c>
    </row>
    <row r="46" customFormat="false" ht="21.75" hidden="false" customHeight="true" outlineLevel="0" collapsed="false">
      <c r="A46" s="13" t="s">
        <v>324</v>
      </c>
      <c r="B46" s="13" t="s">
        <v>326</v>
      </c>
      <c r="C46" s="26" t="s">
        <v>159</v>
      </c>
      <c r="D46" s="50" t="n">
        <f aca="false">'Sim Data'!$E$138</f>
        <v>5.44</v>
      </c>
      <c r="E46" s="50" t="n">
        <f aca="false">IF('Sim Data'!$G$138&gt;0,'Sim Data'!$G$138,(Assumptions!$B$28+Assumptions!$B$29)/2)</f>
        <v>16.093</v>
      </c>
      <c r="F46" s="57" t="n">
        <f aca="false">Assumptions!$B$27</f>
        <v>492</v>
      </c>
      <c r="G46" s="54" t="n">
        <f aca="false">D46*E46/F46</f>
        <v>0.177938861788618</v>
      </c>
      <c r="H46" s="26" t="str">
        <f aca="false">IF(D46=0,"no arrivals",IF(G46&lt;1,"stable: seats free","over capacity"))</f>
        <v>stable: seats free</v>
      </c>
      <c r="I46" s="53" t="n">
        <f aca="false">'Sim Data'!$I$138</f>
        <v>86.9208</v>
      </c>
      <c r="J46" s="46" t="n">
        <f aca="false">D46*E46</f>
        <v>87.54592</v>
      </c>
      <c r="K46" s="47" t="n">
        <f aca="false">IF(MAX(I46,J46)&lt;5,"≈ 0",IF(J46=0,"no new diners",I46/J46))</f>
        <v>0.99285951875313</v>
      </c>
      <c r="L46" s="50" t="n">
        <f aca="false">'Sim Data'!$E$156*'Sim Data'!$G$156</f>
        <v>7.368741</v>
      </c>
    </row>
    <row r="47" customFormat="false" ht="21.75" hidden="false" customHeight="true" outlineLevel="0" collapsed="false">
      <c r="A47" s="13" t="s">
        <v>324</v>
      </c>
      <c r="B47" s="13" t="s">
        <v>326</v>
      </c>
      <c r="C47" s="26" t="s">
        <v>162</v>
      </c>
      <c r="D47" s="50" t="n">
        <f aca="false">'Sim Data'!$E$139</f>
        <v>4.5</v>
      </c>
      <c r="E47" s="50" t="n">
        <f aca="false">IF('Sim Data'!$G$139&gt;0,'Sim Data'!$G$139,(Assumptions!$B$28+Assumptions!$B$29)/2)</f>
        <v>16.0555</v>
      </c>
      <c r="F47" s="57" t="n">
        <f aca="false">Assumptions!$B$27</f>
        <v>492</v>
      </c>
      <c r="G47" s="54" t="n">
        <f aca="false">D47*E47/F47</f>
        <v>0.146849085365854</v>
      </c>
      <c r="H47" s="26" t="str">
        <f aca="false">IF(D47=0,"no arrivals",IF(G47&lt;1,"stable: seats free","over capacity"))</f>
        <v>stable: seats free</v>
      </c>
      <c r="I47" s="53" t="n">
        <f aca="false">'Sim Data'!$I$139</f>
        <v>84.173</v>
      </c>
      <c r="J47" s="46" t="n">
        <f aca="false">D47*E47</f>
        <v>72.24975</v>
      </c>
      <c r="K47" s="47" t="n">
        <f aca="false">IF(MAX(I47,J47)&lt;5,"≈ 0",IF(J47=0,"no new diners",I47/J47))</f>
        <v>1.16502825269292</v>
      </c>
      <c r="L47" s="50" t="n">
        <f aca="false">'Sim Data'!$E$157*'Sim Data'!$G$157</f>
        <v>8.31945</v>
      </c>
    </row>
    <row r="48" customFormat="false" ht="21.75" hidden="false" customHeight="true" outlineLevel="0" collapsed="false">
      <c r="A48" s="13" t="s">
        <v>324</v>
      </c>
      <c r="B48" s="13" t="s">
        <v>326</v>
      </c>
      <c r="C48" s="26" t="s">
        <v>147</v>
      </c>
      <c r="D48" s="50" t="n">
        <f aca="false">'Sim Data'!$E$140</f>
        <v>4.99</v>
      </c>
      <c r="E48" s="50" t="n">
        <f aca="false">IF('Sim Data'!$G$140&gt;0,'Sim Data'!$G$140,(Assumptions!$B$28+Assumptions!$B$29)/2)</f>
        <v>16.0477</v>
      </c>
      <c r="F48" s="57" t="n">
        <f aca="false">Assumptions!$B$27</f>
        <v>492</v>
      </c>
      <c r="G48" s="54" t="n">
        <f aca="false">D48*E48/F48</f>
        <v>0.162760209349594</v>
      </c>
      <c r="H48" s="26" t="str">
        <f aca="false">IF(D48=0,"no arrivals",IF(G48&lt;1,"stable: seats free","over capacity"))</f>
        <v>stable: seats free</v>
      </c>
      <c r="I48" s="53" t="n">
        <f aca="false">'Sim Data'!$I$140</f>
        <v>74.5739</v>
      </c>
      <c r="J48" s="46" t="n">
        <f aca="false">D48*E48</f>
        <v>80.078023</v>
      </c>
      <c r="K48" s="47" t="n">
        <f aca="false">IF(MAX(I48,J48)&lt;5,"≈ 0",IF(J48=0,"no new diners",I48/J48))</f>
        <v>0.931265498400229</v>
      </c>
      <c r="L48" s="50" t="n">
        <f aca="false">'Sim Data'!$E$158*'Sim Data'!$G$158</f>
        <v>7.809984</v>
      </c>
    </row>
    <row r="49" customFormat="false" ht="21.75" hidden="false" customHeight="true" outlineLevel="0" collapsed="false">
      <c r="A49" s="13" t="s">
        <v>324</v>
      </c>
      <c r="B49" s="13" t="s">
        <v>326</v>
      </c>
      <c r="C49" s="26" t="s">
        <v>348</v>
      </c>
      <c r="D49" s="50" t="n">
        <f aca="false">'Sim Data'!$E$141</f>
        <v>7.395</v>
      </c>
      <c r="E49" s="50" t="n">
        <f aca="false">IF('Sim Data'!$G$141&gt;0,'Sim Data'!$G$141,(Assumptions!$B$28+Assumptions!$B$29)/2)</f>
        <v>15.9736</v>
      </c>
      <c r="F49" s="57" t="n">
        <f aca="false">Assumptions!$B$27</f>
        <v>492</v>
      </c>
      <c r="G49" s="54" t="n">
        <f aca="false">D49*E49/F49</f>
        <v>0.240091</v>
      </c>
      <c r="H49" s="26" t="str">
        <f aca="false">IF(D49=0,"no arrivals",IF(G49&lt;1,"stable: seats free","over capacity"))</f>
        <v>stable: seats free</v>
      </c>
      <c r="I49" s="53" t="n">
        <f aca="false">'Sim Data'!$I$141</f>
        <v>91.1072</v>
      </c>
      <c r="J49" s="46" t="n">
        <f aca="false">D49*E49</f>
        <v>118.124772</v>
      </c>
      <c r="K49" s="47" t="n">
        <f aca="false">IF(MAX(I49,J49)&lt;5,"≈ 0",IF(J49=0,"no new diners",I49/J49))</f>
        <v>0.771279372289498</v>
      </c>
      <c r="L49" s="50" t="n">
        <f aca="false">'Sim Data'!$E$159*'Sim Data'!$G$159</f>
        <v>6.588946</v>
      </c>
    </row>
    <row r="50" customFormat="false" ht="21.75" hidden="false" customHeight="true" outlineLevel="0" collapsed="false">
      <c r="A50" s="13" t="s">
        <v>324</v>
      </c>
      <c r="B50" s="13" t="s">
        <v>326</v>
      </c>
      <c r="C50" s="26" t="s">
        <v>349</v>
      </c>
      <c r="D50" s="50" t="n">
        <f aca="false">'Sim Data'!$E$142</f>
        <v>7.605</v>
      </c>
      <c r="E50" s="50" t="n">
        <f aca="false">IF('Sim Data'!$G$142&gt;0,'Sim Data'!$G$142,(Assumptions!$B$28+Assumptions!$B$29)/2)</f>
        <v>16.0511</v>
      </c>
      <c r="F50" s="57" t="n">
        <f aca="false">Assumptions!$B$27</f>
        <v>492</v>
      </c>
      <c r="G50" s="54" t="n">
        <f aca="false">D50*E50/F50</f>
        <v>0.248106942073171</v>
      </c>
      <c r="H50" s="26" t="str">
        <f aca="false">IF(D50=0,"no arrivals",IF(G50&lt;1,"stable: seats free","over capacity"))</f>
        <v>stable: seats free</v>
      </c>
      <c r="I50" s="53" t="n">
        <f aca="false">'Sim Data'!$I$142</f>
        <v>117.1498</v>
      </c>
      <c r="J50" s="46" t="n">
        <f aca="false">D50*E50</f>
        <v>122.0686155</v>
      </c>
      <c r="K50" s="47" t="n">
        <f aca="false">IF(MAX(I50,J50)&lt;5,"≈ 0",IF(J50=0,"no new diners",I50/J50))</f>
        <v>0.959704503243096</v>
      </c>
      <c r="L50" s="50" t="n">
        <f aca="false">'Sim Data'!$E$160*'Sim Data'!$G$160</f>
        <v>9.166675</v>
      </c>
    </row>
    <row r="51" customFormat="false" ht="21.75" hidden="false" customHeight="true" outlineLevel="0" collapsed="false">
      <c r="A51" s="13" t="s">
        <v>324</v>
      </c>
      <c r="B51" s="13" t="s">
        <v>326</v>
      </c>
      <c r="C51" s="26" t="s">
        <v>156</v>
      </c>
      <c r="D51" s="50" t="n">
        <f aca="false">'Sim Data'!$E$143</f>
        <v>5.755</v>
      </c>
      <c r="E51" s="50" t="n">
        <f aca="false">IF('Sim Data'!$G$143&gt;0,'Sim Data'!$G$143,(Assumptions!$B$28+Assumptions!$B$29)/2)</f>
        <v>15.9911</v>
      </c>
      <c r="F51" s="57" t="n">
        <f aca="false">Assumptions!$B$27</f>
        <v>492</v>
      </c>
      <c r="G51" s="54" t="n">
        <f aca="false">D51*E51/F51</f>
        <v>0.187050366869919</v>
      </c>
      <c r="H51" s="26" t="str">
        <f aca="false">IF(D51=0,"no arrivals",IF(G51&lt;1,"stable: seats free","over capacity"))</f>
        <v>stable: seats free</v>
      </c>
      <c r="I51" s="53" t="n">
        <f aca="false">'Sim Data'!$I$143</f>
        <v>113.2962</v>
      </c>
      <c r="J51" s="46" t="n">
        <f aca="false">D51*E51</f>
        <v>92.0287805</v>
      </c>
      <c r="K51" s="47" t="n">
        <f aca="false">IF(MAX(I51,J51)&lt;5,"≈ 0",IF(J51=0,"no new diners",I51/J51))</f>
        <v>1.23109530936357</v>
      </c>
      <c r="L51" s="50" t="n">
        <f aca="false">'Sim Data'!$E$161*'Sim Data'!$G$161</f>
        <v>11.26309</v>
      </c>
    </row>
    <row r="52" customFormat="false" ht="21.75" hidden="false" customHeight="true" outlineLevel="0" collapsed="false">
      <c r="A52" s="13" t="s">
        <v>324</v>
      </c>
      <c r="B52" s="13" t="s">
        <v>326</v>
      </c>
      <c r="C52" s="26" t="s">
        <v>160</v>
      </c>
      <c r="D52" s="50" t="n">
        <f aca="false">'Sim Data'!$E$144</f>
        <v>3.93</v>
      </c>
      <c r="E52" s="50" t="n">
        <f aca="false">IF('Sim Data'!$G$144&gt;0,'Sim Data'!$G$144,(Assumptions!$B$28+Assumptions!$B$29)/2)</f>
        <v>15.987</v>
      </c>
      <c r="F52" s="57" t="n">
        <f aca="false">Assumptions!$B$27</f>
        <v>492</v>
      </c>
      <c r="G52" s="54" t="n">
        <f aca="false">D52*E52/F52</f>
        <v>0.127701036585366</v>
      </c>
      <c r="H52" s="26" t="str">
        <f aca="false">IF(D52=0,"no arrivals",IF(G52&lt;1,"stable: seats free","over capacity"))</f>
        <v>stable: seats free</v>
      </c>
      <c r="I52" s="53" t="n">
        <f aca="false">'Sim Data'!$I$144</f>
        <v>87.4645</v>
      </c>
      <c r="J52" s="46" t="n">
        <f aca="false">D52*E52</f>
        <v>62.82891</v>
      </c>
      <c r="K52" s="47" t="n">
        <f aca="false">IF(MAX(I52,J52)&lt;5,"≈ 0",IF(J52=0,"no new diners",I52/J52))</f>
        <v>1.39210595886511</v>
      </c>
      <c r="L52" s="50" t="n">
        <f aca="false">'Sim Data'!$E$162*'Sim Data'!$G$162</f>
        <v>10.46496</v>
      </c>
    </row>
    <row r="53" customFormat="false" ht="21.75" hidden="false" customHeight="true" outlineLevel="0" collapsed="false">
      <c r="A53" s="13" t="s">
        <v>324</v>
      </c>
      <c r="B53" s="13" t="s">
        <v>326</v>
      </c>
      <c r="C53" s="26" t="s">
        <v>163</v>
      </c>
      <c r="D53" s="50" t="n">
        <f aca="false">'Sim Data'!$E$145</f>
        <v>2.06</v>
      </c>
      <c r="E53" s="50" t="n">
        <f aca="false">IF('Sim Data'!$G$145&gt;0,'Sim Data'!$G$145,(Assumptions!$B$28+Assumptions!$B$29)/2)</f>
        <v>15.9408</v>
      </c>
      <c r="F53" s="57" t="n">
        <f aca="false">Assumptions!$B$27</f>
        <v>492</v>
      </c>
      <c r="G53" s="54" t="n">
        <f aca="false">D53*E53/F53</f>
        <v>0.066744</v>
      </c>
      <c r="H53" s="26" t="str">
        <f aca="false">IF(D53=0,"no arrivals",IF(G53&lt;1,"stable: seats free","over capacity"))</f>
        <v>stable: seats free</v>
      </c>
      <c r="I53" s="53" t="n">
        <f aca="false">'Sim Data'!$I$145</f>
        <v>56.2858</v>
      </c>
      <c r="J53" s="46" t="n">
        <f aca="false">D53*E53</f>
        <v>32.838048</v>
      </c>
      <c r="K53" s="47" t="n">
        <f aca="false">IF(MAX(I53,J53)&lt;5,"≈ 0",IF(J53=0,"no new diners",I53/J53))</f>
        <v>1.71404219885421</v>
      </c>
      <c r="L53" s="50" t="n">
        <f aca="false">'Sim Data'!$E$163*'Sim Data'!$G$163</f>
        <v>7.6140225</v>
      </c>
    </row>
    <row r="54" customFormat="false" ht="21.75" hidden="false" customHeight="true" outlineLevel="0" collapsed="false">
      <c r="A54" s="13" t="s">
        <v>324</v>
      </c>
      <c r="B54" s="13" t="s">
        <v>326</v>
      </c>
      <c r="C54" s="26" t="s">
        <v>150</v>
      </c>
      <c r="D54" s="50" t="n">
        <f aca="false">'Sim Data'!$E$146</f>
        <v>0.29</v>
      </c>
      <c r="E54" s="50" t="n">
        <f aca="false">IF('Sim Data'!$G$146&gt;0,'Sim Data'!$G$146,(Assumptions!$B$28+Assumptions!$B$29)/2)</f>
        <v>15.9064</v>
      </c>
      <c r="F54" s="57" t="n">
        <f aca="false">Assumptions!$B$27</f>
        <v>492</v>
      </c>
      <c r="G54" s="54" t="n">
        <f aca="false">D54*E54/F54</f>
        <v>0.00937572357723577</v>
      </c>
      <c r="H54" s="26" t="str">
        <f aca="false">IF(D54=0,"no arrivals",IF(G54&lt;1,"stable: seats free","over capacity"))</f>
        <v>stable: seats free</v>
      </c>
      <c r="I54" s="53" t="n">
        <f aca="false">'Sim Data'!$I$146</f>
        <v>27.4256</v>
      </c>
      <c r="J54" s="46" t="n">
        <f aca="false">D54*E54</f>
        <v>4.612856</v>
      </c>
      <c r="K54" s="47" t="n">
        <f aca="false">IF(MAX(I54,J54)&lt;5,"≈ 0",IF(J54=0,"no new diners",I54/J54))</f>
        <v>5.94547065852478</v>
      </c>
      <c r="L54" s="50" t="n">
        <f aca="false">'Sim Data'!$E$164*'Sim Data'!$G$164</f>
        <v>4.611546</v>
      </c>
    </row>
    <row r="55" customFormat="false" ht="21.75" hidden="false" customHeight="true" outlineLevel="0" collapsed="false">
      <c r="A55" s="13" t="s">
        <v>324</v>
      </c>
      <c r="B55" s="13" t="s">
        <v>326</v>
      </c>
      <c r="C55" s="26" t="s">
        <v>350</v>
      </c>
      <c r="D55" s="50" t="n">
        <f aca="false">'Sim Data'!$E$147</f>
        <v>0</v>
      </c>
      <c r="E55" s="50" t="n">
        <f aca="false">IF('Sim Data'!$G$147&gt;0,'Sim Data'!$G$147,(Assumptions!$B$28+Assumptions!$B$29)/2)</f>
        <v>16</v>
      </c>
      <c r="F55" s="57" t="n">
        <f aca="false">Assumptions!$B$27</f>
        <v>492</v>
      </c>
      <c r="G55" s="54" t="n">
        <f aca="false">D55*E55/F55</f>
        <v>0</v>
      </c>
      <c r="H55" s="26" t="str">
        <f aca="false">IF(D55=0,"no arrivals",IF(G55&lt;1,"stable: seats free","over capacity"))</f>
        <v>no arrivals</v>
      </c>
      <c r="I55" s="53" t="n">
        <f aca="false">'Sim Data'!$I$147</f>
        <v>5.4633</v>
      </c>
      <c r="J55" s="46" t="n">
        <f aca="false">D55*E55</f>
        <v>0</v>
      </c>
      <c r="K55" s="47" t="str">
        <f aca="false">IF(MAX(I55,J55)&lt;5,"≈ 0",IF(J55=0,"no new diners",I55/J55))</f>
        <v>no new diners</v>
      </c>
      <c r="L55" s="50" t="n">
        <f aca="false">'Sim Data'!$E$165*'Sim Data'!$G$165</f>
        <v>2.129858</v>
      </c>
    </row>
    <row r="56" customFormat="false" ht="21.75" hidden="false" customHeight="true" outlineLevel="0" collapsed="false">
      <c r="A56" s="13" t="s">
        <v>324</v>
      </c>
      <c r="B56" s="13" t="s">
        <v>326</v>
      </c>
      <c r="C56" s="26" t="s">
        <v>351</v>
      </c>
      <c r="D56" s="50" t="n">
        <f aca="false">'Sim Data'!$E$148</f>
        <v>0</v>
      </c>
      <c r="E56" s="50" t="n">
        <f aca="false">IF('Sim Data'!$G$148&gt;0,'Sim Data'!$G$148,(Assumptions!$B$28+Assumptions!$B$29)/2)</f>
        <v>16</v>
      </c>
      <c r="F56" s="57" t="n">
        <f aca="false">Assumptions!$B$27</f>
        <v>492</v>
      </c>
      <c r="G56" s="54" t="n">
        <f aca="false">D56*E56/F56</f>
        <v>0</v>
      </c>
      <c r="H56" s="26" t="str">
        <f aca="false">IF(D56=0,"no arrivals",IF(G56&lt;1,"stable: seats free","over capacity"))</f>
        <v>no arrivals</v>
      </c>
      <c r="I56" s="53" t="n">
        <f aca="false">'Sim Data'!$I$148</f>
        <v>0</v>
      </c>
      <c r="J56" s="46" t="n">
        <f aca="false">D56*E56</f>
        <v>0</v>
      </c>
      <c r="K56" s="47" t="str">
        <f aca="false">IF(MAX(I56,J56)&lt;5,"≈ 0",IF(J56=0,"no new diners",I56/J56))</f>
        <v>≈ 0</v>
      </c>
      <c r="L56" s="50" t="n">
        <f aca="false">'Sim Data'!$E$166*'Sim Data'!$G$166</f>
        <v>0</v>
      </c>
    </row>
    <row r="57" customFormat="false" ht="21.75" hidden="false" customHeight="true" outlineLevel="0" collapsed="false">
      <c r="A57" s="13" t="s">
        <v>327</v>
      </c>
      <c r="B57" s="13" t="s">
        <v>325</v>
      </c>
      <c r="C57" s="26" t="s">
        <v>343</v>
      </c>
      <c r="D57" s="50" t="n">
        <f aca="false">'Sim Data'!$E$221</f>
        <v>0</v>
      </c>
      <c r="E57" s="50" t="n">
        <f aca="false">IF('Sim Data'!$G$221&gt;0,'Sim Data'!$G$221,(Assumptions!$B$28+Assumptions!$B$29)/2)</f>
        <v>16</v>
      </c>
      <c r="F57" s="57" t="n">
        <f aca="false">Assumptions!$B$26</f>
        <v>900</v>
      </c>
      <c r="G57" s="54" t="n">
        <f aca="false">D57*E57/F57</f>
        <v>0</v>
      </c>
      <c r="H57" s="26" t="str">
        <f aca="false">IF(D57=0,"no arrivals",IF(G57&lt;1,"stable: seats free","over capacity"))</f>
        <v>no arrivals</v>
      </c>
      <c r="I57" s="53" t="n">
        <f aca="false">'Sim Data'!$I$221</f>
        <v>0</v>
      </c>
      <c r="J57" s="46" t="n">
        <f aca="false">D57*E57</f>
        <v>0</v>
      </c>
      <c r="K57" s="47" t="str">
        <f aca="false">IF(MAX(I57,J57)&lt;5,"≈ 0",IF(J57=0,"no new diners",I57/J57))</f>
        <v>≈ 0</v>
      </c>
      <c r="L57" s="50" t="n">
        <f aca="false">'Sim Data'!$E$239*'Sim Data'!$G$239</f>
        <v>0</v>
      </c>
    </row>
    <row r="58" customFormat="false" ht="21.75" hidden="false" customHeight="true" outlineLevel="0" collapsed="false">
      <c r="A58" s="13" t="s">
        <v>327</v>
      </c>
      <c r="B58" s="13" t="s">
        <v>325</v>
      </c>
      <c r="C58" s="26" t="s">
        <v>344</v>
      </c>
      <c r="D58" s="50" t="n">
        <f aca="false">'Sim Data'!$E$222</f>
        <v>0</v>
      </c>
      <c r="E58" s="50" t="n">
        <f aca="false">IF('Sim Data'!$G$222&gt;0,'Sim Data'!$G$222,(Assumptions!$B$28+Assumptions!$B$29)/2)</f>
        <v>16</v>
      </c>
      <c r="F58" s="57" t="n">
        <f aca="false">Assumptions!$B$26</f>
        <v>900</v>
      </c>
      <c r="G58" s="54" t="n">
        <f aca="false">D58*E58/F58</f>
        <v>0</v>
      </c>
      <c r="H58" s="26" t="str">
        <f aca="false">IF(D58=0,"no arrivals",IF(G58&lt;1,"stable: seats free","over capacity"))</f>
        <v>no arrivals</v>
      </c>
      <c r="I58" s="53" t="n">
        <f aca="false">'Sim Data'!$I$222</f>
        <v>0</v>
      </c>
      <c r="J58" s="46" t="n">
        <f aca="false">D58*E58</f>
        <v>0</v>
      </c>
      <c r="K58" s="47" t="str">
        <f aca="false">IF(MAX(I58,J58)&lt;5,"≈ 0",IF(J58=0,"no new diners",I58/J58))</f>
        <v>≈ 0</v>
      </c>
      <c r="L58" s="50" t="n">
        <f aca="false">'Sim Data'!$E$240*'Sim Data'!$G$240</f>
        <v>0</v>
      </c>
    </row>
    <row r="59" customFormat="false" ht="21.75" hidden="false" customHeight="true" outlineLevel="0" collapsed="false">
      <c r="A59" s="13" t="s">
        <v>327</v>
      </c>
      <c r="B59" s="13" t="s">
        <v>325</v>
      </c>
      <c r="C59" s="26" t="s">
        <v>345</v>
      </c>
      <c r="D59" s="50" t="n">
        <f aca="false">'Sim Data'!$E$223</f>
        <v>0</v>
      </c>
      <c r="E59" s="50" t="n">
        <f aca="false">IF('Sim Data'!$G$223&gt;0,'Sim Data'!$G$223,(Assumptions!$B$28+Assumptions!$B$29)/2)</f>
        <v>16</v>
      </c>
      <c r="F59" s="57" t="n">
        <f aca="false">Assumptions!$B$26</f>
        <v>900</v>
      </c>
      <c r="G59" s="54" t="n">
        <f aca="false">D59*E59/F59</f>
        <v>0</v>
      </c>
      <c r="H59" s="26" t="str">
        <f aca="false">IF(D59=0,"no arrivals",IF(G59&lt;1,"stable: seats free","over capacity"))</f>
        <v>no arrivals</v>
      </c>
      <c r="I59" s="53" t="n">
        <f aca="false">'Sim Data'!$I$223</f>
        <v>0</v>
      </c>
      <c r="J59" s="46" t="n">
        <f aca="false">D59*E59</f>
        <v>0</v>
      </c>
      <c r="K59" s="47" t="str">
        <f aca="false">IF(MAX(I59,J59)&lt;5,"≈ 0",IF(J59=0,"no new diners",I59/J59))</f>
        <v>≈ 0</v>
      </c>
      <c r="L59" s="50" t="n">
        <f aca="false">'Sim Data'!$E$241*'Sim Data'!$G$241</f>
        <v>0</v>
      </c>
    </row>
    <row r="60" customFormat="false" ht="21.75" hidden="false" customHeight="true" outlineLevel="0" collapsed="false">
      <c r="A60" s="13" t="s">
        <v>327</v>
      </c>
      <c r="B60" s="13" t="s">
        <v>325</v>
      </c>
      <c r="C60" s="26" t="s">
        <v>146</v>
      </c>
      <c r="D60" s="50" t="n">
        <f aca="false">'Sim Data'!$E$224</f>
        <v>10.825</v>
      </c>
      <c r="E60" s="50" t="n">
        <f aca="false">IF('Sim Data'!$G$224&gt;0,'Sim Data'!$G$224,(Assumptions!$B$28+Assumptions!$B$29)/2)</f>
        <v>16.0199</v>
      </c>
      <c r="F60" s="57" t="n">
        <f aca="false">Assumptions!$B$26</f>
        <v>900</v>
      </c>
      <c r="G60" s="54" t="n">
        <f aca="false">D60*E60/F60</f>
        <v>0.192683797222222</v>
      </c>
      <c r="H60" s="26" t="str">
        <f aca="false">IF(D60=0,"no arrivals",IF(G60&lt;1,"stable: seats free","over capacity"))</f>
        <v>stable: seats free</v>
      </c>
      <c r="I60" s="53" t="n">
        <f aca="false">'Sim Data'!$I$224</f>
        <v>39.0209</v>
      </c>
      <c r="J60" s="46" t="n">
        <f aca="false">D60*E60</f>
        <v>173.4154175</v>
      </c>
      <c r="K60" s="47" t="n">
        <f aca="false">IF(MAX(I60,J60)&lt;5,"≈ 0",IF(J60=0,"no new diners",I60/J60))</f>
        <v>0.225014018721836</v>
      </c>
      <c r="L60" s="50" t="n">
        <f aca="false">'Sim Data'!$E$242*'Sim Data'!$G$242</f>
        <v>0</v>
      </c>
    </row>
    <row r="61" customFormat="false" ht="21.75" hidden="false" customHeight="true" outlineLevel="0" collapsed="false">
      <c r="A61" s="13" t="s">
        <v>327</v>
      </c>
      <c r="B61" s="13" t="s">
        <v>325</v>
      </c>
      <c r="C61" s="26" t="s">
        <v>346</v>
      </c>
      <c r="D61" s="50" t="n">
        <f aca="false">'Sim Data'!$E$225</f>
        <v>17.58</v>
      </c>
      <c r="E61" s="50" t="n">
        <f aca="false">IF('Sim Data'!$G$225&gt;0,'Sim Data'!$G$225,(Assumptions!$B$28+Assumptions!$B$29)/2)</f>
        <v>15.9978</v>
      </c>
      <c r="F61" s="57" t="n">
        <f aca="false">Assumptions!$B$26</f>
        <v>900</v>
      </c>
      <c r="G61" s="54" t="n">
        <f aca="false">D61*E61/F61</f>
        <v>0.31249036</v>
      </c>
      <c r="H61" s="26" t="str">
        <f aca="false">IF(D61=0,"no arrivals",IF(G61&lt;1,"stable: seats free","over capacity"))</f>
        <v>stable: seats free</v>
      </c>
      <c r="I61" s="53" t="n">
        <f aca="false">'Sim Data'!$I$225</f>
        <v>190.3209</v>
      </c>
      <c r="J61" s="46" t="n">
        <f aca="false">D61*E61</f>
        <v>281.241324</v>
      </c>
      <c r="K61" s="47" t="n">
        <f aca="false">IF(MAX(I61,J61)&lt;5,"≈ 0",IF(J61=0,"no new diners",I61/J61))</f>
        <v>0.676717408711957</v>
      </c>
      <c r="L61" s="50" t="n">
        <f aca="false">'Sim Data'!$E$243*'Sim Data'!$G$243</f>
        <v>3.141502</v>
      </c>
    </row>
    <row r="62" customFormat="false" ht="21.75" hidden="false" customHeight="true" outlineLevel="0" collapsed="false">
      <c r="A62" s="13" t="s">
        <v>327</v>
      </c>
      <c r="B62" s="13" t="s">
        <v>325</v>
      </c>
      <c r="C62" s="26" t="s">
        <v>347</v>
      </c>
      <c r="D62" s="50" t="n">
        <f aca="false">'Sim Data'!$E$226</f>
        <v>18.665</v>
      </c>
      <c r="E62" s="50" t="n">
        <f aca="false">IF('Sim Data'!$G$226&gt;0,'Sim Data'!$G$226,(Assumptions!$B$28+Assumptions!$B$29)/2)</f>
        <v>15.9362</v>
      </c>
      <c r="F62" s="57" t="n">
        <f aca="false">Assumptions!$B$26</f>
        <v>900</v>
      </c>
      <c r="G62" s="54" t="n">
        <f aca="false">D62*E62/F62</f>
        <v>0.330499081111111</v>
      </c>
      <c r="H62" s="26" t="str">
        <f aca="false">IF(D62=0,"no arrivals",IF(G62&lt;1,"stable: seats free","over capacity"))</f>
        <v>stable: seats free</v>
      </c>
      <c r="I62" s="53" t="n">
        <f aca="false">'Sim Data'!$I$226</f>
        <v>283.9398</v>
      </c>
      <c r="J62" s="46" t="n">
        <f aca="false">D62*E62</f>
        <v>297.449173</v>
      </c>
      <c r="K62" s="47" t="n">
        <f aca="false">IF(MAX(I62,J62)&lt;5,"≈ 0",IF(J62=0,"no new diners",I62/J62))</f>
        <v>0.954582583425102</v>
      </c>
      <c r="L62" s="50" t="n">
        <f aca="false">'Sim Data'!$E$244*'Sim Data'!$G$244</f>
        <v>23.13831</v>
      </c>
    </row>
    <row r="63" customFormat="false" ht="21.75" hidden="false" customHeight="true" outlineLevel="0" collapsed="false">
      <c r="A63" s="13" t="s">
        <v>327</v>
      </c>
      <c r="B63" s="13" t="s">
        <v>325</v>
      </c>
      <c r="C63" s="26" t="s">
        <v>155</v>
      </c>
      <c r="D63" s="50" t="n">
        <f aca="false">'Sim Data'!$E$227</f>
        <v>19.585</v>
      </c>
      <c r="E63" s="50" t="n">
        <f aca="false">IF('Sim Data'!$G$227&gt;0,'Sim Data'!$G$227,(Assumptions!$B$28+Assumptions!$B$29)/2)</f>
        <v>16.0116</v>
      </c>
      <c r="F63" s="57" t="n">
        <f aca="false">Assumptions!$B$26</f>
        <v>900</v>
      </c>
      <c r="G63" s="54" t="n">
        <f aca="false">D63*E63/F63</f>
        <v>0.348430206666667</v>
      </c>
      <c r="H63" s="26" t="str">
        <f aca="false">IF(D63=0,"no arrivals",IF(G63&lt;1,"stable: seats free","over capacity"))</f>
        <v>stable: seats free</v>
      </c>
      <c r="I63" s="53" t="n">
        <f aca="false">'Sim Data'!$I$227</f>
        <v>300.7771</v>
      </c>
      <c r="J63" s="46" t="n">
        <f aca="false">D63*E63</f>
        <v>313.587186</v>
      </c>
      <c r="K63" s="47" t="n">
        <f aca="false">IF(MAX(I63,J63)&lt;5,"≈ 0",IF(J63=0,"no new diners",I63/J63))</f>
        <v>0.959149842302549</v>
      </c>
      <c r="L63" s="50" t="n">
        <f aca="false">'Sim Data'!$E$245*'Sim Data'!$G$245</f>
        <v>27.86769</v>
      </c>
    </row>
    <row r="64" customFormat="false" ht="21.75" hidden="false" customHeight="true" outlineLevel="0" collapsed="false">
      <c r="A64" s="13" t="s">
        <v>327</v>
      </c>
      <c r="B64" s="13" t="s">
        <v>325</v>
      </c>
      <c r="C64" s="26" t="s">
        <v>159</v>
      </c>
      <c r="D64" s="50" t="n">
        <f aca="false">'Sim Data'!$E$228</f>
        <v>20.06</v>
      </c>
      <c r="E64" s="50" t="n">
        <f aca="false">IF('Sim Data'!$G$228&gt;0,'Sim Data'!$G$228,(Assumptions!$B$28+Assumptions!$B$29)/2)</f>
        <v>15.9993</v>
      </c>
      <c r="F64" s="57" t="n">
        <f aca="false">Assumptions!$B$26</f>
        <v>900</v>
      </c>
      <c r="G64" s="54" t="n">
        <f aca="false">D64*E64/F64</f>
        <v>0.35660662</v>
      </c>
      <c r="H64" s="26" t="str">
        <f aca="false">IF(D64=0,"no arrivals",IF(G64&lt;1,"stable: seats free","over capacity"))</f>
        <v>stable: seats free</v>
      </c>
      <c r="I64" s="53" t="n">
        <f aca="false">'Sim Data'!$I$228</f>
        <v>314.2579</v>
      </c>
      <c r="J64" s="46" t="n">
        <f aca="false">D64*E64</f>
        <v>320.945958</v>
      </c>
      <c r="K64" s="47" t="n">
        <f aca="false">IF(MAX(I64,J64)&lt;5,"≈ 0",IF(J64=0,"no new diners",I64/J64))</f>
        <v>0.979161420066864</v>
      </c>
      <c r="L64" s="50" t="n">
        <f aca="false">'Sim Data'!$E$246*'Sim Data'!$G$246</f>
        <v>27.405126</v>
      </c>
    </row>
    <row r="65" customFormat="false" ht="21.75" hidden="false" customHeight="true" outlineLevel="0" collapsed="false">
      <c r="A65" s="13" t="s">
        <v>327</v>
      </c>
      <c r="B65" s="13" t="s">
        <v>325</v>
      </c>
      <c r="C65" s="26" t="s">
        <v>162</v>
      </c>
      <c r="D65" s="50" t="n">
        <f aca="false">'Sim Data'!$E$229</f>
        <v>17.005</v>
      </c>
      <c r="E65" s="50" t="n">
        <f aca="false">IF('Sim Data'!$G$229&gt;0,'Sim Data'!$G$229,(Assumptions!$B$28+Assumptions!$B$29)/2)</f>
        <v>15.9854</v>
      </c>
      <c r="F65" s="57" t="n">
        <f aca="false">Assumptions!$B$26</f>
        <v>900</v>
      </c>
      <c r="G65" s="54" t="n">
        <f aca="false">D65*E65/F65</f>
        <v>0.302035252222222</v>
      </c>
      <c r="H65" s="26" t="str">
        <f aca="false">IF(D65=0,"no arrivals",IF(G65&lt;1,"stable: seats free","over capacity"))</f>
        <v>stable: seats free</v>
      </c>
      <c r="I65" s="53" t="n">
        <f aca="false">'Sim Data'!$I$229</f>
        <v>305.2166</v>
      </c>
      <c r="J65" s="46" t="n">
        <f aca="false">D65*E65</f>
        <v>271.831727</v>
      </c>
      <c r="K65" s="47" t="n">
        <f aca="false">IF(MAX(I65,J65)&lt;5,"≈ 0",IF(J65=0,"no new diners",I65/J65))</f>
        <v>1.12281448294665</v>
      </c>
      <c r="L65" s="50" t="n">
        <f aca="false">'Sim Data'!$E$247*'Sim Data'!$G$247</f>
        <v>30.3128385</v>
      </c>
    </row>
    <row r="66" customFormat="false" ht="21.75" hidden="false" customHeight="true" outlineLevel="0" collapsed="false">
      <c r="A66" s="13" t="s">
        <v>327</v>
      </c>
      <c r="B66" s="13" t="s">
        <v>325</v>
      </c>
      <c r="C66" s="26" t="s">
        <v>147</v>
      </c>
      <c r="D66" s="50" t="n">
        <f aca="false">'Sim Data'!$E$230</f>
        <v>18.45</v>
      </c>
      <c r="E66" s="50" t="n">
        <f aca="false">IF('Sim Data'!$G$230&gt;0,'Sim Data'!$G$230,(Assumptions!$B$28+Assumptions!$B$29)/2)</f>
        <v>15.9971</v>
      </c>
      <c r="F66" s="57" t="n">
        <f aca="false">Assumptions!$B$26</f>
        <v>900</v>
      </c>
      <c r="G66" s="54" t="n">
        <f aca="false">D66*E66/F66</f>
        <v>0.32794055</v>
      </c>
      <c r="H66" s="26" t="str">
        <f aca="false">IF(D66=0,"no arrivals",IF(G66&lt;1,"stable: seats free","over capacity"))</f>
        <v>stable: seats free</v>
      </c>
      <c r="I66" s="53" t="n">
        <f aca="false">'Sim Data'!$I$230</f>
        <v>282.8207</v>
      </c>
      <c r="J66" s="46" t="n">
        <f aca="false">D66*E66</f>
        <v>295.146495</v>
      </c>
      <c r="K66" s="47" t="n">
        <f aca="false">IF(MAX(I66,J66)&lt;5,"≈ 0",IF(J66=0,"no new diners",I66/J66))</f>
        <v>0.958238382603866</v>
      </c>
      <c r="L66" s="50" t="n">
        <f aca="false">'Sim Data'!$E$248*'Sim Data'!$G$248</f>
        <v>28.314636</v>
      </c>
    </row>
    <row r="67" customFormat="false" ht="21.75" hidden="false" customHeight="true" outlineLevel="0" collapsed="false">
      <c r="A67" s="13" t="s">
        <v>327</v>
      </c>
      <c r="B67" s="13" t="s">
        <v>325</v>
      </c>
      <c r="C67" s="26" t="s">
        <v>348</v>
      </c>
      <c r="D67" s="50" t="n">
        <f aca="false">'Sim Data'!$E$231</f>
        <v>19.95</v>
      </c>
      <c r="E67" s="50" t="n">
        <f aca="false">IF('Sim Data'!$G$231&gt;0,'Sim Data'!$G$231,(Assumptions!$B$28+Assumptions!$B$29)/2)</f>
        <v>15.9842</v>
      </c>
      <c r="F67" s="57" t="n">
        <f aca="false">Assumptions!$B$26</f>
        <v>900</v>
      </c>
      <c r="G67" s="54" t="n">
        <f aca="false">D67*E67/F67</f>
        <v>0.354316433333333</v>
      </c>
      <c r="H67" s="26" t="str">
        <f aca="false">IF(D67=0,"no arrivals",IF(G67&lt;1,"stable: seats free","over capacity"))</f>
        <v>stable: seats free</v>
      </c>
      <c r="I67" s="53" t="n">
        <f aca="false">'Sim Data'!$I$231</f>
        <v>301.1059</v>
      </c>
      <c r="J67" s="46" t="n">
        <f aca="false">D67*E67</f>
        <v>318.88479</v>
      </c>
      <c r="K67" s="47" t="n">
        <f aca="false">IF(MAX(I67,J67)&lt;5,"≈ 0",IF(J67=0,"no new diners",I67/J67))</f>
        <v>0.944246666640952</v>
      </c>
      <c r="L67" s="50" t="n">
        <f aca="false">'Sim Data'!$E$249*'Sim Data'!$G$249</f>
        <v>26.0246595</v>
      </c>
    </row>
    <row r="68" customFormat="false" ht="21.75" hidden="false" customHeight="true" outlineLevel="0" collapsed="false">
      <c r="A68" s="13" t="s">
        <v>327</v>
      </c>
      <c r="B68" s="13" t="s">
        <v>325</v>
      </c>
      <c r="C68" s="26" t="s">
        <v>349</v>
      </c>
      <c r="D68" s="50" t="n">
        <f aca="false">'Sim Data'!$E$232</f>
        <v>20.095</v>
      </c>
      <c r="E68" s="50" t="n">
        <f aca="false">IF('Sim Data'!$G$232&gt;0,'Sim Data'!$G$232,(Assumptions!$B$28+Assumptions!$B$29)/2)</f>
        <v>16.0029</v>
      </c>
      <c r="F68" s="57" t="n">
        <f aca="false">Assumptions!$B$26</f>
        <v>900</v>
      </c>
      <c r="G68" s="54" t="n">
        <f aca="false">D68*E68/F68</f>
        <v>0.357309195</v>
      </c>
      <c r="H68" s="26" t="str">
        <f aca="false">IF(D68=0,"no arrivals",IF(G68&lt;1,"stable: seats free","over capacity"))</f>
        <v>stable: seats free</v>
      </c>
      <c r="I68" s="53" t="n">
        <f aca="false">'Sim Data'!$I$232</f>
        <v>318.6735</v>
      </c>
      <c r="J68" s="46" t="n">
        <f aca="false">D68*E68</f>
        <v>321.5782755</v>
      </c>
      <c r="K68" s="47" t="n">
        <f aca="false">IF(MAX(I68,J68)&lt;5,"≈ 0",IF(J68=0,"no new diners",I68/J68))</f>
        <v>0.990967127690813</v>
      </c>
      <c r="L68" s="50" t="n">
        <f aca="false">'Sim Data'!$E$250*'Sim Data'!$G$250</f>
        <v>28.853743</v>
      </c>
    </row>
    <row r="69" customFormat="false" ht="21.75" hidden="false" customHeight="true" outlineLevel="0" collapsed="false">
      <c r="A69" s="13" t="s">
        <v>327</v>
      </c>
      <c r="B69" s="13" t="s">
        <v>325</v>
      </c>
      <c r="C69" s="26" t="s">
        <v>156</v>
      </c>
      <c r="D69" s="50" t="n">
        <f aca="false">'Sim Data'!$E$233</f>
        <v>19.33</v>
      </c>
      <c r="E69" s="50" t="n">
        <f aca="false">IF('Sim Data'!$G$233&gt;0,'Sim Data'!$G$233,(Assumptions!$B$28+Assumptions!$B$29)/2)</f>
        <v>15.9952</v>
      </c>
      <c r="F69" s="57" t="n">
        <f aca="false">Assumptions!$B$26</f>
        <v>900</v>
      </c>
      <c r="G69" s="54" t="n">
        <f aca="false">D69*E69/F69</f>
        <v>0.343541351111111</v>
      </c>
      <c r="H69" s="26" t="str">
        <f aca="false">IF(D69=0,"no arrivals",IF(G69&lt;1,"stable: seats free","over capacity"))</f>
        <v>stable: seats free</v>
      </c>
      <c r="I69" s="53" t="n">
        <f aca="false">'Sim Data'!$I$233</f>
        <v>318.7396</v>
      </c>
      <c r="J69" s="46" t="n">
        <f aca="false">D69*E69</f>
        <v>309.187216</v>
      </c>
      <c r="K69" s="47" t="n">
        <f aca="false">IF(MAX(I69,J69)&lt;5,"≈ 0",IF(J69=0,"no new diners",I69/J69))</f>
        <v>1.03089514541895</v>
      </c>
      <c r="L69" s="50" t="n">
        <f aca="false">'Sim Data'!$E$251*'Sim Data'!$G$251</f>
        <v>30.0104955</v>
      </c>
    </row>
    <row r="70" customFormat="false" ht="21.75" hidden="false" customHeight="true" outlineLevel="0" collapsed="false">
      <c r="A70" s="13" t="s">
        <v>327</v>
      </c>
      <c r="B70" s="13" t="s">
        <v>325</v>
      </c>
      <c r="C70" s="26" t="s">
        <v>160</v>
      </c>
      <c r="D70" s="50" t="n">
        <f aca="false">'Sim Data'!$E$234</f>
        <v>17.96</v>
      </c>
      <c r="E70" s="50" t="n">
        <f aca="false">IF('Sim Data'!$G$234&gt;0,'Sim Data'!$G$234,(Assumptions!$B$28+Assumptions!$B$29)/2)</f>
        <v>16.0196</v>
      </c>
      <c r="F70" s="57" t="n">
        <f aca="false">Assumptions!$B$26</f>
        <v>900</v>
      </c>
      <c r="G70" s="54" t="n">
        <f aca="false">D70*E70/F70</f>
        <v>0.319680017777778</v>
      </c>
      <c r="H70" s="26" t="str">
        <f aca="false">IF(D70=0,"no arrivals",IF(G70&lt;1,"stable: seats free","over capacity"))</f>
        <v>stable: seats free</v>
      </c>
      <c r="I70" s="53" t="n">
        <f aca="false">'Sim Data'!$I$234</f>
        <v>304.1344</v>
      </c>
      <c r="J70" s="46" t="n">
        <f aca="false">D70*E70</f>
        <v>287.712016</v>
      </c>
      <c r="K70" s="47" t="n">
        <f aca="false">IF(MAX(I70,J70)&lt;5,"≈ 0",IF(J70=0,"no new diners",I70/J70))</f>
        <v>1.05707924273834</v>
      </c>
      <c r="L70" s="50" t="n">
        <f aca="false">'Sim Data'!$E$252*'Sim Data'!$G$252</f>
        <v>29.6949785</v>
      </c>
    </row>
    <row r="71" customFormat="false" ht="21.75" hidden="false" customHeight="true" outlineLevel="0" collapsed="false">
      <c r="A71" s="13" t="s">
        <v>327</v>
      </c>
      <c r="B71" s="13" t="s">
        <v>325</v>
      </c>
      <c r="C71" s="26" t="s">
        <v>163</v>
      </c>
      <c r="D71" s="50" t="n">
        <f aca="false">'Sim Data'!$E$235</f>
        <v>9.295</v>
      </c>
      <c r="E71" s="50" t="n">
        <f aca="false">IF('Sim Data'!$G$235&gt;0,'Sim Data'!$G$235,(Assumptions!$B$28+Assumptions!$B$29)/2)</f>
        <v>16.0034</v>
      </c>
      <c r="F71" s="57" t="n">
        <f aca="false">Assumptions!$B$26</f>
        <v>900</v>
      </c>
      <c r="G71" s="54" t="n">
        <f aca="false">D71*E71/F71</f>
        <v>0.165279558888889</v>
      </c>
      <c r="H71" s="26" t="str">
        <f aca="false">IF(D71=0,"no arrivals",IF(G71&lt;1,"stable: seats free","over capacity"))</f>
        <v>stable: seats free</v>
      </c>
      <c r="I71" s="53" t="n">
        <f aca="false">'Sim Data'!$I$235</f>
        <v>252.7972</v>
      </c>
      <c r="J71" s="46" t="n">
        <f aca="false">D71*E71</f>
        <v>148.751603</v>
      </c>
      <c r="K71" s="47" t="n">
        <f aca="false">IF(MAX(I71,J71)&lt;5,"≈ 0",IF(J71=0,"no new diners",I71/J71))</f>
        <v>1.69945866062364</v>
      </c>
      <c r="L71" s="50" t="n">
        <f aca="false">'Sim Data'!$E$253*'Sim Data'!$G$253</f>
        <v>28.074394</v>
      </c>
    </row>
    <row r="72" customFormat="false" ht="21.75" hidden="false" customHeight="true" outlineLevel="0" collapsed="false">
      <c r="A72" s="13" t="s">
        <v>327</v>
      </c>
      <c r="B72" s="13" t="s">
        <v>325</v>
      </c>
      <c r="C72" s="26" t="s">
        <v>150</v>
      </c>
      <c r="D72" s="50" t="n">
        <f aca="false">'Sim Data'!$E$236</f>
        <v>1.035</v>
      </c>
      <c r="E72" s="50" t="n">
        <f aca="false">IF('Sim Data'!$G$236&gt;0,'Sim Data'!$G$236,(Assumptions!$B$28+Assumptions!$B$29)/2)</f>
        <v>15.9964</v>
      </c>
      <c r="F72" s="57" t="n">
        <f aca="false">Assumptions!$B$26</f>
        <v>900</v>
      </c>
      <c r="G72" s="54" t="n">
        <f aca="false">D72*E72/F72</f>
        <v>0.01839586</v>
      </c>
      <c r="H72" s="26" t="str">
        <f aca="false">IF(D72=0,"no arrivals",IF(G72&lt;1,"stable: seats free","over capacity"))</f>
        <v>stable: seats free</v>
      </c>
      <c r="I72" s="53" t="n">
        <f aca="false">'Sim Data'!$I$236</f>
        <v>124.3471</v>
      </c>
      <c r="J72" s="46" t="n">
        <f aca="false">D72*E72</f>
        <v>16.556274</v>
      </c>
      <c r="K72" s="47" t="n">
        <f aca="false">IF(MAX(I72,J72)&lt;5,"≈ 0",IF(J72=0,"no new diners",I72/J72))</f>
        <v>7.5105727291056</v>
      </c>
      <c r="L72" s="50" t="n">
        <f aca="false">'Sim Data'!$E$254*'Sim Data'!$G$254</f>
        <v>23.068833</v>
      </c>
    </row>
    <row r="73" customFormat="false" ht="21.75" hidden="false" customHeight="true" outlineLevel="0" collapsed="false">
      <c r="A73" s="13" t="s">
        <v>327</v>
      </c>
      <c r="B73" s="13" t="s">
        <v>325</v>
      </c>
      <c r="C73" s="26" t="s">
        <v>350</v>
      </c>
      <c r="D73" s="50" t="n">
        <f aca="false">'Sim Data'!$E$237</f>
        <v>0</v>
      </c>
      <c r="E73" s="50" t="n">
        <f aca="false">IF('Sim Data'!$G$237&gt;0,'Sim Data'!$G$237,(Assumptions!$B$28+Assumptions!$B$29)/2)</f>
        <v>16</v>
      </c>
      <c r="F73" s="57" t="n">
        <f aca="false">Assumptions!$B$26</f>
        <v>900</v>
      </c>
      <c r="G73" s="54" t="n">
        <f aca="false">D73*E73/F73</f>
        <v>0</v>
      </c>
      <c r="H73" s="26" t="str">
        <f aca="false">IF(D73=0,"no arrivals",IF(G73&lt;1,"stable: seats free","over capacity"))</f>
        <v>no arrivals</v>
      </c>
      <c r="I73" s="53" t="n">
        <f aca="false">'Sim Data'!$I$237</f>
        <v>20.1343</v>
      </c>
      <c r="J73" s="46" t="n">
        <f aca="false">D73*E73</f>
        <v>0</v>
      </c>
      <c r="K73" s="47" t="str">
        <f aca="false">IF(MAX(I73,J73)&lt;5,"≈ 0",IF(J73=0,"no new diners",I73/J73))</f>
        <v>no new diners</v>
      </c>
      <c r="L73" s="50" t="n">
        <f aca="false">'Sim Data'!$E$255*'Sim Data'!$G$255</f>
        <v>8.546252</v>
      </c>
    </row>
    <row r="74" customFormat="false" ht="21.75" hidden="false" customHeight="true" outlineLevel="0" collapsed="false">
      <c r="A74" s="13" t="s">
        <v>327</v>
      </c>
      <c r="B74" s="13" t="s">
        <v>325</v>
      </c>
      <c r="C74" s="26" t="s">
        <v>351</v>
      </c>
      <c r="D74" s="50" t="n">
        <f aca="false">'Sim Data'!$E$238</f>
        <v>0</v>
      </c>
      <c r="E74" s="50" t="n">
        <f aca="false">IF('Sim Data'!$G$238&gt;0,'Sim Data'!$G$238,(Assumptions!$B$28+Assumptions!$B$29)/2)</f>
        <v>16</v>
      </c>
      <c r="F74" s="57" t="n">
        <f aca="false">Assumptions!$B$26</f>
        <v>900</v>
      </c>
      <c r="G74" s="54" t="n">
        <f aca="false">D74*E74/F74</f>
        <v>0</v>
      </c>
      <c r="H74" s="26" t="str">
        <f aca="false">IF(D74=0,"no arrivals",IF(G74&lt;1,"stable: seats free","over capacity"))</f>
        <v>no arrivals</v>
      </c>
      <c r="I74" s="53" t="n">
        <f aca="false">'Sim Data'!$I$238</f>
        <v>0.0005</v>
      </c>
      <c r="J74" s="46" t="n">
        <f aca="false">D74*E74</f>
        <v>0</v>
      </c>
      <c r="K74" s="47" t="str">
        <f aca="false">IF(MAX(I74,J74)&lt;5,"≈ 0",IF(J74=0,"no new diners",I74/J74))</f>
        <v>≈ 0</v>
      </c>
      <c r="L74" s="50" t="n">
        <f aca="false">'Sim Data'!$E$256*'Sim Data'!$G$256</f>
        <v>0.009704</v>
      </c>
    </row>
    <row r="75" customFormat="false" ht="21.75" hidden="false" customHeight="true" outlineLevel="0" collapsed="false">
      <c r="A75" s="13" t="s">
        <v>327</v>
      </c>
      <c r="B75" s="13" t="s">
        <v>326</v>
      </c>
      <c r="C75" s="26" t="s">
        <v>343</v>
      </c>
      <c r="D75" s="50" t="n">
        <f aca="false">'Sim Data'!$E$311</f>
        <v>0</v>
      </c>
      <c r="E75" s="50" t="n">
        <f aca="false">IF('Sim Data'!$G$311&gt;0,'Sim Data'!$G$311,(Assumptions!$B$28+Assumptions!$B$29)/2)</f>
        <v>16</v>
      </c>
      <c r="F75" s="57" t="n">
        <f aca="false">Assumptions!$B$27</f>
        <v>492</v>
      </c>
      <c r="G75" s="54" t="n">
        <f aca="false">D75*E75/F75</f>
        <v>0</v>
      </c>
      <c r="H75" s="26" t="str">
        <f aca="false">IF(D75=0,"no arrivals",IF(G75&lt;1,"stable: seats free","over capacity"))</f>
        <v>no arrivals</v>
      </c>
      <c r="I75" s="53" t="n">
        <f aca="false">'Sim Data'!$I$311</f>
        <v>0</v>
      </c>
      <c r="J75" s="46" t="n">
        <f aca="false">D75*E75</f>
        <v>0</v>
      </c>
      <c r="K75" s="47" t="str">
        <f aca="false">IF(MAX(I75,J75)&lt;5,"≈ 0",IF(J75=0,"no new diners",I75/J75))</f>
        <v>≈ 0</v>
      </c>
      <c r="L75" s="50" t="n">
        <f aca="false">'Sim Data'!$E$329*'Sim Data'!$G$329</f>
        <v>0</v>
      </c>
    </row>
    <row r="76" customFormat="false" ht="21.75" hidden="false" customHeight="true" outlineLevel="0" collapsed="false">
      <c r="A76" s="13" t="s">
        <v>327</v>
      </c>
      <c r="B76" s="13" t="s">
        <v>326</v>
      </c>
      <c r="C76" s="26" t="s">
        <v>344</v>
      </c>
      <c r="D76" s="50" t="n">
        <f aca="false">'Sim Data'!$E$312</f>
        <v>0</v>
      </c>
      <c r="E76" s="50" t="n">
        <f aca="false">IF('Sim Data'!$G$312&gt;0,'Sim Data'!$G$312,(Assumptions!$B$28+Assumptions!$B$29)/2)</f>
        <v>16</v>
      </c>
      <c r="F76" s="57" t="n">
        <f aca="false">Assumptions!$B$27</f>
        <v>492</v>
      </c>
      <c r="G76" s="54" t="n">
        <f aca="false">D76*E76/F76</f>
        <v>0</v>
      </c>
      <c r="H76" s="26" t="str">
        <f aca="false">IF(D76=0,"no arrivals",IF(G76&lt;1,"stable: seats free","over capacity"))</f>
        <v>no arrivals</v>
      </c>
      <c r="I76" s="53" t="n">
        <f aca="false">'Sim Data'!$I$312</f>
        <v>0</v>
      </c>
      <c r="J76" s="46" t="n">
        <f aca="false">D76*E76</f>
        <v>0</v>
      </c>
      <c r="K76" s="47" t="str">
        <f aca="false">IF(MAX(I76,J76)&lt;5,"≈ 0",IF(J76=0,"no new diners",I76/J76))</f>
        <v>≈ 0</v>
      </c>
      <c r="L76" s="50" t="n">
        <f aca="false">'Sim Data'!$E$330*'Sim Data'!$G$330</f>
        <v>0</v>
      </c>
    </row>
    <row r="77" customFormat="false" ht="21.75" hidden="false" customHeight="true" outlineLevel="0" collapsed="false">
      <c r="A77" s="13" t="s">
        <v>327</v>
      </c>
      <c r="B77" s="13" t="s">
        <v>326</v>
      </c>
      <c r="C77" s="26" t="s">
        <v>345</v>
      </c>
      <c r="D77" s="50" t="n">
        <f aca="false">'Sim Data'!$E$313</f>
        <v>0</v>
      </c>
      <c r="E77" s="50" t="n">
        <f aca="false">IF('Sim Data'!$G$313&gt;0,'Sim Data'!$G$313,(Assumptions!$B$28+Assumptions!$B$29)/2)</f>
        <v>16</v>
      </c>
      <c r="F77" s="57" t="n">
        <f aca="false">Assumptions!$B$27</f>
        <v>492</v>
      </c>
      <c r="G77" s="54" t="n">
        <f aca="false">D77*E77/F77</f>
        <v>0</v>
      </c>
      <c r="H77" s="26" t="str">
        <f aca="false">IF(D77=0,"no arrivals",IF(G77&lt;1,"stable: seats free","over capacity"))</f>
        <v>no arrivals</v>
      </c>
      <c r="I77" s="53" t="n">
        <f aca="false">'Sim Data'!$I$313</f>
        <v>0</v>
      </c>
      <c r="J77" s="46" t="n">
        <f aca="false">D77*E77</f>
        <v>0</v>
      </c>
      <c r="K77" s="47" t="str">
        <f aca="false">IF(MAX(I77,J77)&lt;5,"≈ 0",IF(J77=0,"no new diners",I77/J77))</f>
        <v>≈ 0</v>
      </c>
      <c r="L77" s="50" t="n">
        <f aca="false">'Sim Data'!$E$331*'Sim Data'!$G$331</f>
        <v>0</v>
      </c>
    </row>
    <row r="78" customFormat="false" ht="21.75" hidden="false" customHeight="true" outlineLevel="0" collapsed="false">
      <c r="A78" s="13" t="s">
        <v>327</v>
      </c>
      <c r="B78" s="13" t="s">
        <v>326</v>
      </c>
      <c r="C78" s="26" t="s">
        <v>146</v>
      </c>
      <c r="D78" s="50" t="n">
        <f aca="false">'Sim Data'!$E$314</f>
        <v>3.07</v>
      </c>
      <c r="E78" s="50" t="n">
        <f aca="false">IF('Sim Data'!$G$314&gt;0,'Sim Data'!$G$314,(Assumptions!$B$28+Assumptions!$B$29)/2)</f>
        <v>16.0073</v>
      </c>
      <c r="F78" s="57" t="n">
        <f aca="false">Assumptions!$B$27</f>
        <v>492</v>
      </c>
      <c r="G78" s="54" t="n">
        <f aca="false">D78*E78/F78</f>
        <v>0.0998829491869919</v>
      </c>
      <c r="H78" s="26" t="str">
        <f aca="false">IF(D78=0,"no arrivals",IF(G78&lt;1,"stable: seats free","over capacity"))</f>
        <v>stable: seats free</v>
      </c>
      <c r="I78" s="53" t="n">
        <f aca="false">'Sim Data'!$I$314</f>
        <v>11.6759</v>
      </c>
      <c r="J78" s="46" t="n">
        <f aca="false">D78*E78</f>
        <v>49.142411</v>
      </c>
      <c r="K78" s="47" t="n">
        <f aca="false">IF(MAX(I78,J78)&lt;5,"≈ 0",IF(J78=0,"no new diners",I78/J78))</f>
        <v>0.2375931453587</v>
      </c>
      <c r="L78" s="50" t="n">
        <f aca="false">'Sim Data'!$E$332*'Sim Data'!$G$332</f>
        <v>0</v>
      </c>
    </row>
    <row r="79" customFormat="false" ht="21.75" hidden="false" customHeight="true" outlineLevel="0" collapsed="false">
      <c r="A79" s="13" t="s">
        <v>327</v>
      </c>
      <c r="B79" s="13" t="s">
        <v>326</v>
      </c>
      <c r="C79" s="26" t="s">
        <v>346</v>
      </c>
      <c r="D79" s="50" t="n">
        <f aca="false">'Sim Data'!$E$315</f>
        <v>4.47</v>
      </c>
      <c r="E79" s="50" t="n">
        <f aca="false">IF('Sim Data'!$G$315&gt;0,'Sim Data'!$G$315,(Assumptions!$B$28+Assumptions!$B$29)/2)</f>
        <v>16.1394</v>
      </c>
      <c r="F79" s="57" t="n">
        <f aca="false">Assumptions!$B$27</f>
        <v>492</v>
      </c>
      <c r="G79" s="54" t="n">
        <f aca="false">D79*E79/F79</f>
        <v>0.146632353658537</v>
      </c>
      <c r="H79" s="26" t="str">
        <f aca="false">IF(D79=0,"no arrivals",IF(G79&lt;1,"stable: seats free","over capacity"))</f>
        <v>stable: seats free</v>
      </c>
      <c r="I79" s="53" t="n">
        <f aca="false">'Sim Data'!$I$315</f>
        <v>51.514</v>
      </c>
      <c r="J79" s="46" t="n">
        <f aca="false">D79*E79</f>
        <v>72.143118</v>
      </c>
      <c r="K79" s="47" t="n">
        <f aca="false">IF(MAX(I79,J79)&lt;5,"≈ 0",IF(J79=0,"no new diners",I79/J79))</f>
        <v>0.714052863642517</v>
      </c>
      <c r="L79" s="50" t="n">
        <f aca="false">'Sim Data'!$E$333*'Sim Data'!$G$333</f>
        <v>1.03719</v>
      </c>
    </row>
    <row r="80" customFormat="false" ht="21.75" hidden="false" customHeight="true" outlineLevel="0" collapsed="false">
      <c r="A80" s="13" t="s">
        <v>327</v>
      </c>
      <c r="B80" s="13" t="s">
        <v>326</v>
      </c>
      <c r="C80" s="26" t="s">
        <v>347</v>
      </c>
      <c r="D80" s="50" t="n">
        <f aca="false">'Sim Data'!$E$316</f>
        <v>4.935</v>
      </c>
      <c r="E80" s="50" t="n">
        <f aca="false">IF('Sim Data'!$G$316&gt;0,'Sim Data'!$G$316,(Assumptions!$B$28+Assumptions!$B$29)/2)</f>
        <v>16.0301</v>
      </c>
      <c r="F80" s="57" t="n">
        <f aca="false">Assumptions!$B$27</f>
        <v>492</v>
      </c>
      <c r="G80" s="54" t="n">
        <f aca="false">D80*E80/F80</f>
        <v>0.160789722560976</v>
      </c>
      <c r="H80" s="26" t="str">
        <f aca="false">IF(D80=0,"no arrivals",IF(G80&lt;1,"stable: seats free","over capacity"))</f>
        <v>stable: seats free</v>
      </c>
      <c r="I80" s="53" t="n">
        <f aca="false">'Sim Data'!$I$316</f>
        <v>73.5801</v>
      </c>
      <c r="J80" s="46" t="n">
        <f aca="false">D80*E80</f>
        <v>79.1085435</v>
      </c>
      <c r="K80" s="47" t="n">
        <f aca="false">IF(MAX(I80,J80)&lt;5,"≈ 0",IF(J80=0,"no new diners",I80/J80))</f>
        <v>0.930115721319026</v>
      </c>
      <c r="L80" s="50" t="n">
        <f aca="false">'Sim Data'!$E$334*'Sim Data'!$G$334</f>
        <v>6.0423435</v>
      </c>
    </row>
    <row r="81" customFormat="false" ht="21.75" hidden="false" customHeight="true" outlineLevel="0" collapsed="false">
      <c r="A81" s="13" t="s">
        <v>327</v>
      </c>
      <c r="B81" s="13" t="s">
        <v>326</v>
      </c>
      <c r="C81" s="26" t="s">
        <v>155</v>
      </c>
      <c r="D81" s="50" t="n">
        <f aca="false">'Sim Data'!$E$317</f>
        <v>6.735</v>
      </c>
      <c r="E81" s="50" t="n">
        <f aca="false">IF('Sim Data'!$G$317&gt;0,'Sim Data'!$G$317,(Assumptions!$B$28+Assumptions!$B$29)/2)</f>
        <v>16.0375</v>
      </c>
      <c r="F81" s="57" t="n">
        <f aca="false">Assumptions!$B$27</f>
        <v>492</v>
      </c>
      <c r="G81" s="54" t="n">
        <f aca="false">D81*E81/F81</f>
        <v>0.219537728658537</v>
      </c>
      <c r="H81" s="26" t="str">
        <f aca="false">IF(D81=0,"no arrivals",IF(G81&lt;1,"stable: seats free","over capacity"))</f>
        <v>stable: seats free</v>
      </c>
      <c r="I81" s="53" t="n">
        <f aca="false">'Sim Data'!$I$317</f>
        <v>84.4799</v>
      </c>
      <c r="J81" s="46" t="n">
        <f aca="false">D81*E81</f>
        <v>108.0125625</v>
      </c>
      <c r="K81" s="47" t="n">
        <f aca="false">IF(MAX(I81,J81)&lt;5,"≈ 0",IF(J81=0,"no new diners",I81/J81))</f>
        <v>0.782130319332068</v>
      </c>
      <c r="L81" s="50" t="n">
        <f aca="false">'Sim Data'!$E$335*'Sim Data'!$G$335</f>
        <v>7.195683</v>
      </c>
    </row>
    <row r="82" customFormat="false" ht="21.75" hidden="false" customHeight="true" outlineLevel="0" collapsed="false">
      <c r="A82" s="13" t="s">
        <v>327</v>
      </c>
      <c r="B82" s="13" t="s">
        <v>326</v>
      </c>
      <c r="C82" s="26" t="s">
        <v>159</v>
      </c>
      <c r="D82" s="50" t="n">
        <f aca="false">'Sim Data'!$E$318</f>
        <v>6.995</v>
      </c>
      <c r="E82" s="50" t="n">
        <f aca="false">IF('Sim Data'!$G$318&gt;0,'Sim Data'!$G$318,(Assumptions!$B$28+Assumptions!$B$29)/2)</f>
        <v>15.998</v>
      </c>
      <c r="F82" s="57" t="n">
        <f aca="false">Assumptions!$B$27</f>
        <v>492</v>
      </c>
      <c r="G82" s="54" t="n">
        <f aca="false">D82*E82/F82</f>
        <v>0.227451239837398</v>
      </c>
      <c r="H82" s="26" t="str">
        <f aca="false">IF(D82=0,"no arrivals",IF(G82&lt;1,"stable: seats free","over capacity"))</f>
        <v>stable: seats free</v>
      </c>
      <c r="I82" s="53" t="n">
        <f aca="false">'Sim Data'!$I$318</f>
        <v>106.4273</v>
      </c>
      <c r="J82" s="46" t="n">
        <f aca="false">D82*E82</f>
        <v>111.90601</v>
      </c>
      <c r="K82" s="47" t="n">
        <f aca="false">IF(MAX(I82,J82)&lt;5,"≈ 0",IF(J82=0,"no new diners",I82/J82))</f>
        <v>0.951041860933117</v>
      </c>
      <c r="L82" s="50" t="n">
        <f aca="false">'Sim Data'!$E$336*'Sim Data'!$G$336</f>
        <v>7.751265</v>
      </c>
    </row>
    <row r="83" customFormat="false" ht="21.75" hidden="false" customHeight="true" outlineLevel="0" collapsed="false">
      <c r="A83" s="13" t="s">
        <v>327</v>
      </c>
      <c r="B83" s="13" t="s">
        <v>326</v>
      </c>
      <c r="C83" s="26" t="s">
        <v>162</v>
      </c>
      <c r="D83" s="50" t="n">
        <f aca="false">'Sim Data'!$E$319</f>
        <v>5.735</v>
      </c>
      <c r="E83" s="50" t="n">
        <f aca="false">IF('Sim Data'!$G$319&gt;0,'Sim Data'!$G$319,(Assumptions!$B$28+Assumptions!$B$29)/2)</f>
        <v>16.0033</v>
      </c>
      <c r="F83" s="57" t="n">
        <f aca="false">Assumptions!$B$27</f>
        <v>492</v>
      </c>
      <c r="G83" s="54" t="n">
        <f aca="false">D83*E83/F83</f>
        <v>0.186542531504065</v>
      </c>
      <c r="H83" s="26" t="str">
        <f aca="false">IF(D83=0,"no arrivals",IF(G83&lt;1,"stable: seats free","over capacity"))</f>
        <v>stable: seats free</v>
      </c>
      <c r="I83" s="53" t="n">
        <f aca="false">'Sim Data'!$I$319</f>
        <v>108.2554</v>
      </c>
      <c r="J83" s="46" t="n">
        <f aca="false">D83*E83</f>
        <v>91.7789255</v>
      </c>
      <c r="K83" s="47" t="n">
        <f aca="false">IF(MAX(I83,J83)&lt;5,"≈ 0",IF(J83=0,"no new diners",I83/J83))</f>
        <v>1.17952350618879</v>
      </c>
      <c r="L83" s="50" t="n">
        <f aca="false">'Sim Data'!$E$337*'Sim Data'!$G$337</f>
        <v>10.925358</v>
      </c>
    </row>
    <row r="84" customFormat="false" ht="21.75" hidden="false" customHeight="true" outlineLevel="0" collapsed="false">
      <c r="A84" s="13" t="s">
        <v>327</v>
      </c>
      <c r="B84" s="13" t="s">
        <v>326</v>
      </c>
      <c r="C84" s="26" t="s">
        <v>147</v>
      </c>
      <c r="D84" s="50" t="n">
        <f aca="false">'Sim Data'!$E$320</f>
        <v>5.025</v>
      </c>
      <c r="E84" s="50" t="n">
        <f aca="false">IF('Sim Data'!$G$320&gt;0,'Sim Data'!$G$320,(Assumptions!$B$28+Assumptions!$B$29)/2)</f>
        <v>16.0136</v>
      </c>
      <c r="F84" s="57" t="n">
        <f aca="false">Assumptions!$B$27</f>
        <v>492</v>
      </c>
      <c r="G84" s="54" t="n">
        <f aca="false">D84*E84/F84</f>
        <v>0.163553536585366</v>
      </c>
      <c r="H84" s="26" t="str">
        <f aca="false">IF(D84=0,"no arrivals",IF(G84&lt;1,"stable: seats free","over capacity"))</f>
        <v>stable: seats free</v>
      </c>
      <c r="I84" s="53" t="n">
        <f aca="false">'Sim Data'!$I$320</f>
        <v>88.0719</v>
      </c>
      <c r="J84" s="46" t="n">
        <f aca="false">D84*E84</f>
        <v>80.46834</v>
      </c>
      <c r="K84" s="47" t="n">
        <f aca="false">IF(MAX(I84,J84)&lt;5,"≈ 0",IF(J84=0,"no new diners",I84/J84))</f>
        <v>1.0944913241655</v>
      </c>
      <c r="L84" s="50" t="n">
        <f aca="false">'Sim Data'!$E$338*'Sim Data'!$G$338</f>
        <v>9.836139</v>
      </c>
    </row>
    <row r="85" customFormat="false" ht="21.75" hidden="false" customHeight="true" outlineLevel="0" collapsed="false">
      <c r="A85" s="13" t="s">
        <v>327</v>
      </c>
      <c r="B85" s="13" t="s">
        <v>326</v>
      </c>
      <c r="C85" s="26" t="s">
        <v>348</v>
      </c>
      <c r="D85" s="50" t="n">
        <f aca="false">'Sim Data'!$E$321</f>
        <v>14.7</v>
      </c>
      <c r="E85" s="50" t="n">
        <f aca="false">IF('Sim Data'!$G$321&gt;0,'Sim Data'!$G$321,(Assumptions!$B$28+Assumptions!$B$29)/2)</f>
        <v>15.9675</v>
      </c>
      <c r="F85" s="57" t="n">
        <f aca="false">Assumptions!$B$27</f>
        <v>492</v>
      </c>
      <c r="G85" s="54" t="n">
        <f aca="false">D85*E85/F85</f>
        <v>0.477077743902439</v>
      </c>
      <c r="H85" s="26" t="str">
        <f aca="false">IF(D85=0,"no arrivals",IF(G85&lt;1,"stable: seats free","over capacity"))</f>
        <v>stable: seats free</v>
      </c>
      <c r="I85" s="53" t="n">
        <f aca="false">'Sim Data'!$I$321</f>
        <v>125.5027</v>
      </c>
      <c r="J85" s="46" t="n">
        <f aca="false">D85*E85</f>
        <v>234.72225</v>
      </c>
      <c r="K85" s="47" t="n">
        <f aca="false">IF(MAX(I85,J85)&lt;5,"≈ 0",IF(J85=0,"no new diners",I85/J85))</f>
        <v>0.534685995895149</v>
      </c>
      <c r="L85" s="50" t="n">
        <f aca="false">'Sim Data'!$E$339*'Sim Data'!$G$339</f>
        <v>7.6884</v>
      </c>
    </row>
    <row r="86" customFormat="false" ht="21.75" hidden="false" customHeight="true" outlineLevel="0" collapsed="false">
      <c r="A86" s="13" t="s">
        <v>327</v>
      </c>
      <c r="B86" s="13" t="s">
        <v>326</v>
      </c>
      <c r="C86" s="26" t="s">
        <v>349</v>
      </c>
      <c r="D86" s="50" t="n">
        <f aca="false">'Sim Data'!$E$322</f>
        <v>15.91</v>
      </c>
      <c r="E86" s="50" t="n">
        <f aca="false">IF('Sim Data'!$G$322&gt;0,'Sim Data'!$G$322,(Assumptions!$B$28+Assumptions!$B$29)/2)</f>
        <v>16.0084</v>
      </c>
      <c r="F86" s="57" t="n">
        <f aca="false">Assumptions!$B$27</f>
        <v>492</v>
      </c>
      <c r="G86" s="54" t="n">
        <f aca="false">D86*E86/F86</f>
        <v>0.517670008130081</v>
      </c>
      <c r="H86" s="26" t="str">
        <f aca="false">IF(D86=0,"no arrivals",IF(G86&lt;1,"stable: seats free","over capacity"))</f>
        <v>stable: seats free</v>
      </c>
      <c r="I86" s="53" t="n">
        <f aca="false">'Sim Data'!$I$322</f>
        <v>227.9217</v>
      </c>
      <c r="J86" s="46" t="n">
        <f aca="false">D86*E86</f>
        <v>254.693644</v>
      </c>
      <c r="K86" s="47" t="n">
        <f aca="false">IF(MAX(I86,J86)&lt;5,"≈ 0",IF(J86=0,"no new diners",I86/J86))</f>
        <v>0.894885700406407</v>
      </c>
      <c r="L86" s="50" t="n">
        <f aca="false">'Sim Data'!$E$340*'Sim Data'!$G$340</f>
        <v>12.94407</v>
      </c>
    </row>
    <row r="87" customFormat="false" ht="21.75" hidden="false" customHeight="true" outlineLevel="0" collapsed="false">
      <c r="A87" s="13" t="s">
        <v>327</v>
      </c>
      <c r="B87" s="13" t="s">
        <v>326</v>
      </c>
      <c r="C87" s="26" t="s">
        <v>156</v>
      </c>
      <c r="D87" s="50" t="n">
        <f aca="false">'Sim Data'!$E$323</f>
        <v>11.245</v>
      </c>
      <c r="E87" s="50" t="n">
        <f aca="false">IF('Sim Data'!$G$323&gt;0,'Sim Data'!$G$323,(Assumptions!$B$28+Assumptions!$B$29)/2)</f>
        <v>16.0427</v>
      </c>
      <c r="F87" s="57" t="n">
        <f aca="false">Assumptions!$B$27</f>
        <v>492</v>
      </c>
      <c r="G87" s="54" t="n">
        <f aca="false">D87*E87/F87</f>
        <v>0.366666994918699</v>
      </c>
      <c r="H87" s="26" t="str">
        <f aca="false">IF(D87=0,"no arrivals",IF(G87&lt;1,"stable: seats free","over capacity"))</f>
        <v>stable: seats free</v>
      </c>
      <c r="I87" s="53" t="n">
        <f aca="false">'Sim Data'!$I$323</f>
        <v>240.0205</v>
      </c>
      <c r="J87" s="46" t="n">
        <f aca="false">D87*E87</f>
        <v>180.4001615</v>
      </c>
      <c r="K87" s="47" t="n">
        <f aca="false">IF(MAX(I87,J87)&lt;5,"≈ 0",IF(J87=0,"no new diners",I87/J87))</f>
        <v>1.33048938539892</v>
      </c>
      <c r="L87" s="50" t="n">
        <f aca="false">'Sim Data'!$E$341*'Sim Data'!$G$341</f>
        <v>23.733498</v>
      </c>
    </row>
    <row r="88" customFormat="false" ht="21.75" hidden="false" customHeight="true" outlineLevel="0" collapsed="false">
      <c r="A88" s="13" t="s">
        <v>327</v>
      </c>
      <c r="B88" s="13" t="s">
        <v>326</v>
      </c>
      <c r="C88" s="26" t="s">
        <v>160</v>
      </c>
      <c r="D88" s="50" t="n">
        <f aca="false">'Sim Data'!$E$324</f>
        <v>4.78</v>
      </c>
      <c r="E88" s="50" t="n">
        <f aca="false">IF('Sim Data'!$G$324&gt;0,'Sim Data'!$G$324,(Assumptions!$B$28+Assumptions!$B$29)/2)</f>
        <v>15.9798</v>
      </c>
      <c r="F88" s="57" t="n">
        <f aca="false">Assumptions!$B$27</f>
        <v>492</v>
      </c>
      <c r="G88" s="54" t="n">
        <f aca="false">D88*E88/F88</f>
        <v>0.155250902439024</v>
      </c>
      <c r="H88" s="26" t="str">
        <f aca="false">IF(D88=0,"no arrivals",IF(G88&lt;1,"stable: seats free","over capacity"))</f>
        <v>stable: seats free</v>
      </c>
      <c r="I88" s="53" t="n">
        <f aca="false">'Sim Data'!$I$324</f>
        <v>156.7345</v>
      </c>
      <c r="J88" s="46" t="n">
        <f aca="false">D88*E88</f>
        <v>76.383444</v>
      </c>
      <c r="K88" s="47" t="n">
        <f aca="false">IF(MAX(I88,J88)&lt;5,"≈ 0",IF(J88=0,"no new diners",I88/J88))</f>
        <v>2.05194335044647</v>
      </c>
      <c r="L88" s="50" t="n">
        <f aca="false">'Sim Data'!$E$342*'Sim Data'!$G$342</f>
        <v>22.737296</v>
      </c>
    </row>
    <row r="89" customFormat="false" ht="21.75" hidden="false" customHeight="true" outlineLevel="0" collapsed="false">
      <c r="A89" s="13" t="s">
        <v>327</v>
      </c>
      <c r="B89" s="13" t="s">
        <v>326</v>
      </c>
      <c r="C89" s="26" t="s">
        <v>163</v>
      </c>
      <c r="D89" s="50" t="n">
        <f aca="false">'Sim Data'!$E$325</f>
        <v>2.065</v>
      </c>
      <c r="E89" s="50" t="n">
        <f aca="false">IF('Sim Data'!$G$325&gt;0,'Sim Data'!$G$325,(Assumptions!$B$28+Assumptions!$B$29)/2)</f>
        <v>15.9586</v>
      </c>
      <c r="F89" s="57" t="n">
        <f aca="false">Assumptions!$B$27</f>
        <v>492</v>
      </c>
      <c r="G89" s="54" t="n">
        <f aca="false">D89*E89/F89</f>
        <v>0.0669807093495935</v>
      </c>
      <c r="H89" s="26" t="str">
        <f aca="false">IF(D89=0,"no arrivals",IF(G89&lt;1,"stable: seats free","over capacity"))</f>
        <v>stable: seats free</v>
      </c>
      <c r="I89" s="53" t="n">
        <f aca="false">'Sim Data'!$I$325</f>
        <v>69.1658</v>
      </c>
      <c r="J89" s="46" t="n">
        <f aca="false">D89*E89</f>
        <v>32.954509</v>
      </c>
      <c r="K89" s="47" t="n">
        <f aca="false">IF(MAX(I89,J89)&lt;5,"≈ 0",IF(J89=0,"no new diners",I89/J89))</f>
        <v>2.09882659759853</v>
      </c>
      <c r="L89" s="50" t="n">
        <f aca="false">'Sim Data'!$E$343*'Sim Data'!$G$343</f>
        <v>12.0344</v>
      </c>
    </row>
    <row r="90" customFormat="false" ht="21.75" hidden="false" customHeight="true" outlineLevel="0" collapsed="false">
      <c r="A90" s="13" t="s">
        <v>327</v>
      </c>
      <c r="B90" s="13" t="s">
        <v>326</v>
      </c>
      <c r="C90" s="26" t="s">
        <v>150</v>
      </c>
      <c r="D90" s="50" t="n">
        <f aca="false">'Sim Data'!$E$326</f>
        <v>0.295</v>
      </c>
      <c r="E90" s="50" t="n">
        <f aca="false">IF('Sim Data'!$G$326&gt;0,'Sim Data'!$G$326,(Assumptions!$B$28+Assumptions!$B$29)/2)</f>
        <v>16.1268</v>
      </c>
      <c r="F90" s="57" t="n">
        <f aca="false">Assumptions!$B$27</f>
        <v>492</v>
      </c>
      <c r="G90" s="54" t="n">
        <f aca="false">D90*E90/F90</f>
        <v>0.0096695243902439</v>
      </c>
      <c r="H90" s="26" t="str">
        <f aca="false">IF(D90=0,"no arrivals",IF(G90&lt;1,"stable: seats free","over capacity"))</f>
        <v>stable: seats free</v>
      </c>
      <c r="I90" s="53" t="n">
        <f aca="false">'Sim Data'!$I$326</f>
        <v>27.5484</v>
      </c>
      <c r="J90" s="46" t="n">
        <f aca="false">D90*E90</f>
        <v>4.757406</v>
      </c>
      <c r="K90" s="47" t="n">
        <f aca="false">IF(MAX(I90,J90)&lt;5,"≈ 0",IF(J90=0,"no new diners",I90/J90))</f>
        <v>5.79063464417374</v>
      </c>
      <c r="L90" s="50" t="n">
        <f aca="false">'Sim Data'!$E$344*'Sim Data'!$G$344</f>
        <v>4.8906435</v>
      </c>
    </row>
    <row r="91" customFormat="false" ht="21.75" hidden="false" customHeight="true" outlineLevel="0" collapsed="false">
      <c r="A91" s="13" t="s">
        <v>327</v>
      </c>
      <c r="B91" s="13" t="s">
        <v>326</v>
      </c>
      <c r="C91" s="26" t="s">
        <v>350</v>
      </c>
      <c r="D91" s="50" t="n">
        <f aca="false">'Sim Data'!$E$327</f>
        <v>0</v>
      </c>
      <c r="E91" s="50" t="n">
        <f aca="false">IF('Sim Data'!$G$327&gt;0,'Sim Data'!$G$327,(Assumptions!$B$28+Assumptions!$B$29)/2)</f>
        <v>16</v>
      </c>
      <c r="F91" s="57" t="n">
        <f aca="false">Assumptions!$B$27</f>
        <v>492</v>
      </c>
      <c r="G91" s="54" t="n">
        <f aca="false">D91*E91/F91</f>
        <v>0</v>
      </c>
      <c r="H91" s="26" t="str">
        <f aca="false">IF(D91=0,"no arrivals",IF(G91&lt;1,"stable: seats free","over capacity"))</f>
        <v>no arrivals</v>
      </c>
      <c r="I91" s="53" t="n">
        <f aca="false">'Sim Data'!$I$327</f>
        <v>5.5733</v>
      </c>
      <c r="J91" s="46" t="n">
        <f aca="false">D91*E91</f>
        <v>0</v>
      </c>
      <c r="K91" s="47" t="str">
        <f aca="false">IF(MAX(I91,J91)&lt;5,"≈ 0",IF(J91=0,"no new diners",I91/J91))</f>
        <v>no new diners</v>
      </c>
      <c r="L91" s="50" t="n">
        <f aca="false">'Sim Data'!$E$345*'Sim Data'!$G$345</f>
        <v>2.111052</v>
      </c>
    </row>
    <row r="92" customFormat="false" ht="21.75" hidden="false" customHeight="true" outlineLevel="0" collapsed="false">
      <c r="A92" s="13" t="s">
        <v>327</v>
      </c>
      <c r="B92" s="13" t="s">
        <v>326</v>
      </c>
      <c r="C92" s="26" t="s">
        <v>351</v>
      </c>
      <c r="D92" s="50" t="n">
        <f aca="false">'Sim Data'!$E$328</f>
        <v>0</v>
      </c>
      <c r="E92" s="50" t="n">
        <f aca="false">IF('Sim Data'!$G$328&gt;0,'Sim Data'!$G$328,(Assumptions!$B$28+Assumptions!$B$29)/2)</f>
        <v>16</v>
      </c>
      <c r="F92" s="57" t="n">
        <f aca="false">Assumptions!$B$27</f>
        <v>492</v>
      </c>
      <c r="G92" s="54" t="n">
        <f aca="false">D92*E92/F92</f>
        <v>0</v>
      </c>
      <c r="H92" s="26" t="str">
        <f aca="false">IF(D92=0,"no arrivals",IF(G92&lt;1,"stable: seats free","over capacity"))</f>
        <v>no arrivals</v>
      </c>
      <c r="I92" s="53" t="n">
        <f aca="false">'Sim Data'!$I$328</f>
        <v>0.0001</v>
      </c>
      <c r="J92" s="46" t="n">
        <f aca="false">D92*E92</f>
        <v>0</v>
      </c>
      <c r="K92" s="47" t="str">
        <f aca="false">IF(MAX(I92,J92)&lt;5,"≈ 0",IF(J92=0,"no new diners",I92/J92))</f>
        <v>≈ 0</v>
      </c>
      <c r="L92" s="50" t="n">
        <f aca="false">'Sim Data'!$E$346*'Sim Data'!$G$346</f>
        <v>0.0082895</v>
      </c>
    </row>
  </sheetData>
  <autoFilter ref="A20:L92"/>
  <mergeCells count="1">
    <mergeCell ref="A11:F16"/>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5" min="4" style="0" width="12"/>
    <col collapsed="false" customWidth="true" hidden="false" outlineLevel="0" max="6" min="6" style="0" width="13"/>
    <col collapsed="false" customWidth="true" hidden="false" outlineLevel="0" max="7" min="7" style="0" width="11"/>
    <col collapsed="false" customWidth="true" hidden="false" outlineLevel="0" max="8" min="8" style="0" width="10"/>
    <col collapsed="false" customWidth="true" hidden="false" outlineLevel="0" max="9" min="9" style="0" width="44"/>
  </cols>
  <sheetData>
    <row r="1" customFormat="false" ht="36" hidden="false" customHeight="true" outlineLevel="0" collapsed="false">
      <c r="A1" s="1" t="s">
        <v>376</v>
      </c>
      <c r="B1" s="2"/>
      <c r="C1" s="2"/>
      <c r="D1" s="2"/>
      <c r="E1" s="2"/>
      <c r="F1" s="2"/>
      <c r="G1" s="2"/>
      <c r="H1" s="2"/>
      <c r="I1" s="2"/>
    </row>
    <row r="2" customFormat="false" ht="21.75" hidden="false" customHeight="true" outlineLevel="0" collapsed="false">
      <c r="A2" s="3" t="s">
        <v>377</v>
      </c>
    </row>
    <row r="3" customFormat="false" ht="7.5" hidden="false" customHeight="true" outlineLevel="0" collapsed="false"/>
    <row r="4" customFormat="false" ht="18" hidden="false" customHeight="true" outlineLevel="0" collapsed="false">
      <c r="A4" s="49" t="s">
        <v>378</v>
      </c>
      <c r="B4" s="49"/>
      <c r="C4" s="49"/>
      <c r="D4" s="49"/>
      <c r="E4" s="49"/>
      <c r="F4" s="49"/>
      <c r="G4" s="49"/>
      <c r="H4" s="49"/>
      <c r="I4" s="49"/>
    </row>
    <row r="5" customFormat="false" ht="15" hidden="false" customHeight="false" outlineLevel="0" collapsed="false">
      <c r="A5" s="49"/>
      <c r="B5" s="49"/>
      <c r="C5" s="49"/>
      <c r="D5" s="49"/>
      <c r="E5" s="49"/>
      <c r="F5" s="49"/>
      <c r="G5" s="49"/>
      <c r="H5" s="49"/>
      <c r="I5" s="49"/>
    </row>
    <row r="6" customFormat="false" ht="15" hidden="false" customHeight="false" outlineLevel="0" collapsed="false">
      <c r="A6" s="49"/>
      <c r="B6" s="49"/>
      <c r="C6" s="49"/>
      <c r="D6" s="49"/>
      <c r="E6" s="49"/>
      <c r="F6" s="49"/>
      <c r="G6" s="49"/>
      <c r="H6" s="49"/>
      <c r="I6" s="49"/>
    </row>
    <row r="7" customFormat="false" ht="15" hidden="false" customHeight="false" outlineLevel="0" collapsed="false">
      <c r="A7" s="49"/>
      <c r="B7" s="49"/>
      <c r="C7" s="49"/>
      <c r="D7" s="49"/>
      <c r="E7" s="49"/>
      <c r="F7" s="49"/>
      <c r="G7" s="49"/>
      <c r="H7" s="49"/>
      <c r="I7" s="49"/>
    </row>
    <row r="9" customFormat="false" ht="24.75" hidden="false" customHeight="true" outlineLevel="0" collapsed="false">
      <c r="A9" s="4" t="s">
        <v>367</v>
      </c>
    </row>
    <row r="10" customFormat="false" ht="53.25" hidden="false" customHeight="true" outlineLevel="0" collapsed="false">
      <c r="A10" s="7" t="s">
        <v>317</v>
      </c>
      <c r="B10" s="7" t="s">
        <v>318</v>
      </c>
      <c r="C10" s="7" t="s">
        <v>332</v>
      </c>
      <c r="D10" s="7" t="s">
        <v>379</v>
      </c>
      <c r="E10" s="7" t="s">
        <v>380</v>
      </c>
      <c r="F10" s="7" t="s">
        <v>381</v>
      </c>
      <c r="G10" s="7" t="s">
        <v>382</v>
      </c>
      <c r="H10" s="7" t="s">
        <v>383</v>
      </c>
      <c r="I10" s="7" t="s">
        <v>342</v>
      </c>
    </row>
    <row r="11" customFormat="false" ht="21.75" hidden="false" customHeight="true" outlineLevel="0" collapsed="false">
      <c r="A11" s="13" t="s">
        <v>324</v>
      </c>
      <c r="B11" s="13" t="s">
        <v>325</v>
      </c>
      <c r="C11" s="26" t="s">
        <v>343</v>
      </c>
      <c r="D11" s="50" t="n">
        <f aca="false">'Sim Data'!$E$77</f>
        <v>0</v>
      </c>
      <c r="E11" s="50" t="n">
        <f aca="false">'Sim Data'!$G$77</f>
        <v>0</v>
      </c>
      <c r="F11" s="53" t="n">
        <f aca="false">'Sim Data'!$I$77</f>
        <v>0</v>
      </c>
      <c r="G11" s="46" t="n">
        <f aca="false">D11*E11</f>
        <v>0</v>
      </c>
      <c r="H11" s="47" t="str">
        <f aca="false">IF(MAX(F11,G11)&lt;10,"≈ 0",IF(G11=0,"no new arrivals",F11/G11))</f>
        <v>≈ 0</v>
      </c>
      <c r="I11" s="13" t="str">
        <f aca="false">IF(D11=0,"",IF(ISNUMBER(H11),IF(ABS(H11-1)&lt;=0.15,"Steady: L = λW holds",IF(H11&lt;1,"Filling up: arrivals outpace people leaving","Emptying: people from earlier slots still inside")),IF(G11=0,"Emptying: no new arrivals","Almost empty")))</f>
        <v/>
      </c>
    </row>
    <row r="12" customFormat="false" ht="21.75" hidden="false" customHeight="true" outlineLevel="0" collapsed="false">
      <c r="A12" s="13" t="s">
        <v>324</v>
      </c>
      <c r="B12" s="13" t="s">
        <v>325</v>
      </c>
      <c r="C12" s="26" t="s">
        <v>344</v>
      </c>
      <c r="D12" s="50" t="n">
        <f aca="false">'Sim Data'!$E$78</f>
        <v>0</v>
      </c>
      <c r="E12" s="50" t="n">
        <f aca="false">'Sim Data'!$G$78</f>
        <v>0</v>
      </c>
      <c r="F12" s="53" t="n">
        <f aca="false">'Sim Data'!$I$78</f>
        <v>0</v>
      </c>
      <c r="G12" s="46" t="n">
        <f aca="false">D12*E12</f>
        <v>0</v>
      </c>
      <c r="H12" s="47" t="str">
        <f aca="false">IF(MAX(F12,G12)&lt;10,"≈ 0",IF(G12=0,"no new arrivals",F12/G12))</f>
        <v>≈ 0</v>
      </c>
      <c r="I12" s="13" t="str">
        <f aca="false">IF(D12=0,"",IF(ISNUMBER(H12),IF(ABS(H12-1)&lt;=0.15,"Steady: L = λW holds",IF(H12&lt;1,"Filling up: arrivals outpace people leaving","Emptying: people from earlier slots still inside")),IF(G12=0,"Emptying: no new arrivals","Almost empty")))</f>
        <v/>
      </c>
    </row>
    <row r="13" customFormat="false" ht="21.75" hidden="false" customHeight="true" outlineLevel="0" collapsed="false">
      <c r="A13" s="13" t="s">
        <v>324</v>
      </c>
      <c r="B13" s="13" t="s">
        <v>325</v>
      </c>
      <c r="C13" s="26" t="s">
        <v>345</v>
      </c>
      <c r="D13" s="50" t="n">
        <f aca="false">'Sim Data'!$E$79</f>
        <v>0</v>
      </c>
      <c r="E13" s="50" t="n">
        <f aca="false">'Sim Data'!$G$79</f>
        <v>0</v>
      </c>
      <c r="F13" s="53" t="n">
        <f aca="false">'Sim Data'!$I$79</f>
        <v>0</v>
      </c>
      <c r="G13" s="46" t="n">
        <f aca="false">D13*E13</f>
        <v>0</v>
      </c>
      <c r="H13" s="47" t="str">
        <f aca="false">IF(MAX(F13,G13)&lt;10,"≈ 0",IF(G13=0,"no new arrivals",F13/G13))</f>
        <v>≈ 0</v>
      </c>
      <c r="I13" s="13" t="str">
        <f aca="false">IF(D13=0,"",IF(ISNUMBER(H13),IF(ABS(H13-1)&lt;=0.15,"Steady: L = λW holds",IF(H13&lt;1,"Filling up: arrivals outpace people leaving","Emptying: people from earlier slots still inside")),IF(G13=0,"Emptying: no new arrivals","Almost empty")))</f>
        <v/>
      </c>
    </row>
    <row r="14" customFormat="false" ht="21.75" hidden="false" customHeight="true" outlineLevel="0" collapsed="false">
      <c r="A14" s="13" t="s">
        <v>324</v>
      </c>
      <c r="B14" s="13" t="s">
        <v>325</v>
      </c>
      <c r="C14" s="26" t="s">
        <v>146</v>
      </c>
      <c r="D14" s="50" t="n">
        <f aca="false">'Sim Data'!$E$80</f>
        <v>14.52</v>
      </c>
      <c r="E14" s="50" t="n">
        <f aca="false">'Sim Data'!$G$80</f>
        <v>19.7479</v>
      </c>
      <c r="F14" s="53" t="n">
        <f aca="false">'Sim Data'!$I$80</f>
        <v>66.9728</v>
      </c>
      <c r="G14" s="46" t="n">
        <f aca="false">D14*E14</f>
        <v>286.739508</v>
      </c>
      <c r="H14" s="47" t="n">
        <f aca="false">IF(MAX(F14,G14)&lt;10,"≈ 0",IF(G14=0,"no new arrivals",F14/G14))</f>
        <v>0.233566697756906</v>
      </c>
      <c r="I14" s="13" t="str">
        <f aca="false">IF(D14=0,"",IF(ISNUMBER(H14),IF(ABS(H14-1)&lt;=0.15,"Steady: L = λW holds",IF(H14&lt;1,"Filling up: arrivals outpace people leaving","Emptying: people from earlier slots still inside")),IF(G14=0,"Emptying: no new arrivals","Almost empty")))</f>
        <v>Filling up: arrivals outpace people leaving</v>
      </c>
    </row>
    <row r="15" customFormat="false" ht="21.75" hidden="false" customHeight="true" outlineLevel="0" collapsed="false">
      <c r="A15" s="13" t="s">
        <v>324</v>
      </c>
      <c r="B15" s="13" t="s">
        <v>325</v>
      </c>
      <c r="C15" s="26" t="s">
        <v>346</v>
      </c>
      <c r="D15" s="50" t="n">
        <f aca="false">'Sim Data'!$E$81</f>
        <v>18.77</v>
      </c>
      <c r="E15" s="50" t="n">
        <f aca="false">'Sim Data'!$G$81</f>
        <v>19.9232</v>
      </c>
      <c r="F15" s="53" t="n">
        <f aca="false">'Sim Data'!$I$81</f>
        <v>235.861</v>
      </c>
      <c r="G15" s="46" t="n">
        <f aca="false">D15*E15</f>
        <v>373.958464</v>
      </c>
      <c r="H15" s="47" t="n">
        <f aca="false">IF(MAX(F15,G15)&lt;10,"≈ 0",IF(G15=0,"no new arrivals",F15/G15))</f>
        <v>0.630714431429476</v>
      </c>
      <c r="I15" s="13" t="str">
        <f aca="false">IF(D15=0,"",IF(ISNUMBER(H15),IF(ABS(H15-1)&lt;=0.15,"Steady: L = λW holds",IF(H15&lt;1,"Filling up: arrivals outpace people leaving","Emptying: people from earlier slots still inside")),IF(G15=0,"Emptying: no new arrivals","Almost empty")))</f>
        <v>Filling up: arrivals outpace people leaving</v>
      </c>
    </row>
    <row r="16" customFormat="false" ht="21.75" hidden="false" customHeight="true" outlineLevel="0" collapsed="false">
      <c r="A16" s="13" t="s">
        <v>324</v>
      </c>
      <c r="B16" s="13" t="s">
        <v>325</v>
      </c>
      <c r="C16" s="26" t="s">
        <v>347</v>
      </c>
      <c r="D16" s="50" t="n">
        <f aca="false">'Sim Data'!$E$82</f>
        <v>18.825</v>
      </c>
      <c r="E16" s="50" t="n">
        <f aca="false">'Sim Data'!$G$82</f>
        <v>20.2277</v>
      </c>
      <c r="F16" s="53" t="n">
        <f aca="false">'Sim Data'!$I$82</f>
        <v>357.9495</v>
      </c>
      <c r="G16" s="46" t="n">
        <f aca="false">D16*E16</f>
        <v>380.7864525</v>
      </c>
      <c r="H16" s="47" t="n">
        <f aca="false">IF(MAX(F16,G16)&lt;10,"≈ 0",IF(G16=0,"no new arrivals",F16/G16))</f>
        <v>0.940026877663144</v>
      </c>
      <c r="I16" s="13" t="str">
        <f aca="false">IF(D16=0,"",IF(ISNUMBER(H16),IF(ABS(H16-1)&lt;=0.15,"Steady: L = λW holds",IF(H16&lt;1,"Filling up: arrivals outpace people leaving","Emptying: people from earlier slots still inside")),IF(G16=0,"Emptying: no new arrivals","Almost empty")))</f>
        <v>Steady: L = λW holds</v>
      </c>
    </row>
    <row r="17" customFormat="false" ht="21.75" hidden="false" customHeight="true" outlineLevel="0" collapsed="false">
      <c r="A17" s="13" t="s">
        <v>324</v>
      </c>
      <c r="B17" s="13" t="s">
        <v>325</v>
      </c>
      <c r="C17" s="26" t="s">
        <v>155</v>
      </c>
      <c r="D17" s="50" t="n">
        <f aca="false">'Sim Data'!$E$83</f>
        <v>22.915</v>
      </c>
      <c r="E17" s="50" t="n">
        <f aca="false">'Sim Data'!$G$83</f>
        <v>21.124</v>
      </c>
      <c r="F17" s="53" t="n">
        <f aca="false">'Sim Data'!$I$83</f>
        <v>400.1098</v>
      </c>
      <c r="G17" s="46" t="n">
        <f aca="false">D17*E17</f>
        <v>484.05646</v>
      </c>
      <c r="H17" s="47" t="n">
        <f aca="false">IF(MAX(F17,G17)&lt;10,"≈ 0",IF(G17=0,"no new arrivals",F17/G17))</f>
        <v>0.826576717930797</v>
      </c>
      <c r="I17" s="13" t="str">
        <f aca="false">IF(D17=0,"",IF(ISNUMBER(H17),IF(ABS(H17-1)&lt;=0.15,"Steady: L = λW holds",IF(H17&lt;1,"Filling up: arrivals outpace people leaving","Emptying: people from earlier slots still inside")),IF(G17=0,"Emptying: no new arrivals","Almost empty")))</f>
        <v>Filling up: arrivals outpace people leaving</v>
      </c>
    </row>
    <row r="18" customFormat="false" ht="21.75" hidden="false" customHeight="true" outlineLevel="0" collapsed="false">
      <c r="A18" s="13" t="s">
        <v>324</v>
      </c>
      <c r="B18" s="13" t="s">
        <v>325</v>
      </c>
      <c r="C18" s="26" t="s">
        <v>159</v>
      </c>
      <c r="D18" s="50" t="n">
        <f aca="false">'Sim Data'!$E$84</f>
        <v>20.35</v>
      </c>
      <c r="E18" s="50" t="n">
        <f aca="false">'Sim Data'!$G$84</f>
        <v>22.186</v>
      </c>
      <c r="F18" s="53" t="n">
        <f aca="false">'Sim Data'!$I$84</f>
        <v>429.9949</v>
      </c>
      <c r="G18" s="46" t="n">
        <f aca="false">D18*E18</f>
        <v>451.4851</v>
      </c>
      <c r="H18" s="47" t="n">
        <f aca="false">IF(MAX(F18,G18)&lt;10,"≈ 0",IF(G18=0,"no new arrivals",F18/G18))</f>
        <v>0.952401086990468</v>
      </c>
      <c r="I18" s="13" t="str">
        <f aca="false">IF(D18=0,"",IF(ISNUMBER(H18),IF(ABS(H18-1)&lt;=0.15,"Steady: L = λW holds",IF(H18&lt;1,"Filling up: arrivals outpace people leaving","Emptying: people from earlier slots still inside")),IF(G18=0,"Emptying: no new arrivals","Almost empty")))</f>
        <v>Steady: L = λW holds</v>
      </c>
    </row>
    <row r="19" customFormat="false" ht="21.75" hidden="false" customHeight="true" outlineLevel="0" collapsed="false">
      <c r="A19" s="13" t="s">
        <v>324</v>
      </c>
      <c r="B19" s="13" t="s">
        <v>325</v>
      </c>
      <c r="C19" s="26" t="s">
        <v>162</v>
      </c>
      <c r="D19" s="50" t="n">
        <f aca="false">'Sim Data'!$E$85</f>
        <v>16.86</v>
      </c>
      <c r="E19" s="50" t="n">
        <f aca="false">'Sim Data'!$G$85</f>
        <v>22.1956</v>
      </c>
      <c r="F19" s="53" t="n">
        <f aca="false">'Sim Data'!$I$85</f>
        <v>424.9515</v>
      </c>
      <c r="G19" s="46" t="n">
        <f aca="false">D19*E19</f>
        <v>374.217816</v>
      </c>
      <c r="H19" s="47" t="n">
        <f aca="false">IF(MAX(F19,G19)&lt;10,"≈ 0",IF(G19=0,"no new arrivals",F19/G19))</f>
        <v>1.1355726045924</v>
      </c>
      <c r="I19" s="13" t="str">
        <f aca="false">IF(D19=0,"",IF(ISNUMBER(H19),IF(ABS(H19-1)&lt;=0.15,"Steady: L = λW holds",IF(H19&lt;1,"Filling up: arrivals outpace people leaving","Emptying: people from earlier slots still inside")),IF(G19=0,"Emptying: no new arrivals","Almost empty")))</f>
        <v>Steady: L = λW holds</v>
      </c>
    </row>
    <row r="20" customFormat="false" ht="21.75" hidden="false" customHeight="true" outlineLevel="0" collapsed="false">
      <c r="A20" s="13" t="s">
        <v>324</v>
      </c>
      <c r="B20" s="13" t="s">
        <v>325</v>
      </c>
      <c r="C20" s="26" t="s">
        <v>147</v>
      </c>
      <c r="D20" s="50" t="n">
        <f aca="false">'Sim Data'!$E$86</f>
        <v>22.705</v>
      </c>
      <c r="E20" s="50" t="n">
        <f aca="false">'Sim Data'!$G$86</f>
        <v>21.8902</v>
      </c>
      <c r="F20" s="53" t="n">
        <f aca="false">'Sim Data'!$I$86</f>
        <v>407.2461</v>
      </c>
      <c r="G20" s="46" t="n">
        <f aca="false">D20*E20</f>
        <v>497.016991</v>
      </c>
      <c r="H20" s="47" t="n">
        <f aca="false">IF(MAX(F20,G20)&lt;10,"≈ 0",IF(G20=0,"no new arrivals",F20/G20))</f>
        <v>0.819380639644974</v>
      </c>
      <c r="I20" s="13" t="str">
        <f aca="false">IF(D20=0,"",IF(ISNUMBER(H20),IF(ABS(H20-1)&lt;=0.15,"Steady: L = λW holds",IF(H20&lt;1,"Filling up: arrivals outpace people leaving","Emptying: people from earlier slots still inside")),IF(G20=0,"Emptying: no new arrivals","Almost empty")))</f>
        <v>Filling up: arrivals outpace people leaving</v>
      </c>
    </row>
    <row r="21" customFormat="false" ht="21.75" hidden="false" customHeight="true" outlineLevel="0" collapsed="false">
      <c r="A21" s="13" t="s">
        <v>324</v>
      </c>
      <c r="B21" s="13" t="s">
        <v>325</v>
      </c>
      <c r="C21" s="26" t="s">
        <v>348</v>
      </c>
      <c r="D21" s="50" t="n">
        <f aca="false">'Sim Data'!$E$87</f>
        <v>29.56</v>
      </c>
      <c r="E21" s="50" t="n">
        <f aca="false">'Sim Data'!$G$87</f>
        <v>25.6333</v>
      </c>
      <c r="F21" s="53" t="n">
        <f aca="false">'Sim Data'!$I$87</f>
        <v>497.5448</v>
      </c>
      <c r="G21" s="46" t="n">
        <f aca="false">D21*E21</f>
        <v>757.720348</v>
      </c>
      <c r="H21" s="47" t="n">
        <f aca="false">IF(MAX(F21,G21)&lt;10,"≈ 0",IF(G21=0,"no new arrivals",F21/G21))</f>
        <v>0.656633811291023</v>
      </c>
      <c r="I21" s="13" t="str">
        <f aca="false">IF(D21=0,"",IF(ISNUMBER(H21),IF(ABS(H21-1)&lt;=0.15,"Steady: L = λW holds",IF(H21&lt;1,"Filling up: arrivals outpace people leaving","Emptying: people from earlier slots still inside")),IF(G21=0,"Emptying: no new arrivals","Almost empty")))</f>
        <v>Filling up: arrivals outpace people leaving</v>
      </c>
    </row>
    <row r="22" customFormat="false" ht="21.75" hidden="false" customHeight="true" outlineLevel="0" collapsed="false">
      <c r="A22" s="13" t="s">
        <v>324</v>
      </c>
      <c r="B22" s="13" t="s">
        <v>325</v>
      </c>
      <c r="C22" s="26" t="s">
        <v>349</v>
      </c>
      <c r="D22" s="50" t="n">
        <f aca="false">'Sim Data'!$E$88</f>
        <v>28.33</v>
      </c>
      <c r="E22" s="50" t="n">
        <f aca="false">'Sim Data'!$G$88</f>
        <v>30.9333</v>
      </c>
      <c r="F22" s="53" t="n">
        <f aca="false">'Sim Data'!$I$88</f>
        <v>601.0945</v>
      </c>
      <c r="G22" s="46" t="n">
        <f aca="false">D22*E22</f>
        <v>876.340389</v>
      </c>
      <c r="H22" s="47" t="n">
        <f aca="false">IF(MAX(F22,G22)&lt;10,"≈ 0",IF(G22=0,"no new arrivals",F22/G22))</f>
        <v>0.685914408995704</v>
      </c>
      <c r="I22" s="13" t="str">
        <f aca="false">IF(D22=0,"",IF(ISNUMBER(H22),IF(ABS(H22-1)&lt;=0.15,"Steady: L = λW holds",IF(H22&lt;1,"Filling up: arrivals outpace people leaving","Emptying: people from earlier slots still inside")),IF(G22=0,"Emptying: no new arrivals","Almost empty")))</f>
        <v>Filling up: arrivals outpace people leaving</v>
      </c>
    </row>
    <row r="23" customFormat="false" ht="21.75" hidden="false" customHeight="true" outlineLevel="0" collapsed="false">
      <c r="A23" s="13" t="s">
        <v>324</v>
      </c>
      <c r="B23" s="13" t="s">
        <v>325</v>
      </c>
      <c r="C23" s="26" t="s">
        <v>156</v>
      </c>
      <c r="D23" s="50" t="n">
        <f aca="false">'Sim Data'!$E$89</f>
        <v>21.35</v>
      </c>
      <c r="E23" s="50" t="n">
        <f aca="false">'Sim Data'!$G$89</f>
        <v>34.2076</v>
      </c>
      <c r="F23" s="53" t="n">
        <f aca="false">'Sim Data'!$I$89</f>
        <v>654.161</v>
      </c>
      <c r="G23" s="46" t="n">
        <f aca="false">D23*E23</f>
        <v>730.33226</v>
      </c>
      <c r="H23" s="47" t="n">
        <f aca="false">IF(MAX(F23,G23)&lt;10,"≈ 0",IF(G23=0,"no new arrivals",F23/G23))</f>
        <v>0.895703278943203</v>
      </c>
      <c r="I23" s="13" t="str">
        <f aca="false">IF(D23=0,"",IF(ISNUMBER(H23),IF(ABS(H23-1)&lt;=0.15,"Steady: L = λW holds",IF(H23&lt;1,"Filling up: arrivals outpace people leaving","Emptying: people from earlier slots still inside")),IF(G23=0,"Emptying: no new arrivals","Almost empty")))</f>
        <v>Steady: L = λW holds</v>
      </c>
    </row>
    <row r="24" customFormat="false" ht="21.75" hidden="false" customHeight="true" outlineLevel="0" collapsed="false">
      <c r="A24" s="13" t="s">
        <v>324</v>
      </c>
      <c r="B24" s="13" t="s">
        <v>325</v>
      </c>
      <c r="C24" s="26" t="s">
        <v>160</v>
      </c>
      <c r="D24" s="50" t="n">
        <f aca="false">'Sim Data'!$E$90</f>
        <v>14.575</v>
      </c>
      <c r="E24" s="50" t="n">
        <f aca="false">'Sim Data'!$G$90</f>
        <v>33.435</v>
      </c>
      <c r="F24" s="53" t="n">
        <f aca="false">'Sim Data'!$I$90</f>
        <v>637.1672</v>
      </c>
      <c r="G24" s="46" t="n">
        <f aca="false">D24*E24</f>
        <v>487.315125</v>
      </c>
      <c r="H24" s="47" t="n">
        <f aca="false">IF(MAX(F24,G24)&lt;10,"≈ 0",IF(G24=0,"no new arrivals",F24/G24))</f>
        <v>1.30750548733738</v>
      </c>
      <c r="I24" s="13" t="str">
        <f aca="false">IF(D24=0,"",IF(ISNUMBER(H24),IF(ABS(H24-1)&lt;=0.15,"Steady: L = λW holds",IF(H24&lt;1,"Filling up: arrivals outpace people leaving","Emptying: people from earlier slots still inside")),IF(G24=0,"Emptying: no new arrivals","Almost empty")))</f>
        <v>Emptying: people from earlier slots still inside</v>
      </c>
    </row>
    <row r="25" customFormat="false" ht="21.75" hidden="false" customHeight="true" outlineLevel="0" collapsed="false">
      <c r="A25" s="13" t="s">
        <v>324</v>
      </c>
      <c r="B25" s="13" t="s">
        <v>325</v>
      </c>
      <c r="C25" s="26" t="s">
        <v>163</v>
      </c>
      <c r="D25" s="50" t="n">
        <f aca="false">'Sim Data'!$E$91</f>
        <v>7.17</v>
      </c>
      <c r="E25" s="50" t="n">
        <f aca="false">'Sim Data'!$G$91</f>
        <v>28.9311</v>
      </c>
      <c r="F25" s="53" t="n">
        <f aca="false">'Sim Data'!$I$91</f>
        <v>551.2699</v>
      </c>
      <c r="G25" s="46" t="n">
        <f aca="false">D25*E25</f>
        <v>207.435987</v>
      </c>
      <c r="H25" s="47" t="n">
        <f aca="false">IF(MAX(F25,G25)&lt;10,"≈ 0",IF(G25=0,"no new arrivals",F25/G25))</f>
        <v>2.65754225181767</v>
      </c>
      <c r="I25" s="13" t="str">
        <f aca="false">IF(D25=0,"",IF(ISNUMBER(H25),IF(ABS(H25-1)&lt;=0.15,"Steady: L = λW holds",IF(H25&lt;1,"Filling up: arrivals outpace people leaving","Emptying: people from earlier slots still inside")),IF(G25=0,"Emptying: no new arrivals","Almost empty")))</f>
        <v>Emptying: people from earlier slots still inside</v>
      </c>
    </row>
    <row r="26" customFormat="false" ht="21.75" hidden="false" customHeight="true" outlineLevel="0" collapsed="false">
      <c r="A26" s="13" t="s">
        <v>324</v>
      </c>
      <c r="B26" s="13" t="s">
        <v>325</v>
      </c>
      <c r="C26" s="26" t="s">
        <v>150</v>
      </c>
      <c r="D26" s="50" t="n">
        <f aca="false">'Sim Data'!$E$92</f>
        <v>0</v>
      </c>
      <c r="E26" s="50" t="n">
        <f aca="false">'Sim Data'!$G$92</f>
        <v>0</v>
      </c>
      <c r="F26" s="53" t="n">
        <f aca="false">'Sim Data'!$I$92</f>
        <v>401.8533</v>
      </c>
      <c r="G26" s="46" t="n">
        <f aca="false">D26*E26</f>
        <v>0</v>
      </c>
      <c r="H26" s="47" t="str">
        <f aca="false">IF(MAX(F26,G26)&lt;10,"≈ 0",IF(G26=0,"no new arrivals",F26/G26))</f>
        <v>no new arrivals</v>
      </c>
      <c r="I26" s="13" t="str">
        <f aca="false">IF(D26=0,"",IF(ISNUMBER(H26),IF(ABS(H26-1)&lt;=0.15,"Steady: L = λW holds",IF(H26&lt;1,"Filling up: arrivals outpace people leaving","Emptying: people from earlier slots still inside")),IF(G26=0,"Emptying: no new arrivals","Almost empty")))</f>
        <v/>
      </c>
    </row>
    <row r="27" customFormat="false" ht="21.75" hidden="false" customHeight="true" outlineLevel="0" collapsed="false">
      <c r="A27" s="13" t="s">
        <v>324</v>
      </c>
      <c r="B27" s="13" t="s">
        <v>325</v>
      </c>
      <c r="C27" s="26" t="s">
        <v>350</v>
      </c>
      <c r="D27" s="50" t="n">
        <f aca="false">'Sim Data'!$E$93</f>
        <v>0</v>
      </c>
      <c r="E27" s="50" t="n">
        <f aca="false">'Sim Data'!$G$93</f>
        <v>0</v>
      </c>
      <c r="F27" s="53" t="n">
        <f aca="false">'Sim Data'!$I$93</f>
        <v>203.4723</v>
      </c>
      <c r="G27" s="46" t="n">
        <f aca="false">D27*E27</f>
        <v>0</v>
      </c>
      <c r="H27" s="47" t="str">
        <f aca="false">IF(MAX(F27,G27)&lt;10,"≈ 0",IF(G27=0,"no new arrivals",F27/G27))</f>
        <v>no new arrivals</v>
      </c>
      <c r="I27" s="13" t="str">
        <f aca="false">IF(D27=0,"",IF(ISNUMBER(H27),IF(ABS(H27-1)&lt;=0.15,"Steady: L = λW holds",IF(H27&lt;1,"Filling up: arrivals outpace people leaving","Emptying: people from earlier slots still inside")),IF(G27=0,"Emptying: no new arrivals","Almost empty")))</f>
        <v/>
      </c>
    </row>
    <row r="28" customFormat="false" ht="21.75" hidden="false" customHeight="true" outlineLevel="0" collapsed="false">
      <c r="A28" s="13" t="s">
        <v>324</v>
      </c>
      <c r="B28" s="13" t="s">
        <v>325</v>
      </c>
      <c r="C28" s="26" t="s">
        <v>351</v>
      </c>
      <c r="D28" s="50" t="n">
        <f aca="false">'Sim Data'!$E$94</f>
        <v>0</v>
      </c>
      <c r="E28" s="50" t="n">
        <f aca="false">'Sim Data'!$G$94</f>
        <v>0</v>
      </c>
      <c r="F28" s="53" t="n">
        <f aca="false">'Sim Data'!$I$94</f>
        <v>36.8058</v>
      </c>
      <c r="G28" s="46" t="n">
        <f aca="false">D28*E28</f>
        <v>0</v>
      </c>
      <c r="H28" s="47" t="str">
        <f aca="false">IF(MAX(F28,G28)&lt;10,"≈ 0",IF(G28=0,"no new arrivals",F28/G28))</f>
        <v>no new arrivals</v>
      </c>
      <c r="I28" s="13" t="str">
        <f aca="false">IF(D28=0,"",IF(ISNUMBER(H28),IF(ABS(H28-1)&lt;=0.15,"Steady: L = λW holds",IF(H28&lt;1,"Filling up: arrivals outpace people leaving","Emptying: people from earlier slots still inside")),IF(G28=0,"Emptying: no new arrivals","Almost empty")))</f>
        <v/>
      </c>
    </row>
    <row r="29" customFormat="false" ht="21.75" hidden="false" customHeight="true" outlineLevel="0" collapsed="false">
      <c r="A29" s="13" t="s">
        <v>324</v>
      </c>
      <c r="B29" s="13" t="s">
        <v>326</v>
      </c>
      <c r="C29" s="26" t="s">
        <v>343</v>
      </c>
      <c r="D29" s="50" t="n">
        <f aca="false">'Sim Data'!$E$167</f>
        <v>0</v>
      </c>
      <c r="E29" s="50" t="n">
        <f aca="false">'Sim Data'!$G$167</f>
        <v>0</v>
      </c>
      <c r="F29" s="53" t="n">
        <f aca="false">'Sim Data'!$I$167</f>
        <v>0</v>
      </c>
      <c r="G29" s="46" t="n">
        <f aca="false">D29*E29</f>
        <v>0</v>
      </c>
      <c r="H29" s="47" t="str">
        <f aca="false">IF(MAX(F29,G29)&lt;10,"≈ 0",IF(G29=0,"no new arrivals",F29/G29))</f>
        <v>≈ 0</v>
      </c>
      <c r="I29" s="13" t="str">
        <f aca="false">IF(D29=0,"",IF(ISNUMBER(H29),IF(ABS(H29-1)&lt;=0.15,"Steady: L = λW holds",IF(H29&lt;1,"Filling up: arrivals outpace people leaving","Emptying: people from earlier slots still inside")),IF(G29=0,"Emptying: no new arrivals","Almost empty")))</f>
        <v/>
      </c>
    </row>
    <row r="30" customFormat="false" ht="21.75" hidden="false" customHeight="true" outlineLevel="0" collapsed="false">
      <c r="A30" s="13" t="s">
        <v>324</v>
      </c>
      <c r="B30" s="13" t="s">
        <v>326</v>
      </c>
      <c r="C30" s="26" t="s">
        <v>344</v>
      </c>
      <c r="D30" s="50" t="n">
        <f aca="false">'Sim Data'!$E$168</f>
        <v>0</v>
      </c>
      <c r="E30" s="50" t="n">
        <f aca="false">'Sim Data'!$G$168</f>
        <v>0</v>
      </c>
      <c r="F30" s="53" t="n">
        <f aca="false">'Sim Data'!$I$168</f>
        <v>0</v>
      </c>
      <c r="G30" s="46" t="n">
        <f aca="false">D30*E30</f>
        <v>0</v>
      </c>
      <c r="H30" s="47" t="str">
        <f aca="false">IF(MAX(F30,G30)&lt;10,"≈ 0",IF(G30=0,"no new arrivals",F30/G30))</f>
        <v>≈ 0</v>
      </c>
      <c r="I30" s="13" t="str">
        <f aca="false">IF(D30=0,"",IF(ISNUMBER(H30),IF(ABS(H30-1)&lt;=0.15,"Steady: L = λW holds",IF(H30&lt;1,"Filling up: arrivals outpace people leaving","Emptying: people from earlier slots still inside")),IF(G30=0,"Emptying: no new arrivals","Almost empty")))</f>
        <v/>
      </c>
    </row>
    <row r="31" customFormat="false" ht="21.75" hidden="false" customHeight="true" outlineLevel="0" collapsed="false">
      <c r="A31" s="13" t="s">
        <v>324</v>
      </c>
      <c r="B31" s="13" t="s">
        <v>326</v>
      </c>
      <c r="C31" s="26" t="s">
        <v>345</v>
      </c>
      <c r="D31" s="50" t="n">
        <f aca="false">'Sim Data'!$E$169</f>
        <v>0</v>
      </c>
      <c r="E31" s="50" t="n">
        <f aca="false">'Sim Data'!$G$169</f>
        <v>0</v>
      </c>
      <c r="F31" s="53" t="n">
        <f aca="false">'Sim Data'!$I$169</f>
        <v>0</v>
      </c>
      <c r="G31" s="46" t="n">
        <f aca="false">D31*E31</f>
        <v>0</v>
      </c>
      <c r="H31" s="47" t="str">
        <f aca="false">IF(MAX(F31,G31)&lt;10,"≈ 0",IF(G31=0,"no new arrivals",F31/G31))</f>
        <v>≈ 0</v>
      </c>
      <c r="I31" s="13" t="str">
        <f aca="false">IF(D31=0,"",IF(ISNUMBER(H31),IF(ABS(H31-1)&lt;=0.15,"Steady: L = λW holds",IF(H31&lt;1,"Filling up: arrivals outpace people leaving","Emptying: people from earlier slots still inside")),IF(G31=0,"Emptying: no new arrivals","Almost empty")))</f>
        <v/>
      </c>
    </row>
    <row r="32" customFormat="false" ht="21.75" hidden="false" customHeight="true" outlineLevel="0" collapsed="false">
      <c r="A32" s="13" t="s">
        <v>324</v>
      </c>
      <c r="B32" s="13" t="s">
        <v>326</v>
      </c>
      <c r="C32" s="26" t="s">
        <v>146</v>
      </c>
      <c r="D32" s="50" t="n">
        <f aca="false">'Sim Data'!$E$170</f>
        <v>3.88</v>
      </c>
      <c r="E32" s="50" t="n">
        <f aca="false">'Sim Data'!$G$170</f>
        <v>19.6409</v>
      </c>
      <c r="F32" s="53" t="n">
        <f aca="false">'Sim Data'!$I$170</f>
        <v>18.9765</v>
      </c>
      <c r="G32" s="46" t="n">
        <f aca="false">D32*E32</f>
        <v>76.206692</v>
      </c>
      <c r="H32" s="47" t="n">
        <f aca="false">IF(MAX(F32,G32)&lt;10,"≈ 0",IF(G32=0,"no new arrivals",F32/G32))</f>
        <v>0.249013564320572</v>
      </c>
      <c r="I32" s="13" t="str">
        <f aca="false">IF(D32=0,"",IF(ISNUMBER(H32),IF(ABS(H32-1)&lt;=0.15,"Steady: L = λW holds",IF(H32&lt;1,"Filling up: arrivals outpace people leaving","Emptying: people from earlier slots still inside")),IF(G32=0,"Emptying: no new arrivals","Almost empty")))</f>
        <v>Filling up: arrivals outpace people leaving</v>
      </c>
    </row>
    <row r="33" customFormat="false" ht="21.75" hidden="false" customHeight="true" outlineLevel="0" collapsed="false">
      <c r="A33" s="13" t="s">
        <v>324</v>
      </c>
      <c r="B33" s="13" t="s">
        <v>326</v>
      </c>
      <c r="C33" s="26" t="s">
        <v>346</v>
      </c>
      <c r="D33" s="50" t="n">
        <f aca="false">'Sim Data'!$E$171</f>
        <v>4.64</v>
      </c>
      <c r="E33" s="50" t="n">
        <f aca="false">'Sim Data'!$G$171</f>
        <v>19.7513</v>
      </c>
      <c r="F33" s="53" t="n">
        <f aca="false">'Sim Data'!$I$171</f>
        <v>61.8597</v>
      </c>
      <c r="G33" s="46" t="n">
        <f aca="false">D33*E33</f>
        <v>91.646032</v>
      </c>
      <c r="H33" s="47" t="n">
        <f aca="false">IF(MAX(F33,G33)&lt;10,"≈ 0",IF(G33=0,"no new arrivals",F33/G33))</f>
        <v>0.674985033721918</v>
      </c>
      <c r="I33" s="13" t="str">
        <f aca="false">IF(D33=0,"",IF(ISNUMBER(H33),IF(ABS(H33-1)&lt;=0.15,"Steady: L = λW holds",IF(H33&lt;1,"Filling up: arrivals outpace people leaving","Emptying: people from earlier slots still inside")),IF(G33=0,"Emptying: no new arrivals","Almost empty")))</f>
        <v>Filling up: arrivals outpace people leaving</v>
      </c>
    </row>
    <row r="34" customFormat="false" ht="21.75" hidden="false" customHeight="true" outlineLevel="0" collapsed="false">
      <c r="A34" s="13" t="s">
        <v>324</v>
      </c>
      <c r="B34" s="13" t="s">
        <v>326</v>
      </c>
      <c r="C34" s="26" t="s">
        <v>347</v>
      </c>
      <c r="D34" s="50" t="n">
        <f aca="false">'Sim Data'!$E$172</f>
        <v>4.78</v>
      </c>
      <c r="E34" s="50" t="n">
        <f aca="false">'Sim Data'!$G$172</f>
        <v>19.6685</v>
      </c>
      <c r="F34" s="53" t="n">
        <f aca="false">'Sim Data'!$I$172</f>
        <v>89.1915</v>
      </c>
      <c r="G34" s="46" t="n">
        <f aca="false">D34*E34</f>
        <v>94.01543</v>
      </c>
      <c r="H34" s="47" t="n">
        <f aca="false">IF(MAX(F34,G34)&lt;10,"≈ 0",IF(G34=0,"no new arrivals",F34/G34))</f>
        <v>0.948690018223604</v>
      </c>
      <c r="I34" s="13" t="str">
        <f aca="false">IF(D34=0,"",IF(ISNUMBER(H34),IF(ABS(H34-1)&lt;=0.15,"Steady: L = λW holds",IF(H34&lt;1,"Filling up: arrivals outpace people leaving","Emptying: people from earlier slots still inside")),IF(G34=0,"Emptying: no new arrivals","Almost empty")))</f>
        <v>Steady: L = λW holds</v>
      </c>
    </row>
    <row r="35" customFormat="false" ht="21.75" hidden="false" customHeight="true" outlineLevel="0" collapsed="false">
      <c r="A35" s="13" t="s">
        <v>324</v>
      </c>
      <c r="B35" s="13" t="s">
        <v>326</v>
      </c>
      <c r="C35" s="26" t="s">
        <v>155</v>
      </c>
      <c r="D35" s="50" t="n">
        <f aca="false">'Sim Data'!$E$173</f>
        <v>5.73</v>
      </c>
      <c r="E35" s="50" t="n">
        <f aca="false">'Sim Data'!$G$173</f>
        <v>19.6541</v>
      </c>
      <c r="F35" s="53" t="n">
        <f aca="false">'Sim Data'!$I$173</f>
        <v>98.6402</v>
      </c>
      <c r="G35" s="46" t="n">
        <f aca="false">D35*E35</f>
        <v>112.617993</v>
      </c>
      <c r="H35" s="47" t="n">
        <f aca="false">IF(MAX(F35,G35)&lt;10,"≈ 0",IF(G35=0,"no new arrivals",F35/G35))</f>
        <v>0.875883128196042</v>
      </c>
      <c r="I35" s="13" t="str">
        <f aca="false">IF(D35=0,"",IF(ISNUMBER(H35),IF(ABS(H35-1)&lt;=0.15,"Steady: L = λW holds",IF(H35&lt;1,"Filling up: arrivals outpace people leaving","Emptying: people from earlier slots still inside")),IF(G35=0,"Emptying: no new arrivals","Almost empty")))</f>
        <v>Steady: L = λW holds</v>
      </c>
    </row>
    <row r="36" customFormat="false" ht="21.75" hidden="false" customHeight="true" outlineLevel="0" collapsed="false">
      <c r="A36" s="13" t="s">
        <v>324</v>
      </c>
      <c r="B36" s="13" t="s">
        <v>326</v>
      </c>
      <c r="C36" s="26" t="s">
        <v>159</v>
      </c>
      <c r="D36" s="50" t="n">
        <f aca="false">'Sim Data'!$E$174</f>
        <v>5.36</v>
      </c>
      <c r="E36" s="50" t="n">
        <f aca="false">'Sim Data'!$G$174</f>
        <v>19.744</v>
      </c>
      <c r="F36" s="53" t="n">
        <f aca="false">'Sim Data'!$I$174</f>
        <v>105.8951</v>
      </c>
      <c r="G36" s="46" t="n">
        <f aca="false">D36*E36</f>
        <v>105.82784</v>
      </c>
      <c r="H36" s="47" t="n">
        <f aca="false">IF(MAX(F36,G36)&lt;10,"≈ 0",IF(G36=0,"no new arrivals",F36/G36))</f>
        <v>1.00063556054815</v>
      </c>
      <c r="I36" s="13" t="str">
        <f aca="false">IF(D36=0,"",IF(ISNUMBER(H36),IF(ABS(H36-1)&lt;=0.15,"Steady: L = λW holds",IF(H36&lt;1,"Filling up: arrivals outpace people leaving","Emptying: people from earlier slots still inside")),IF(G36=0,"Emptying: no new arrivals","Almost empty")))</f>
        <v>Steady: L = λW holds</v>
      </c>
    </row>
    <row r="37" customFormat="false" ht="21.75" hidden="false" customHeight="true" outlineLevel="0" collapsed="false">
      <c r="A37" s="13" t="s">
        <v>324</v>
      </c>
      <c r="B37" s="13" t="s">
        <v>326</v>
      </c>
      <c r="C37" s="26" t="s">
        <v>162</v>
      </c>
      <c r="D37" s="50" t="n">
        <f aca="false">'Sim Data'!$E$175</f>
        <v>4.375</v>
      </c>
      <c r="E37" s="50" t="n">
        <f aca="false">'Sim Data'!$G$175</f>
        <v>19.6792</v>
      </c>
      <c r="F37" s="53" t="n">
        <f aca="false">'Sim Data'!$I$175</f>
        <v>101.8995</v>
      </c>
      <c r="G37" s="46" t="n">
        <f aca="false">D37*E37</f>
        <v>86.0965</v>
      </c>
      <c r="H37" s="47" t="n">
        <f aca="false">IF(MAX(F37,G37)&lt;10,"≈ 0",IF(G37=0,"no new arrivals",F37/G37))</f>
        <v>1.18354985394296</v>
      </c>
      <c r="I37" s="13" t="str">
        <f aca="false">IF(D37=0,"",IF(ISNUMBER(H37),IF(ABS(H37-1)&lt;=0.15,"Steady: L = λW holds",IF(H37&lt;1,"Filling up: arrivals outpace people leaving","Emptying: people from earlier slots still inside")),IF(G37=0,"Emptying: no new arrivals","Almost empty")))</f>
        <v>Emptying: people from earlier slots still inside</v>
      </c>
    </row>
    <row r="38" customFormat="false" ht="21.75" hidden="false" customHeight="true" outlineLevel="0" collapsed="false">
      <c r="A38" s="13" t="s">
        <v>324</v>
      </c>
      <c r="B38" s="13" t="s">
        <v>326</v>
      </c>
      <c r="C38" s="26" t="s">
        <v>147</v>
      </c>
      <c r="D38" s="50" t="n">
        <f aca="false">'Sim Data'!$E$176</f>
        <v>5.67</v>
      </c>
      <c r="E38" s="50" t="n">
        <f aca="false">'Sim Data'!$G$176</f>
        <v>19.6539</v>
      </c>
      <c r="F38" s="53" t="n">
        <f aca="false">'Sim Data'!$I$176</f>
        <v>93.8852</v>
      </c>
      <c r="G38" s="46" t="n">
        <f aca="false">D38*E38</f>
        <v>111.437613</v>
      </c>
      <c r="H38" s="47" t="n">
        <f aca="false">IF(MAX(F38,G38)&lt;10,"≈ 0",IF(G38=0,"no new arrivals",F38/G38))</f>
        <v>0.842491125505353</v>
      </c>
      <c r="I38" s="13" t="str">
        <f aca="false">IF(D38=0,"",IF(ISNUMBER(H38),IF(ABS(H38-1)&lt;=0.15,"Steady: L = λW holds",IF(H38&lt;1,"Filling up: arrivals outpace people leaving","Emptying: people from earlier slots still inside")),IF(G38=0,"Emptying: no new arrivals","Almost empty")))</f>
        <v>Filling up: arrivals outpace people leaving</v>
      </c>
    </row>
    <row r="39" customFormat="false" ht="21.75" hidden="false" customHeight="true" outlineLevel="0" collapsed="false">
      <c r="A39" s="13" t="s">
        <v>324</v>
      </c>
      <c r="B39" s="13" t="s">
        <v>326</v>
      </c>
      <c r="C39" s="26" t="s">
        <v>348</v>
      </c>
      <c r="D39" s="50" t="n">
        <f aca="false">'Sim Data'!$E$177</f>
        <v>7.435</v>
      </c>
      <c r="E39" s="50" t="n">
        <f aca="false">'Sim Data'!$G$177</f>
        <v>19.6625</v>
      </c>
      <c r="F39" s="53" t="n">
        <f aca="false">'Sim Data'!$I$177</f>
        <v>113.8455</v>
      </c>
      <c r="G39" s="46" t="n">
        <f aca="false">D39*E39</f>
        <v>146.1906875</v>
      </c>
      <c r="H39" s="47" t="n">
        <f aca="false">IF(MAX(F39,G39)&lt;10,"≈ 0",IF(G39=0,"no new arrivals",F39/G39))</f>
        <v>0.778746594238433</v>
      </c>
      <c r="I39" s="13" t="str">
        <f aca="false">IF(D39=0,"",IF(ISNUMBER(H39),IF(ABS(H39-1)&lt;=0.15,"Steady: L = λW holds",IF(H39&lt;1,"Filling up: arrivals outpace people leaving","Emptying: people from earlier slots still inside")),IF(G39=0,"Emptying: no new arrivals","Almost empty")))</f>
        <v>Filling up: arrivals outpace people leaving</v>
      </c>
    </row>
    <row r="40" customFormat="false" ht="21.75" hidden="false" customHeight="true" outlineLevel="0" collapsed="false">
      <c r="A40" s="13" t="s">
        <v>324</v>
      </c>
      <c r="B40" s="13" t="s">
        <v>326</v>
      </c>
      <c r="C40" s="26" t="s">
        <v>349</v>
      </c>
      <c r="D40" s="50" t="n">
        <f aca="false">'Sim Data'!$E$178</f>
        <v>7.35</v>
      </c>
      <c r="E40" s="50" t="n">
        <f aca="false">'Sim Data'!$G$178</f>
        <v>19.6373</v>
      </c>
      <c r="F40" s="53" t="n">
        <f aca="false">'Sim Data'!$I$178</f>
        <v>141.9044</v>
      </c>
      <c r="G40" s="46" t="n">
        <f aca="false">D40*E40</f>
        <v>144.334155</v>
      </c>
      <c r="H40" s="47" t="n">
        <f aca="false">IF(MAX(F40,G40)&lt;10,"≈ 0",IF(G40=0,"no new arrivals",F40/G40))</f>
        <v>0.983165765580573</v>
      </c>
      <c r="I40" s="13" t="str">
        <f aca="false">IF(D40=0,"",IF(ISNUMBER(H40),IF(ABS(H40-1)&lt;=0.15,"Steady: L = λW holds",IF(H40&lt;1,"Filling up: arrivals outpace people leaving","Emptying: people from earlier slots still inside")),IF(G40=0,"Emptying: no new arrivals","Almost empty")))</f>
        <v>Steady: L = λW holds</v>
      </c>
    </row>
    <row r="41" customFormat="false" ht="21.75" hidden="false" customHeight="true" outlineLevel="0" collapsed="false">
      <c r="A41" s="13" t="s">
        <v>324</v>
      </c>
      <c r="B41" s="13" t="s">
        <v>326</v>
      </c>
      <c r="C41" s="26" t="s">
        <v>156</v>
      </c>
      <c r="D41" s="50" t="n">
        <f aca="false">'Sim Data'!$E$179</f>
        <v>5.32</v>
      </c>
      <c r="E41" s="50" t="n">
        <f aca="false">'Sim Data'!$G$179</f>
        <v>19.5774</v>
      </c>
      <c r="F41" s="53" t="n">
        <f aca="false">'Sim Data'!$I$179</f>
        <v>136.2155</v>
      </c>
      <c r="G41" s="46" t="n">
        <f aca="false">D41*E41</f>
        <v>104.151768</v>
      </c>
      <c r="H41" s="47" t="n">
        <f aca="false">IF(MAX(F41,G41)&lt;10,"≈ 0",IF(G41=0,"no new arrivals",F41/G41))</f>
        <v>1.30785585896151</v>
      </c>
      <c r="I41" s="13" t="str">
        <f aca="false">IF(D41=0,"",IF(ISNUMBER(H41),IF(ABS(H41-1)&lt;=0.15,"Steady: L = λW holds",IF(H41&lt;1,"Filling up: arrivals outpace people leaving","Emptying: people from earlier slots still inside")),IF(G41=0,"Emptying: no new arrivals","Almost empty")))</f>
        <v>Emptying: people from earlier slots still inside</v>
      </c>
    </row>
    <row r="42" customFormat="false" ht="21.75" hidden="false" customHeight="true" outlineLevel="0" collapsed="false">
      <c r="A42" s="13" t="s">
        <v>324</v>
      </c>
      <c r="B42" s="13" t="s">
        <v>326</v>
      </c>
      <c r="C42" s="26" t="s">
        <v>160</v>
      </c>
      <c r="D42" s="50" t="n">
        <f aca="false">'Sim Data'!$E$180</f>
        <v>3.5</v>
      </c>
      <c r="E42" s="50" t="n">
        <f aca="false">'Sim Data'!$G$180</f>
        <v>19.628</v>
      </c>
      <c r="F42" s="53" t="n">
        <f aca="false">'Sim Data'!$I$180</f>
        <v>105.9439</v>
      </c>
      <c r="G42" s="46" t="n">
        <f aca="false">D42*E42</f>
        <v>68.698</v>
      </c>
      <c r="H42" s="47" t="n">
        <f aca="false">IF(MAX(F42,G42)&lt;10,"≈ 0",IF(G42=0,"no new arrivals",F42/G42))</f>
        <v>1.54216862208507</v>
      </c>
      <c r="I42" s="13" t="str">
        <f aca="false">IF(D42=0,"",IF(ISNUMBER(H42),IF(ABS(H42-1)&lt;=0.15,"Steady: L = λW holds",IF(H42&lt;1,"Filling up: arrivals outpace people leaving","Emptying: people from earlier slots still inside")),IF(G42=0,"Emptying: no new arrivals","Almost empty")))</f>
        <v>Emptying: people from earlier slots still inside</v>
      </c>
    </row>
    <row r="43" customFormat="false" ht="21.75" hidden="false" customHeight="true" outlineLevel="0" collapsed="false">
      <c r="A43" s="13" t="s">
        <v>324</v>
      </c>
      <c r="B43" s="13" t="s">
        <v>326</v>
      </c>
      <c r="C43" s="26" t="s">
        <v>163</v>
      </c>
      <c r="D43" s="50" t="n">
        <f aca="false">'Sim Data'!$E$181</f>
        <v>1.825</v>
      </c>
      <c r="E43" s="50" t="n">
        <f aca="false">'Sim Data'!$G$181</f>
        <v>19.5229</v>
      </c>
      <c r="F43" s="53" t="n">
        <f aca="false">'Sim Data'!$I$181</f>
        <v>68.1935</v>
      </c>
      <c r="G43" s="46" t="n">
        <f aca="false">D43*E43</f>
        <v>35.6292925</v>
      </c>
      <c r="H43" s="47" t="n">
        <f aca="false">IF(MAX(F43,G43)&lt;10,"≈ 0",IF(G43=0,"no new arrivals",F43/G43))</f>
        <v>1.9139728918277</v>
      </c>
      <c r="I43" s="13" t="str">
        <f aca="false">IF(D43=0,"",IF(ISNUMBER(H43),IF(ABS(H43-1)&lt;=0.15,"Steady: L = λW holds",IF(H43&lt;1,"Filling up: arrivals outpace people leaving","Emptying: people from earlier slots still inside")),IF(G43=0,"Emptying: no new arrivals","Almost empty")))</f>
        <v>Emptying: people from earlier slots still inside</v>
      </c>
    </row>
    <row r="44" customFormat="false" ht="21.75" hidden="false" customHeight="true" outlineLevel="0" collapsed="false">
      <c r="A44" s="13" t="s">
        <v>324</v>
      </c>
      <c r="B44" s="13" t="s">
        <v>326</v>
      </c>
      <c r="C44" s="26" t="s">
        <v>150</v>
      </c>
      <c r="D44" s="50" t="n">
        <f aca="false">'Sim Data'!$E$182</f>
        <v>0</v>
      </c>
      <c r="E44" s="50" t="n">
        <f aca="false">'Sim Data'!$G$182</f>
        <v>0</v>
      </c>
      <c r="F44" s="53" t="n">
        <f aca="false">'Sim Data'!$I$182</f>
        <v>32.5459</v>
      </c>
      <c r="G44" s="46" t="n">
        <f aca="false">D44*E44</f>
        <v>0</v>
      </c>
      <c r="H44" s="47" t="str">
        <f aca="false">IF(MAX(F44,G44)&lt;10,"≈ 0",IF(G44=0,"no new arrivals",F44/G44))</f>
        <v>no new arrivals</v>
      </c>
      <c r="I44" s="13" t="str">
        <f aca="false">IF(D44=0,"",IF(ISNUMBER(H44),IF(ABS(H44-1)&lt;=0.15,"Steady: L = λW holds",IF(H44&lt;1,"Filling up: arrivals outpace people leaving","Emptying: people from earlier slots still inside")),IF(G44=0,"Emptying: no new arrivals","Almost empty")))</f>
        <v/>
      </c>
    </row>
    <row r="45" customFormat="false" ht="21.75" hidden="false" customHeight="true" outlineLevel="0" collapsed="false">
      <c r="A45" s="13" t="s">
        <v>324</v>
      </c>
      <c r="B45" s="13" t="s">
        <v>326</v>
      </c>
      <c r="C45" s="26" t="s">
        <v>350</v>
      </c>
      <c r="D45" s="50" t="n">
        <f aca="false">'Sim Data'!$E$183</f>
        <v>0</v>
      </c>
      <c r="E45" s="50" t="n">
        <f aca="false">'Sim Data'!$G$183</f>
        <v>0</v>
      </c>
      <c r="F45" s="53" t="n">
        <f aca="false">'Sim Data'!$I$183</f>
        <v>7.8249</v>
      </c>
      <c r="G45" s="46" t="n">
        <f aca="false">D45*E45</f>
        <v>0</v>
      </c>
      <c r="H45" s="47" t="str">
        <f aca="false">IF(MAX(F45,G45)&lt;10,"≈ 0",IF(G45=0,"no new arrivals",F45/G45))</f>
        <v>≈ 0</v>
      </c>
      <c r="I45" s="13" t="str">
        <f aca="false">IF(D45=0,"",IF(ISNUMBER(H45),IF(ABS(H45-1)&lt;=0.15,"Steady: L = λW holds",IF(H45&lt;1,"Filling up: arrivals outpace people leaving","Emptying: people from earlier slots still inside")),IF(G45=0,"Emptying: no new arrivals","Almost empty")))</f>
        <v/>
      </c>
    </row>
    <row r="46" customFormat="false" ht="21.75" hidden="false" customHeight="true" outlineLevel="0" collapsed="false">
      <c r="A46" s="13" t="s">
        <v>324</v>
      </c>
      <c r="B46" s="13" t="s">
        <v>326</v>
      </c>
      <c r="C46" s="26" t="s">
        <v>351</v>
      </c>
      <c r="D46" s="50" t="n">
        <f aca="false">'Sim Data'!$E$184</f>
        <v>0</v>
      </c>
      <c r="E46" s="50" t="n">
        <f aca="false">'Sim Data'!$G$184</f>
        <v>0</v>
      </c>
      <c r="F46" s="53" t="n">
        <f aca="false">'Sim Data'!$I$184</f>
        <v>0.0312</v>
      </c>
      <c r="G46" s="46" t="n">
        <f aca="false">D46*E46</f>
        <v>0</v>
      </c>
      <c r="H46" s="47" t="str">
        <f aca="false">IF(MAX(F46,G46)&lt;10,"≈ 0",IF(G46=0,"no new arrivals",F46/G46))</f>
        <v>≈ 0</v>
      </c>
      <c r="I46" s="13" t="str">
        <f aca="false">IF(D46=0,"",IF(ISNUMBER(H46),IF(ABS(H46-1)&lt;=0.15,"Steady: L = λW holds",IF(H46&lt;1,"Filling up: arrivals outpace people leaving","Emptying: people from earlier slots still inside")),IF(G46=0,"Emptying: no new arrivals","Almost empty")))</f>
        <v/>
      </c>
    </row>
    <row r="47" customFormat="false" ht="21.75" hidden="false" customHeight="true" outlineLevel="0" collapsed="false">
      <c r="A47" s="13" t="s">
        <v>327</v>
      </c>
      <c r="B47" s="13" t="s">
        <v>325</v>
      </c>
      <c r="C47" s="26" t="s">
        <v>343</v>
      </c>
      <c r="D47" s="50" t="n">
        <f aca="false">'Sim Data'!$E$257</f>
        <v>0</v>
      </c>
      <c r="E47" s="50" t="n">
        <f aca="false">'Sim Data'!$G$257</f>
        <v>0</v>
      </c>
      <c r="F47" s="53" t="n">
        <f aca="false">'Sim Data'!$I$257</f>
        <v>0</v>
      </c>
      <c r="G47" s="46" t="n">
        <f aca="false">D47*E47</f>
        <v>0</v>
      </c>
      <c r="H47" s="47" t="str">
        <f aca="false">IF(MAX(F47,G47)&lt;10,"≈ 0",IF(G47=0,"no new arrivals",F47/G47))</f>
        <v>≈ 0</v>
      </c>
      <c r="I47" s="13" t="str">
        <f aca="false">IF(D47=0,"",IF(ISNUMBER(H47),IF(ABS(H47-1)&lt;=0.15,"Steady: L = λW holds",IF(H47&lt;1,"Filling up: arrivals outpace people leaving","Emptying: people from earlier slots still inside")),IF(G47=0,"Emptying: no new arrivals","Almost empty")))</f>
        <v/>
      </c>
    </row>
    <row r="48" customFormat="false" ht="21.75" hidden="false" customHeight="true" outlineLevel="0" collapsed="false">
      <c r="A48" s="13" t="s">
        <v>327</v>
      </c>
      <c r="B48" s="13" t="s">
        <v>325</v>
      </c>
      <c r="C48" s="26" t="s">
        <v>344</v>
      </c>
      <c r="D48" s="50" t="n">
        <f aca="false">'Sim Data'!$E$258</f>
        <v>0</v>
      </c>
      <c r="E48" s="50" t="n">
        <f aca="false">'Sim Data'!$G$258</f>
        <v>0</v>
      </c>
      <c r="F48" s="53" t="n">
        <f aca="false">'Sim Data'!$I$258</f>
        <v>0</v>
      </c>
      <c r="G48" s="46" t="n">
        <f aca="false">D48*E48</f>
        <v>0</v>
      </c>
      <c r="H48" s="47" t="str">
        <f aca="false">IF(MAX(F48,G48)&lt;10,"≈ 0",IF(G48=0,"no new arrivals",F48/G48))</f>
        <v>≈ 0</v>
      </c>
      <c r="I48" s="13" t="str">
        <f aca="false">IF(D48=0,"",IF(ISNUMBER(H48),IF(ABS(H48-1)&lt;=0.15,"Steady: L = λW holds",IF(H48&lt;1,"Filling up: arrivals outpace people leaving","Emptying: people from earlier slots still inside")),IF(G48=0,"Emptying: no new arrivals","Almost empty")))</f>
        <v/>
      </c>
    </row>
    <row r="49" customFormat="false" ht="21.75" hidden="false" customHeight="true" outlineLevel="0" collapsed="false">
      <c r="A49" s="13" t="s">
        <v>327</v>
      </c>
      <c r="B49" s="13" t="s">
        <v>325</v>
      </c>
      <c r="C49" s="26" t="s">
        <v>345</v>
      </c>
      <c r="D49" s="50" t="n">
        <f aca="false">'Sim Data'!$E$259</f>
        <v>0</v>
      </c>
      <c r="E49" s="50" t="n">
        <f aca="false">'Sim Data'!$G$259</f>
        <v>0</v>
      </c>
      <c r="F49" s="53" t="n">
        <f aca="false">'Sim Data'!$I$259</f>
        <v>0</v>
      </c>
      <c r="G49" s="46" t="n">
        <f aca="false">D49*E49</f>
        <v>0</v>
      </c>
      <c r="H49" s="47" t="str">
        <f aca="false">IF(MAX(F49,G49)&lt;10,"≈ 0",IF(G49=0,"no new arrivals",F49/G49))</f>
        <v>≈ 0</v>
      </c>
      <c r="I49" s="13" t="str">
        <f aca="false">IF(D49=0,"",IF(ISNUMBER(H49),IF(ABS(H49-1)&lt;=0.15,"Steady: L = λW holds",IF(H49&lt;1,"Filling up: arrivals outpace people leaving","Emptying: people from earlier slots still inside")),IF(G49=0,"Emptying: no new arrivals","Almost empty")))</f>
        <v/>
      </c>
    </row>
    <row r="50" customFormat="false" ht="21.75" hidden="false" customHeight="true" outlineLevel="0" collapsed="false">
      <c r="A50" s="13" t="s">
        <v>327</v>
      </c>
      <c r="B50" s="13" t="s">
        <v>325</v>
      </c>
      <c r="C50" s="26" t="s">
        <v>146</v>
      </c>
      <c r="D50" s="50" t="n">
        <f aca="false">'Sim Data'!$E$260</f>
        <v>14.52</v>
      </c>
      <c r="E50" s="50" t="n">
        <f aca="false">'Sim Data'!$G$260</f>
        <v>19.7479</v>
      </c>
      <c r="F50" s="53" t="n">
        <f aca="false">'Sim Data'!$I$260</f>
        <v>66.9728</v>
      </c>
      <c r="G50" s="46" t="n">
        <f aca="false">D50*E50</f>
        <v>286.739508</v>
      </c>
      <c r="H50" s="47" t="n">
        <f aca="false">IF(MAX(F50,G50)&lt;10,"≈ 0",IF(G50=0,"no new arrivals",F50/G50))</f>
        <v>0.233566697756906</v>
      </c>
      <c r="I50" s="13" t="str">
        <f aca="false">IF(D50=0,"",IF(ISNUMBER(H50),IF(ABS(H50-1)&lt;=0.15,"Steady: L = λW holds",IF(H50&lt;1,"Filling up: arrivals outpace people leaving","Emptying: people from earlier slots still inside")),IF(G50=0,"Emptying: no new arrivals","Almost empty")))</f>
        <v>Filling up: arrivals outpace people leaving</v>
      </c>
    </row>
    <row r="51" customFormat="false" ht="21.75" hidden="false" customHeight="true" outlineLevel="0" collapsed="false">
      <c r="A51" s="13" t="s">
        <v>327</v>
      </c>
      <c r="B51" s="13" t="s">
        <v>325</v>
      </c>
      <c r="C51" s="26" t="s">
        <v>346</v>
      </c>
      <c r="D51" s="50" t="n">
        <f aca="false">'Sim Data'!$E$261</f>
        <v>18.77</v>
      </c>
      <c r="E51" s="50" t="n">
        <f aca="false">'Sim Data'!$G$261</f>
        <v>19.9237</v>
      </c>
      <c r="F51" s="53" t="n">
        <f aca="false">'Sim Data'!$I$261</f>
        <v>235.861</v>
      </c>
      <c r="G51" s="46" t="n">
        <f aca="false">D51*E51</f>
        <v>373.967849</v>
      </c>
      <c r="H51" s="47" t="n">
        <f aca="false">IF(MAX(F51,G51)&lt;10,"≈ 0",IF(G51=0,"no new arrivals",F51/G51))</f>
        <v>0.630698603183933</v>
      </c>
      <c r="I51" s="13" t="str">
        <f aca="false">IF(D51=0,"",IF(ISNUMBER(H51),IF(ABS(H51-1)&lt;=0.15,"Steady: L = λW holds",IF(H51&lt;1,"Filling up: arrivals outpace people leaving","Emptying: people from earlier slots still inside")),IF(G51=0,"Emptying: no new arrivals","Almost empty")))</f>
        <v>Filling up: arrivals outpace people leaving</v>
      </c>
    </row>
    <row r="52" customFormat="false" ht="21.75" hidden="false" customHeight="true" outlineLevel="0" collapsed="false">
      <c r="A52" s="13" t="s">
        <v>327</v>
      </c>
      <c r="B52" s="13" t="s">
        <v>325</v>
      </c>
      <c r="C52" s="26" t="s">
        <v>347</v>
      </c>
      <c r="D52" s="50" t="n">
        <f aca="false">'Sim Data'!$E$262</f>
        <v>18.595</v>
      </c>
      <c r="E52" s="50" t="n">
        <f aca="false">'Sim Data'!$G$262</f>
        <v>20.1778</v>
      </c>
      <c r="F52" s="53" t="n">
        <f aca="false">'Sim Data'!$I$262</f>
        <v>356.943</v>
      </c>
      <c r="G52" s="46" t="n">
        <f aca="false">D52*E52</f>
        <v>375.206191</v>
      </c>
      <c r="H52" s="47" t="n">
        <f aca="false">IF(MAX(F52,G52)&lt;10,"≈ 0",IF(G52=0,"no new arrivals",F52/G52))</f>
        <v>0.951324920968588</v>
      </c>
      <c r="I52" s="13" t="str">
        <f aca="false">IF(D52=0,"",IF(ISNUMBER(H52),IF(ABS(H52-1)&lt;=0.15,"Steady: L = λW holds",IF(H52&lt;1,"Filling up: arrivals outpace people leaving","Emptying: people from earlier slots still inside")),IF(G52=0,"Emptying: no new arrivals","Almost empty")))</f>
        <v>Steady: L = λW holds</v>
      </c>
    </row>
    <row r="53" customFormat="false" ht="21.75" hidden="false" customHeight="true" outlineLevel="0" collapsed="false">
      <c r="A53" s="13" t="s">
        <v>327</v>
      </c>
      <c r="B53" s="13" t="s">
        <v>325</v>
      </c>
      <c r="C53" s="26" t="s">
        <v>155</v>
      </c>
      <c r="D53" s="50" t="n">
        <f aca="false">'Sim Data'!$E$263</f>
        <v>21.645</v>
      </c>
      <c r="E53" s="50" t="n">
        <f aca="false">'Sim Data'!$G$263</f>
        <v>20.6771</v>
      </c>
      <c r="F53" s="53" t="n">
        <f aca="false">'Sim Data'!$I$263</f>
        <v>391.6819</v>
      </c>
      <c r="G53" s="46" t="n">
        <f aca="false">D53*E53</f>
        <v>447.5558295</v>
      </c>
      <c r="H53" s="47" t="n">
        <f aca="false">IF(MAX(F53,G53)&lt;10,"≈ 0",IF(G53=0,"no new arrivals",F53/G53))</f>
        <v>0.875157632149667</v>
      </c>
      <c r="I53" s="13" t="str">
        <f aca="false">IF(D53=0,"",IF(ISNUMBER(H53),IF(ABS(H53-1)&lt;=0.15,"Steady: L = λW holds",IF(H53&lt;1,"Filling up: arrivals outpace people leaving","Emptying: people from earlier slots still inside")),IF(G53=0,"Emptying: no new arrivals","Almost empty")))</f>
        <v>Steady: L = λW holds</v>
      </c>
    </row>
    <row r="54" customFormat="false" ht="21.75" hidden="false" customHeight="true" outlineLevel="0" collapsed="false">
      <c r="A54" s="13" t="s">
        <v>327</v>
      </c>
      <c r="B54" s="13" t="s">
        <v>325</v>
      </c>
      <c r="C54" s="26" t="s">
        <v>159</v>
      </c>
      <c r="D54" s="50" t="n">
        <f aca="false">'Sim Data'!$E$264</f>
        <v>18.74</v>
      </c>
      <c r="E54" s="50" t="n">
        <f aca="false">'Sim Data'!$G$264</f>
        <v>20.7982</v>
      </c>
      <c r="F54" s="53" t="n">
        <f aca="false">'Sim Data'!$I$264</f>
        <v>405.2623</v>
      </c>
      <c r="G54" s="46" t="n">
        <f aca="false">D54*E54</f>
        <v>389.758268</v>
      </c>
      <c r="H54" s="47" t="n">
        <f aca="false">IF(MAX(F54,G54)&lt;10,"≈ 0",IF(G54=0,"no new arrivals",F54/G54))</f>
        <v>1.03977858399145</v>
      </c>
      <c r="I54" s="13" t="str">
        <f aca="false">IF(D54=0,"",IF(ISNUMBER(H54),IF(ABS(H54-1)&lt;=0.15,"Steady: L = λW holds",IF(H54&lt;1,"Filling up: arrivals outpace people leaving","Emptying: people from earlier slots still inside")),IF(G54=0,"Emptying: no new arrivals","Almost empty")))</f>
        <v>Steady: L = λW holds</v>
      </c>
    </row>
    <row r="55" customFormat="false" ht="21.75" hidden="false" customHeight="true" outlineLevel="0" collapsed="false">
      <c r="A55" s="13" t="s">
        <v>327</v>
      </c>
      <c r="B55" s="13" t="s">
        <v>325</v>
      </c>
      <c r="C55" s="26" t="s">
        <v>162</v>
      </c>
      <c r="D55" s="50" t="n">
        <f aca="false">'Sim Data'!$E$265</f>
        <v>15.905</v>
      </c>
      <c r="E55" s="50" t="n">
        <f aca="false">'Sim Data'!$G$265</f>
        <v>20.5059</v>
      </c>
      <c r="F55" s="53" t="n">
        <f aca="false">'Sim Data'!$I$265</f>
        <v>388.0646</v>
      </c>
      <c r="G55" s="46" t="n">
        <f aca="false">D55*E55</f>
        <v>326.1463395</v>
      </c>
      <c r="H55" s="47" t="n">
        <f aca="false">IF(MAX(F55,G55)&lt;10,"≈ 0",IF(G55=0,"no new arrivals",F55/G55))</f>
        <v>1.18984809271483</v>
      </c>
      <c r="I55" s="13" t="str">
        <f aca="false">IF(D55=0,"",IF(ISNUMBER(H55),IF(ABS(H55-1)&lt;=0.15,"Steady: L = λW holds",IF(H55&lt;1,"Filling up: arrivals outpace people leaving","Emptying: people from earlier slots still inside")),IF(G55=0,"Emptying: no new arrivals","Almost empty")))</f>
        <v>Emptying: people from earlier slots still inside</v>
      </c>
    </row>
    <row r="56" customFormat="false" ht="21.75" hidden="false" customHeight="true" outlineLevel="0" collapsed="false">
      <c r="A56" s="13" t="s">
        <v>327</v>
      </c>
      <c r="B56" s="13" t="s">
        <v>325</v>
      </c>
      <c r="C56" s="26" t="s">
        <v>147</v>
      </c>
      <c r="D56" s="50" t="n">
        <f aca="false">'Sim Data'!$E$266</f>
        <v>21.265</v>
      </c>
      <c r="E56" s="50" t="n">
        <f aca="false">'Sim Data'!$G$266</f>
        <v>20.384</v>
      </c>
      <c r="F56" s="53" t="n">
        <f aca="false">'Sim Data'!$I$266</f>
        <v>364.9465</v>
      </c>
      <c r="G56" s="46" t="n">
        <f aca="false">D56*E56</f>
        <v>433.46576</v>
      </c>
      <c r="H56" s="47" t="n">
        <f aca="false">IF(MAX(F56,G56)&lt;10,"≈ 0",IF(G56=0,"no new arrivals",F56/G56))</f>
        <v>0.841926937897009</v>
      </c>
      <c r="I56" s="13" t="str">
        <f aca="false">IF(D56=0,"",IF(ISNUMBER(H56),IF(ABS(H56-1)&lt;=0.15,"Steady: L = λW holds",IF(H56&lt;1,"Filling up: arrivals outpace people leaving","Emptying: people from earlier slots still inside")),IF(G56=0,"Emptying: no new arrivals","Almost empty")))</f>
        <v>Filling up: arrivals outpace people leaving</v>
      </c>
    </row>
    <row r="57" customFormat="false" ht="21.75" hidden="false" customHeight="true" outlineLevel="0" collapsed="false">
      <c r="A57" s="13" t="s">
        <v>327</v>
      </c>
      <c r="B57" s="13" t="s">
        <v>325</v>
      </c>
      <c r="C57" s="26" t="s">
        <v>348</v>
      </c>
      <c r="D57" s="50" t="n">
        <f aca="false">'Sim Data'!$E$267</f>
        <v>21.375</v>
      </c>
      <c r="E57" s="50" t="n">
        <f aca="false">'Sim Data'!$G$267</f>
        <v>21.5438</v>
      </c>
      <c r="F57" s="53" t="n">
        <f aca="false">'Sim Data'!$I$267</f>
        <v>408.3374</v>
      </c>
      <c r="G57" s="46" t="n">
        <f aca="false">D57*E57</f>
        <v>460.498725</v>
      </c>
      <c r="H57" s="47" t="n">
        <f aca="false">IF(MAX(F57,G57)&lt;10,"≈ 0",IF(G57=0,"no new arrivals",F57/G57))</f>
        <v>0.886728622321376</v>
      </c>
      <c r="I57" s="13" t="str">
        <f aca="false">IF(D57=0,"",IF(ISNUMBER(H57),IF(ABS(H57-1)&lt;=0.15,"Steady: L = λW holds",IF(H57&lt;1,"Filling up: arrivals outpace people leaving","Emptying: people from earlier slots still inside")),IF(G57=0,"Emptying: no new arrivals","Almost empty")))</f>
        <v>Steady: L = λW holds</v>
      </c>
    </row>
    <row r="58" customFormat="false" ht="21.75" hidden="false" customHeight="true" outlineLevel="0" collapsed="false">
      <c r="A58" s="13" t="s">
        <v>327</v>
      </c>
      <c r="B58" s="13" t="s">
        <v>325</v>
      </c>
      <c r="C58" s="26" t="s">
        <v>349</v>
      </c>
      <c r="D58" s="50" t="n">
        <f aca="false">'Sim Data'!$E$268</f>
        <v>19.635</v>
      </c>
      <c r="E58" s="50" t="n">
        <f aca="false">'Sim Data'!$G$268</f>
        <v>21.8568</v>
      </c>
      <c r="F58" s="53" t="n">
        <f aca="false">'Sim Data'!$I$268</f>
        <v>434.1949</v>
      </c>
      <c r="G58" s="46" t="n">
        <f aca="false">D58*E58</f>
        <v>429.158268</v>
      </c>
      <c r="H58" s="47" t="n">
        <f aca="false">IF(MAX(F58,G58)&lt;10,"≈ 0",IF(G58=0,"no new arrivals",F58/G58))</f>
        <v>1.01173607122489</v>
      </c>
      <c r="I58" s="13" t="str">
        <f aca="false">IF(D58=0,"",IF(ISNUMBER(H58),IF(ABS(H58-1)&lt;=0.15,"Steady: L = λW holds",IF(H58&lt;1,"Filling up: arrivals outpace people leaving","Emptying: people from earlier slots still inside")),IF(G58=0,"Emptying: no new arrivals","Almost empty")))</f>
        <v>Steady: L = λW holds</v>
      </c>
    </row>
    <row r="59" customFormat="false" ht="21.75" hidden="false" customHeight="true" outlineLevel="0" collapsed="false">
      <c r="A59" s="13" t="s">
        <v>327</v>
      </c>
      <c r="B59" s="13" t="s">
        <v>325</v>
      </c>
      <c r="C59" s="26" t="s">
        <v>156</v>
      </c>
      <c r="D59" s="50" t="n">
        <f aca="false">'Sim Data'!$E$269</f>
        <v>17.935</v>
      </c>
      <c r="E59" s="50" t="n">
        <f aca="false">'Sim Data'!$G$269</f>
        <v>21.5662</v>
      </c>
      <c r="F59" s="53" t="n">
        <f aca="false">'Sim Data'!$I$269</f>
        <v>424.3494</v>
      </c>
      <c r="G59" s="46" t="n">
        <f aca="false">D59*E59</f>
        <v>386.789797</v>
      </c>
      <c r="H59" s="47" t="n">
        <f aca="false">IF(MAX(F59,G59)&lt;10,"≈ 0",IF(G59=0,"no new arrivals",F59/G59))</f>
        <v>1.09710598183126</v>
      </c>
      <c r="I59" s="13" t="str">
        <f aca="false">IF(D59=0,"",IF(ISNUMBER(H59),IF(ABS(H59-1)&lt;=0.15,"Steady: L = λW holds",IF(H59&lt;1,"Filling up: arrivals outpace people leaving","Emptying: people from earlier slots still inside")),IF(G59=0,"Emptying: no new arrivals","Almost empty")))</f>
        <v>Steady: L = λW holds</v>
      </c>
    </row>
    <row r="60" customFormat="false" ht="21.75" hidden="false" customHeight="true" outlineLevel="0" collapsed="false">
      <c r="A60" s="13" t="s">
        <v>327</v>
      </c>
      <c r="B60" s="13" t="s">
        <v>325</v>
      </c>
      <c r="C60" s="26" t="s">
        <v>160</v>
      </c>
      <c r="D60" s="50" t="n">
        <f aca="false">'Sim Data'!$E$270</f>
        <v>14.28</v>
      </c>
      <c r="E60" s="50" t="n">
        <f aca="false">'Sim Data'!$G$270</f>
        <v>20.692</v>
      </c>
      <c r="F60" s="53" t="n">
        <f aca="false">'Sim Data'!$I$270</f>
        <v>390.2984</v>
      </c>
      <c r="G60" s="46" t="n">
        <f aca="false">D60*E60</f>
        <v>295.48176</v>
      </c>
      <c r="H60" s="47" t="n">
        <f aca="false">IF(MAX(F60,G60)&lt;10,"≈ 0",IF(G60=0,"no new arrivals",F60/G60))</f>
        <v>1.32088830119328</v>
      </c>
      <c r="I60" s="13" t="str">
        <f aca="false">IF(D60=0,"",IF(ISNUMBER(H60),IF(ABS(H60-1)&lt;=0.15,"Steady: L = λW holds",IF(H60&lt;1,"Filling up: arrivals outpace people leaving","Emptying: people from earlier slots still inside")),IF(G60=0,"Emptying: no new arrivals","Almost empty")))</f>
        <v>Emptying: people from earlier slots still inside</v>
      </c>
    </row>
    <row r="61" customFormat="false" ht="21.75" hidden="false" customHeight="true" outlineLevel="0" collapsed="false">
      <c r="A61" s="13" t="s">
        <v>327</v>
      </c>
      <c r="B61" s="13" t="s">
        <v>325</v>
      </c>
      <c r="C61" s="26" t="s">
        <v>163</v>
      </c>
      <c r="D61" s="50" t="n">
        <f aca="false">'Sim Data'!$E$271</f>
        <v>7.17</v>
      </c>
      <c r="E61" s="50" t="n">
        <f aca="false">'Sim Data'!$G$271</f>
        <v>19.6855</v>
      </c>
      <c r="F61" s="53" t="n">
        <f aca="false">'Sim Data'!$I$271</f>
        <v>299.6216</v>
      </c>
      <c r="G61" s="46" t="n">
        <f aca="false">D61*E61</f>
        <v>141.145035</v>
      </c>
      <c r="H61" s="47" t="n">
        <f aca="false">IF(MAX(F61,G61)&lt;10,"≈ 0",IF(G61=0,"no new arrivals",F61/G61))</f>
        <v>2.1227923461849</v>
      </c>
      <c r="I61" s="13" t="str">
        <f aca="false">IF(D61=0,"",IF(ISNUMBER(H61),IF(ABS(H61-1)&lt;=0.15,"Steady: L = λW holds",IF(H61&lt;1,"Filling up: arrivals outpace people leaving","Emptying: people from earlier slots still inside")),IF(G61=0,"Emptying: no new arrivals","Almost empty")))</f>
        <v>Emptying: people from earlier slots still inside</v>
      </c>
    </row>
    <row r="62" customFormat="false" ht="21.75" hidden="false" customHeight="true" outlineLevel="0" collapsed="false">
      <c r="A62" s="13" t="s">
        <v>327</v>
      </c>
      <c r="B62" s="13" t="s">
        <v>325</v>
      </c>
      <c r="C62" s="26" t="s">
        <v>150</v>
      </c>
      <c r="D62" s="50" t="n">
        <f aca="false">'Sim Data'!$E$272</f>
        <v>0</v>
      </c>
      <c r="E62" s="50" t="n">
        <f aca="false">'Sim Data'!$G$272</f>
        <v>0</v>
      </c>
      <c r="F62" s="53" t="n">
        <f aca="false">'Sim Data'!$I$272</f>
        <v>149.6443</v>
      </c>
      <c r="G62" s="46" t="n">
        <f aca="false">D62*E62</f>
        <v>0</v>
      </c>
      <c r="H62" s="47" t="str">
        <f aca="false">IF(MAX(F62,G62)&lt;10,"≈ 0",IF(G62=0,"no new arrivals",F62/G62))</f>
        <v>no new arrivals</v>
      </c>
      <c r="I62" s="13" t="str">
        <f aca="false">IF(D62=0,"",IF(ISNUMBER(H62),IF(ABS(H62-1)&lt;=0.15,"Steady: L = λW holds",IF(H62&lt;1,"Filling up: arrivals outpace people leaving","Emptying: people from earlier slots still inside")),IF(G62=0,"Emptying: no new arrivals","Almost empty")))</f>
        <v/>
      </c>
    </row>
    <row r="63" customFormat="false" ht="21.75" hidden="false" customHeight="true" outlineLevel="0" collapsed="false">
      <c r="A63" s="13" t="s">
        <v>327</v>
      </c>
      <c r="B63" s="13" t="s">
        <v>325</v>
      </c>
      <c r="C63" s="26" t="s">
        <v>350</v>
      </c>
      <c r="D63" s="50" t="n">
        <f aca="false">'Sim Data'!$E$273</f>
        <v>0</v>
      </c>
      <c r="E63" s="50" t="n">
        <f aca="false">'Sim Data'!$G$273</f>
        <v>0</v>
      </c>
      <c r="F63" s="53" t="n">
        <f aca="false">'Sim Data'!$I$273</f>
        <v>29.6547</v>
      </c>
      <c r="G63" s="46" t="n">
        <f aca="false">D63*E63</f>
        <v>0</v>
      </c>
      <c r="H63" s="47" t="str">
        <f aca="false">IF(MAX(F63,G63)&lt;10,"≈ 0",IF(G63=0,"no new arrivals",F63/G63))</f>
        <v>no new arrivals</v>
      </c>
      <c r="I63" s="13" t="str">
        <f aca="false">IF(D63=0,"",IF(ISNUMBER(H63),IF(ABS(H63-1)&lt;=0.15,"Steady: L = λW holds",IF(H63&lt;1,"Filling up: arrivals outpace people leaving","Emptying: people from earlier slots still inside")),IF(G63=0,"Emptying: no new arrivals","Almost empty")))</f>
        <v/>
      </c>
    </row>
    <row r="64" customFormat="false" ht="21.75" hidden="false" customHeight="true" outlineLevel="0" collapsed="false">
      <c r="A64" s="13" t="s">
        <v>327</v>
      </c>
      <c r="B64" s="13" t="s">
        <v>325</v>
      </c>
      <c r="C64" s="26" t="s">
        <v>351</v>
      </c>
      <c r="D64" s="50" t="n">
        <f aca="false">'Sim Data'!$E$274</f>
        <v>0</v>
      </c>
      <c r="E64" s="50" t="n">
        <f aca="false">'Sim Data'!$G$274</f>
        <v>0</v>
      </c>
      <c r="F64" s="53" t="n">
        <f aca="false">'Sim Data'!$I$274</f>
        <v>0.078</v>
      </c>
      <c r="G64" s="46" t="n">
        <f aca="false">D64*E64</f>
        <v>0</v>
      </c>
      <c r="H64" s="47" t="str">
        <f aca="false">IF(MAX(F64,G64)&lt;10,"≈ 0",IF(G64=0,"no new arrivals",F64/G64))</f>
        <v>≈ 0</v>
      </c>
      <c r="I64" s="13" t="str">
        <f aca="false">IF(D64=0,"",IF(ISNUMBER(H64),IF(ABS(H64-1)&lt;=0.15,"Steady: L = λW holds",IF(H64&lt;1,"Filling up: arrivals outpace people leaving","Emptying: people from earlier slots still inside")),IF(G64=0,"Emptying: no new arrivals","Almost empty")))</f>
        <v/>
      </c>
    </row>
    <row r="65" customFormat="false" ht="21.75" hidden="false" customHeight="true" outlineLevel="0" collapsed="false">
      <c r="A65" s="13" t="s">
        <v>327</v>
      </c>
      <c r="B65" s="13" t="s">
        <v>326</v>
      </c>
      <c r="C65" s="26" t="s">
        <v>343</v>
      </c>
      <c r="D65" s="50" t="n">
        <f aca="false">'Sim Data'!$E$347</f>
        <v>0</v>
      </c>
      <c r="E65" s="50" t="n">
        <f aca="false">'Sim Data'!$G$347</f>
        <v>0</v>
      </c>
      <c r="F65" s="53" t="n">
        <f aca="false">'Sim Data'!$I$347</f>
        <v>0</v>
      </c>
      <c r="G65" s="46" t="n">
        <f aca="false">D65*E65</f>
        <v>0</v>
      </c>
      <c r="H65" s="47" t="str">
        <f aca="false">IF(MAX(F65,G65)&lt;10,"≈ 0",IF(G65=0,"no new arrivals",F65/G65))</f>
        <v>≈ 0</v>
      </c>
      <c r="I65" s="13" t="str">
        <f aca="false">IF(D65=0,"",IF(ISNUMBER(H65),IF(ABS(H65-1)&lt;=0.15,"Steady: L = λW holds",IF(H65&lt;1,"Filling up: arrivals outpace people leaving","Emptying: people from earlier slots still inside")),IF(G65=0,"Emptying: no new arrivals","Almost empty")))</f>
        <v/>
      </c>
    </row>
    <row r="66" customFormat="false" ht="21.75" hidden="false" customHeight="true" outlineLevel="0" collapsed="false">
      <c r="A66" s="13" t="s">
        <v>327</v>
      </c>
      <c r="B66" s="13" t="s">
        <v>326</v>
      </c>
      <c r="C66" s="26" t="s">
        <v>344</v>
      </c>
      <c r="D66" s="50" t="n">
        <f aca="false">'Sim Data'!$E$348</f>
        <v>0</v>
      </c>
      <c r="E66" s="50" t="n">
        <f aca="false">'Sim Data'!$G$348</f>
        <v>0</v>
      </c>
      <c r="F66" s="53" t="n">
        <f aca="false">'Sim Data'!$I$348</f>
        <v>0</v>
      </c>
      <c r="G66" s="46" t="n">
        <f aca="false">D66*E66</f>
        <v>0</v>
      </c>
      <c r="H66" s="47" t="str">
        <f aca="false">IF(MAX(F66,G66)&lt;10,"≈ 0",IF(G66=0,"no new arrivals",F66/G66))</f>
        <v>≈ 0</v>
      </c>
      <c r="I66" s="13" t="str">
        <f aca="false">IF(D66=0,"",IF(ISNUMBER(H66),IF(ABS(H66-1)&lt;=0.15,"Steady: L = λW holds",IF(H66&lt;1,"Filling up: arrivals outpace people leaving","Emptying: people from earlier slots still inside")),IF(G66=0,"Emptying: no new arrivals","Almost empty")))</f>
        <v/>
      </c>
    </row>
    <row r="67" customFormat="false" ht="21.75" hidden="false" customHeight="true" outlineLevel="0" collapsed="false">
      <c r="A67" s="13" t="s">
        <v>327</v>
      </c>
      <c r="B67" s="13" t="s">
        <v>326</v>
      </c>
      <c r="C67" s="26" t="s">
        <v>345</v>
      </c>
      <c r="D67" s="50" t="n">
        <f aca="false">'Sim Data'!$E$349</f>
        <v>0</v>
      </c>
      <c r="E67" s="50" t="n">
        <f aca="false">'Sim Data'!$G$349</f>
        <v>0</v>
      </c>
      <c r="F67" s="53" t="n">
        <f aca="false">'Sim Data'!$I$349</f>
        <v>0</v>
      </c>
      <c r="G67" s="46" t="n">
        <f aca="false">D67*E67</f>
        <v>0</v>
      </c>
      <c r="H67" s="47" t="str">
        <f aca="false">IF(MAX(F67,G67)&lt;10,"≈ 0",IF(G67=0,"no new arrivals",F67/G67))</f>
        <v>≈ 0</v>
      </c>
      <c r="I67" s="13" t="str">
        <f aca="false">IF(D67=0,"",IF(ISNUMBER(H67),IF(ABS(H67-1)&lt;=0.15,"Steady: L = λW holds",IF(H67&lt;1,"Filling up: arrivals outpace people leaving","Emptying: people from earlier slots still inside")),IF(G67=0,"Emptying: no new arrivals","Almost empty")))</f>
        <v/>
      </c>
    </row>
    <row r="68" customFormat="false" ht="21.75" hidden="false" customHeight="true" outlineLevel="0" collapsed="false">
      <c r="A68" s="13" t="s">
        <v>327</v>
      </c>
      <c r="B68" s="13" t="s">
        <v>326</v>
      </c>
      <c r="C68" s="26" t="s">
        <v>146</v>
      </c>
      <c r="D68" s="50" t="n">
        <f aca="false">'Sim Data'!$E$350</f>
        <v>3.88</v>
      </c>
      <c r="E68" s="50" t="n">
        <f aca="false">'Sim Data'!$G$350</f>
        <v>19.6409</v>
      </c>
      <c r="F68" s="53" t="n">
        <f aca="false">'Sim Data'!$I$350</f>
        <v>18.9765</v>
      </c>
      <c r="G68" s="46" t="n">
        <f aca="false">D68*E68</f>
        <v>76.206692</v>
      </c>
      <c r="H68" s="47" t="n">
        <f aca="false">IF(MAX(F68,G68)&lt;10,"≈ 0",IF(G68=0,"no new arrivals",F68/G68))</f>
        <v>0.249013564320572</v>
      </c>
      <c r="I68" s="13" t="str">
        <f aca="false">IF(D68=0,"",IF(ISNUMBER(H68),IF(ABS(H68-1)&lt;=0.15,"Steady: L = λW holds",IF(H68&lt;1,"Filling up: arrivals outpace people leaving","Emptying: people from earlier slots still inside")),IF(G68=0,"Emptying: no new arrivals","Almost empty")))</f>
        <v>Filling up: arrivals outpace people leaving</v>
      </c>
    </row>
    <row r="69" customFormat="false" ht="21.75" hidden="false" customHeight="true" outlineLevel="0" collapsed="false">
      <c r="A69" s="13" t="s">
        <v>327</v>
      </c>
      <c r="B69" s="13" t="s">
        <v>326</v>
      </c>
      <c r="C69" s="26" t="s">
        <v>346</v>
      </c>
      <c r="D69" s="50" t="n">
        <f aca="false">'Sim Data'!$E$351</f>
        <v>4.64</v>
      </c>
      <c r="E69" s="50" t="n">
        <f aca="false">'Sim Data'!$G$351</f>
        <v>19.7513</v>
      </c>
      <c r="F69" s="53" t="n">
        <f aca="false">'Sim Data'!$I$351</f>
        <v>61.8597</v>
      </c>
      <c r="G69" s="46" t="n">
        <f aca="false">D69*E69</f>
        <v>91.646032</v>
      </c>
      <c r="H69" s="47" t="n">
        <f aca="false">IF(MAX(F69,G69)&lt;10,"≈ 0",IF(G69=0,"no new arrivals",F69/G69))</f>
        <v>0.674985033721918</v>
      </c>
      <c r="I69" s="13" t="str">
        <f aca="false">IF(D69=0,"",IF(ISNUMBER(H69),IF(ABS(H69-1)&lt;=0.15,"Steady: L = λW holds",IF(H69&lt;1,"Filling up: arrivals outpace people leaving","Emptying: people from earlier slots still inside")),IF(G69=0,"Emptying: no new arrivals","Almost empty")))</f>
        <v>Filling up: arrivals outpace people leaving</v>
      </c>
    </row>
    <row r="70" customFormat="false" ht="21.75" hidden="false" customHeight="true" outlineLevel="0" collapsed="false">
      <c r="A70" s="13" t="s">
        <v>327</v>
      </c>
      <c r="B70" s="13" t="s">
        <v>326</v>
      </c>
      <c r="C70" s="26" t="s">
        <v>347</v>
      </c>
      <c r="D70" s="50" t="n">
        <f aca="false">'Sim Data'!$E$352</f>
        <v>4.995</v>
      </c>
      <c r="E70" s="50" t="n">
        <f aca="false">'Sim Data'!$G$352</f>
        <v>19.6769</v>
      </c>
      <c r="F70" s="53" t="n">
        <f aca="false">'Sim Data'!$I$352</f>
        <v>90.0853</v>
      </c>
      <c r="G70" s="46" t="n">
        <f aca="false">D70*E70</f>
        <v>98.2861155</v>
      </c>
      <c r="H70" s="47" t="n">
        <f aca="false">IF(MAX(F70,G70)&lt;10,"≈ 0",IF(G70=0,"no new arrivals",F70/G70))</f>
        <v>0.916561810808364</v>
      </c>
      <c r="I70" s="13" t="str">
        <f aca="false">IF(D70=0,"",IF(ISNUMBER(H70),IF(ABS(H70-1)&lt;=0.15,"Steady: L = λW holds",IF(H70&lt;1,"Filling up: arrivals outpace people leaving","Emptying: people from earlier slots still inside")),IF(G70=0,"Emptying: no new arrivals","Almost empty")))</f>
        <v>Steady: L = λW holds</v>
      </c>
    </row>
    <row r="71" customFormat="false" ht="21.75" hidden="false" customHeight="true" outlineLevel="0" collapsed="false">
      <c r="A71" s="13" t="s">
        <v>327</v>
      </c>
      <c r="B71" s="13" t="s">
        <v>326</v>
      </c>
      <c r="C71" s="26" t="s">
        <v>155</v>
      </c>
      <c r="D71" s="50" t="n">
        <f aca="false">'Sim Data'!$E$353</f>
        <v>6.985</v>
      </c>
      <c r="E71" s="50" t="n">
        <f aca="false">'Sim Data'!$G$353</f>
        <v>19.7013</v>
      </c>
      <c r="F71" s="53" t="n">
        <f aca="false">'Sim Data'!$I$353</f>
        <v>106.4348</v>
      </c>
      <c r="G71" s="46" t="n">
        <f aca="false">D71*E71</f>
        <v>137.6135805</v>
      </c>
      <c r="H71" s="47" t="n">
        <f aca="false">IF(MAX(F71,G71)&lt;10,"≈ 0",IF(G71=0,"no new arrivals",F71/G71))</f>
        <v>0.773432386638614</v>
      </c>
      <c r="I71" s="13" t="str">
        <f aca="false">IF(D71=0,"",IF(ISNUMBER(H71),IF(ABS(H71-1)&lt;=0.15,"Steady: L = λW holds",IF(H71&lt;1,"Filling up: arrivals outpace people leaving","Emptying: people from earlier slots still inside")),IF(G71=0,"Emptying: no new arrivals","Almost empty")))</f>
        <v>Filling up: arrivals outpace people leaving</v>
      </c>
    </row>
    <row r="72" customFormat="false" ht="21.75" hidden="false" customHeight="true" outlineLevel="0" collapsed="false">
      <c r="A72" s="13" t="s">
        <v>327</v>
      </c>
      <c r="B72" s="13" t="s">
        <v>326</v>
      </c>
      <c r="C72" s="26" t="s">
        <v>159</v>
      </c>
      <c r="D72" s="50" t="n">
        <f aca="false">'Sim Data'!$E$354</f>
        <v>6.885</v>
      </c>
      <c r="E72" s="50" t="n">
        <f aca="false">'Sim Data'!$G$354</f>
        <v>19.6498</v>
      </c>
      <c r="F72" s="53" t="n">
        <f aca="false">'Sim Data'!$I$354</f>
        <v>129.0286</v>
      </c>
      <c r="G72" s="46" t="n">
        <f aca="false">D72*E72</f>
        <v>135.288873</v>
      </c>
      <c r="H72" s="47" t="n">
        <f aca="false">IF(MAX(F72,G72)&lt;10,"≈ 0",IF(G72=0,"no new arrivals",F72/G72))</f>
        <v>0.953726623179129</v>
      </c>
      <c r="I72" s="13" t="str">
        <f aca="false">IF(D72=0,"",IF(ISNUMBER(H72),IF(ABS(H72-1)&lt;=0.15,"Steady: L = λW holds",IF(H72&lt;1,"Filling up: arrivals outpace people leaving","Emptying: people from earlier slots still inside")),IF(G72=0,"Emptying: no new arrivals","Almost empty")))</f>
        <v>Steady: L = λW holds</v>
      </c>
    </row>
    <row r="73" customFormat="false" ht="21.75" hidden="false" customHeight="true" outlineLevel="0" collapsed="false">
      <c r="A73" s="13" t="s">
        <v>327</v>
      </c>
      <c r="B73" s="13" t="s">
        <v>326</v>
      </c>
      <c r="C73" s="26" t="s">
        <v>162</v>
      </c>
      <c r="D73" s="50" t="n">
        <f aca="false">'Sim Data'!$E$355</f>
        <v>5.445</v>
      </c>
      <c r="E73" s="50" t="n">
        <f aca="false">'Sim Data'!$G$355</f>
        <v>19.6533</v>
      </c>
      <c r="F73" s="53" t="n">
        <f aca="false">'Sim Data'!$I$355</f>
        <v>131.0181</v>
      </c>
      <c r="G73" s="46" t="n">
        <f aca="false">D73*E73</f>
        <v>107.0122185</v>
      </c>
      <c r="H73" s="47" t="n">
        <f aca="false">IF(MAX(F73,G73)&lt;10,"≈ 0",IF(G73=0,"no new arrivals",F73/G73))</f>
        <v>1.22432841629201</v>
      </c>
      <c r="I73" s="13" t="str">
        <f aca="false">IF(D73=0,"",IF(ISNUMBER(H73),IF(ABS(H73-1)&lt;=0.15,"Steady: L = λW holds",IF(H73&lt;1,"Filling up: arrivals outpace people leaving","Emptying: people from earlier slots still inside")),IF(G73=0,"Emptying: no new arrivals","Almost empty")))</f>
        <v>Emptying: people from earlier slots still inside</v>
      </c>
    </row>
    <row r="74" customFormat="false" ht="21.75" hidden="false" customHeight="true" outlineLevel="0" collapsed="false">
      <c r="A74" s="13" t="s">
        <v>327</v>
      </c>
      <c r="B74" s="13" t="s">
        <v>326</v>
      </c>
      <c r="C74" s="26" t="s">
        <v>147</v>
      </c>
      <c r="D74" s="50" t="n">
        <f aca="false">'Sim Data'!$E$356</f>
        <v>6.82</v>
      </c>
      <c r="E74" s="50" t="n">
        <f aca="false">'Sim Data'!$G$356</f>
        <v>19.6724</v>
      </c>
      <c r="F74" s="53" t="n">
        <f aca="false">'Sim Data'!$I$356</f>
        <v>110.606</v>
      </c>
      <c r="G74" s="46" t="n">
        <f aca="false">D74*E74</f>
        <v>134.165768</v>
      </c>
      <c r="H74" s="47" t="n">
        <f aca="false">IF(MAX(F74,G74)&lt;10,"≈ 0",IF(G74=0,"no new arrivals",F74/G74))</f>
        <v>0.824398068514764</v>
      </c>
      <c r="I74" s="13" t="str">
        <f aca="false">IF(D74=0,"",IF(ISNUMBER(H74),IF(ABS(H74-1)&lt;=0.15,"Steady: L = λW holds",IF(H74&lt;1,"Filling up: arrivals outpace people leaving","Emptying: people from earlier slots still inside")),IF(G74=0,"Emptying: no new arrivals","Almost empty")))</f>
        <v>Filling up: arrivals outpace people leaving</v>
      </c>
    </row>
    <row r="75" customFormat="false" ht="21.75" hidden="false" customHeight="true" outlineLevel="0" collapsed="false">
      <c r="A75" s="13" t="s">
        <v>327</v>
      </c>
      <c r="B75" s="13" t="s">
        <v>326</v>
      </c>
      <c r="C75" s="26" t="s">
        <v>348</v>
      </c>
      <c r="D75" s="50" t="n">
        <f aca="false">'Sim Data'!$E$357</f>
        <v>15.575</v>
      </c>
      <c r="E75" s="50" t="n">
        <f aca="false">'Sim Data'!$G$357</f>
        <v>19.7737</v>
      </c>
      <c r="F75" s="53" t="n">
        <f aca="false">'Sim Data'!$I$357</f>
        <v>168.5044</v>
      </c>
      <c r="G75" s="46" t="n">
        <f aca="false">D75*E75</f>
        <v>307.9753775</v>
      </c>
      <c r="H75" s="47" t="n">
        <f aca="false">IF(MAX(F75,G75)&lt;10,"≈ 0",IF(G75=0,"no new arrivals",F75/G75))</f>
        <v>0.547135947580745</v>
      </c>
      <c r="I75" s="13" t="str">
        <f aca="false">IF(D75=0,"",IF(ISNUMBER(H75),IF(ABS(H75-1)&lt;=0.15,"Steady: L = λW holds",IF(H75&lt;1,"Filling up: arrivals outpace people leaving","Emptying: people from earlier slots still inside")),IF(G75=0,"Emptying: no new arrivals","Almost empty")))</f>
        <v>Filling up: arrivals outpace people leaving</v>
      </c>
    </row>
    <row r="76" customFormat="false" ht="21.75" hidden="false" customHeight="true" outlineLevel="0" collapsed="false">
      <c r="A76" s="13" t="s">
        <v>327</v>
      </c>
      <c r="B76" s="13" t="s">
        <v>326</v>
      </c>
      <c r="C76" s="26" t="s">
        <v>349</v>
      </c>
      <c r="D76" s="50" t="n">
        <f aca="false">'Sim Data'!$E$358</f>
        <v>16.015</v>
      </c>
      <c r="E76" s="50" t="n">
        <f aca="false">'Sim Data'!$G$358</f>
        <v>19.8218</v>
      </c>
      <c r="F76" s="53" t="n">
        <f aca="false">'Sim Data'!$I$358</f>
        <v>276.4793</v>
      </c>
      <c r="G76" s="46" t="n">
        <f aca="false">D76*E76</f>
        <v>317.446127</v>
      </c>
      <c r="H76" s="47" t="n">
        <f aca="false">IF(MAX(F76,G76)&lt;10,"≈ 0",IF(G76=0,"no new arrivals",F76/G76))</f>
        <v>0.870948726364521</v>
      </c>
      <c r="I76" s="13" t="str">
        <f aca="false">IF(D76=0,"",IF(ISNUMBER(H76),IF(ABS(H76-1)&lt;=0.15,"Steady: L = λW holds",IF(H76&lt;1,"Filling up: arrivals outpace people leaving","Emptying: people from earlier slots still inside")),IF(G76=0,"Emptying: no new arrivals","Almost empty")))</f>
        <v>Steady: L = λW holds</v>
      </c>
    </row>
    <row r="77" customFormat="false" ht="21.75" hidden="false" customHeight="true" outlineLevel="0" collapsed="false">
      <c r="A77" s="13" t="s">
        <v>327</v>
      </c>
      <c r="B77" s="13" t="s">
        <v>326</v>
      </c>
      <c r="C77" s="26" t="s">
        <v>156</v>
      </c>
      <c r="D77" s="50" t="n">
        <f aca="false">'Sim Data'!$E$359</f>
        <v>9.065</v>
      </c>
      <c r="E77" s="50" t="n">
        <f aca="false">'Sim Data'!$G$359</f>
        <v>19.752</v>
      </c>
      <c r="F77" s="53" t="n">
        <f aca="false">'Sim Data'!$I$359</f>
        <v>286.252</v>
      </c>
      <c r="G77" s="46" t="n">
        <f aca="false">D77*E77</f>
        <v>179.05188</v>
      </c>
      <c r="H77" s="47" t="n">
        <f aca="false">IF(MAX(F77,G77)&lt;10,"≈ 0",IF(G77=0,"no new arrivals",F77/G77))</f>
        <v>1.59870982644807</v>
      </c>
      <c r="I77" s="13" t="str">
        <f aca="false">IF(D77=0,"",IF(ISNUMBER(H77),IF(ABS(H77-1)&lt;=0.15,"Steady: L = λW holds",IF(H77&lt;1,"Filling up: arrivals outpace people leaving","Emptying: people from earlier slots still inside")),IF(G77=0,"Emptying: no new arrivals","Almost empty")))</f>
        <v>Emptying: people from earlier slots still inside</v>
      </c>
    </row>
    <row r="78" customFormat="false" ht="21.75" hidden="false" customHeight="true" outlineLevel="0" collapsed="false">
      <c r="A78" s="13" t="s">
        <v>327</v>
      </c>
      <c r="B78" s="13" t="s">
        <v>326</v>
      </c>
      <c r="C78" s="26" t="s">
        <v>160</v>
      </c>
      <c r="D78" s="50" t="n">
        <f aca="false">'Sim Data'!$E$360</f>
        <v>3.83</v>
      </c>
      <c r="E78" s="50" t="n">
        <f aca="false">'Sim Data'!$G$360</f>
        <v>19.6057</v>
      </c>
      <c r="F78" s="53" t="n">
        <f aca="false">'Sim Data'!$I$360</f>
        <v>189.1069</v>
      </c>
      <c r="G78" s="46" t="n">
        <f aca="false">D78*E78</f>
        <v>75.089831</v>
      </c>
      <c r="H78" s="47" t="n">
        <f aca="false">IF(MAX(F78,G78)&lt;10,"≈ 0",IF(G78=0,"no new arrivals",F78/G78))</f>
        <v>2.51840891744716</v>
      </c>
      <c r="I78" s="13" t="str">
        <f aca="false">IF(D78=0,"",IF(ISNUMBER(H78),IF(ABS(H78-1)&lt;=0.15,"Steady: L = λW holds",IF(H78&lt;1,"Filling up: arrivals outpace people leaving","Emptying: people from earlier slots still inside")),IF(G78=0,"Emptying: no new arrivals","Almost empty")))</f>
        <v>Emptying: people from earlier slots still inside</v>
      </c>
    </row>
    <row r="79" customFormat="false" ht="21.75" hidden="false" customHeight="true" outlineLevel="0" collapsed="false">
      <c r="A79" s="13" t="s">
        <v>327</v>
      </c>
      <c r="B79" s="13" t="s">
        <v>326</v>
      </c>
      <c r="C79" s="26" t="s">
        <v>163</v>
      </c>
      <c r="D79" s="50" t="n">
        <f aca="false">'Sim Data'!$E$361</f>
        <v>1.825</v>
      </c>
      <c r="E79" s="50" t="n">
        <f aca="false">'Sim Data'!$G$361</f>
        <v>19.5807</v>
      </c>
      <c r="F79" s="53" t="n">
        <f aca="false">'Sim Data'!$I$361</f>
        <v>86.1706</v>
      </c>
      <c r="G79" s="46" t="n">
        <f aca="false">D79*E79</f>
        <v>35.7347775</v>
      </c>
      <c r="H79" s="47" t="n">
        <f aca="false">IF(MAX(F79,G79)&lt;10,"≈ 0",IF(G79=0,"no new arrivals",F79/G79))</f>
        <v>2.41139321491508</v>
      </c>
      <c r="I79" s="13" t="str">
        <f aca="false">IF(D79=0,"",IF(ISNUMBER(H79),IF(ABS(H79-1)&lt;=0.15,"Steady: L = λW holds",IF(H79&lt;1,"Filling up: arrivals outpace people leaving","Emptying: people from earlier slots still inside")),IF(G79=0,"Emptying: no new arrivals","Almost empty")))</f>
        <v>Emptying: people from earlier slots still inside</v>
      </c>
    </row>
    <row r="80" customFormat="false" ht="21.75" hidden="false" customHeight="true" outlineLevel="0" collapsed="false">
      <c r="A80" s="13" t="s">
        <v>327</v>
      </c>
      <c r="B80" s="13" t="s">
        <v>326</v>
      </c>
      <c r="C80" s="26" t="s">
        <v>150</v>
      </c>
      <c r="D80" s="50" t="n">
        <f aca="false">'Sim Data'!$E$362</f>
        <v>0</v>
      </c>
      <c r="E80" s="50" t="n">
        <f aca="false">'Sim Data'!$G$362</f>
        <v>0</v>
      </c>
      <c r="F80" s="53" t="n">
        <f aca="false">'Sim Data'!$I$362</f>
        <v>33.0412</v>
      </c>
      <c r="G80" s="46" t="n">
        <f aca="false">D80*E80</f>
        <v>0</v>
      </c>
      <c r="H80" s="47" t="str">
        <f aca="false">IF(MAX(F80,G80)&lt;10,"≈ 0",IF(G80=0,"no new arrivals",F80/G80))</f>
        <v>no new arrivals</v>
      </c>
      <c r="I80" s="13" t="str">
        <f aca="false">IF(D80=0,"",IF(ISNUMBER(H80),IF(ABS(H80-1)&lt;=0.15,"Steady: L = λW holds",IF(H80&lt;1,"Filling up: arrivals outpace people leaving","Emptying: people from earlier slots still inside")),IF(G80=0,"Emptying: no new arrivals","Almost empty")))</f>
        <v/>
      </c>
    </row>
    <row r="81" customFormat="false" ht="21.75" hidden="false" customHeight="true" outlineLevel="0" collapsed="false">
      <c r="A81" s="13" t="s">
        <v>327</v>
      </c>
      <c r="B81" s="13" t="s">
        <v>326</v>
      </c>
      <c r="C81" s="26" t="s">
        <v>350</v>
      </c>
      <c r="D81" s="50" t="n">
        <f aca="false">'Sim Data'!$E$363</f>
        <v>0</v>
      </c>
      <c r="E81" s="50" t="n">
        <f aca="false">'Sim Data'!$G$363</f>
        <v>0</v>
      </c>
      <c r="F81" s="53" t="n">
        <f aca="false">'Sim Data'!$I$363</f>
        <v>7.9294</v>
      </c>
      <c r="G81" s="46" t="n">
        <f aca="false">D81*E81</f>
        <v>0</v>
      </c>
      <c r="H81" s="47" t="str">
        <f aca="false">IF(MAX(F81,G81)&lt;10,"≈ 0",IF(G81=0,"no new arrivals",F81/G81))</f>
        <v>≈ 0</v>
      </c>
      <c r="I81" s="13" t="str">
        <f aca="false">IF(D81=0,"",IF(ISNUMBER(H81),IF(ABS(H81-1)&lt;=0.15,"Steady: L = λW holds",IF(H81&lt;1,"Filling up: arrivals outpace people leaving","Emptying: people from earlier slots still inside")),IF(G81=0,"Emptying: no new arrivals","Almost empty")))</f>
        <v/>
      </c>
    </row>
    <row r="82" customFormat="false" ht="21.75" hidden="false" customHeight="true" outlineLevel="0" collapsed="false">
      <c r="A82" s="13" t="s">
        <v>327</v>
      </c>
      <c r="B82" s="13" t="s">
        <v>326</v>
      </c>
      <c r="C82" s="26" t="s">
        <v>351</v>
      </c>
      <c r="D82" s="50" t="n">
        <f aca="false">'Sim Data'!$E$364</f>
        <v>0</v>
      </c>
      <c r="E82" s="50" t="n">
        <f aca="false">'Sim Data'!$G$364</f>
        <v>0</v>
      </c>
      <c r="F82" s="53" t="n">
        <f aca="false">'Sim Data'!$I$364</f>
        <v>0.0261</v>
      </c>
      <c r="G82" s="46" t="n">
        <f aca="false">D82*E82</f>
        <v>0</v>
      </c>
      <c r="H82" s="47" t="str">
        <f aca="false">IF(MAX(F82,G82)&lt;10,"≈ 0",IF(G82=0,"no new arrivals",F82/G82))</f>
        <v>≈ 0</v>
      </c>
      <c r="I82" s="13" t="str">
        <f aca="false">IF(D82=0,"",IF(ISNUMBER(H82),IF(ABS(H82-1)&lt;=0.15,"Steady: L = λW holds",IF(H82&lt;1,"Filling up: arrivals outpace people leaving","Emptying: people from earlier slots still inside")),IF(G82=0,"Emptying: no new arrivals","Almost empty")))</f>
        <v/>
      </c>
    </row>
    <row r="85" customFormat="false" ht="24.75" hidden="false" customHeight="true" outlineLevel="0" collapsed="false">
      <c r="A85" s="4" t="s">
        <v>384</v>
      </c>
    </row>
    <row r="86" customFormat="false" ht="37.5" hidden="false" customHeight="true" outlineLevel="0" collapsed="false">
      <c r="A86" s="7" t="s">
        <v>332</v>
      </c>
      <c r="B86" s="7" t="s">
        <v>385</v>
      </c>
      <c r="C86" s="7" t="s">
        <v>382</v>
      </c>
    </row>
    <row r="87" customFormat="false" ht="21.75" hidden="false" customHeight="true" outlineLevel="0" collapsed="false">
      <c r="A87" s="13" t="s">
        <v>343</v>
      </c>
      <c r="B87" s="58" t="n">
        <f aca="false">F11</f>
        <v>0</v>
      </c>
      <c r="C87" s="58" t="n">
        <f aca="false">G11</f>
        <v>0</v>
      </c>
    </row>
    <row r="88" customFormat="false" ht="21.75" hidden="false" customHeight="true" outlineLevel="0" collapsed="false">
      <c r="A88" s="13" t="s">
        <v>344</v>
      </c>
      <c r="B88" s="58" t="n">
        <f aca="false">F12</f>
        <v>0</v>
      </c>
      <c r="C88" s="58" t="n">
        <f aca="false">G12</f>
        <v>0</v>
      </c>
    </row>
    <row r="89" customFormat="false" ht="21.75" hidden="false" customHeight="true" outlineLevel="0" collapsed="false">
      <c r="A89" s="13" t="s">
        <v>345</v>
      </c>
      <c r="B89" s="58" t="n">
        <f aca="false">F13</f>
        <v>0</v>
      </c>
      <c r="C89" s="58" t="n">
        <f aca="false">G13</f>
        <v>0</v>
      </c>
    </row>
    <row r="90" customFormat="false" ht="21.75" hidden="false" customHeight="true" outlineLevel="0" collapsed="false">
      <c r="A90" s="13" t="s">
        <v>146</v>
      </c>
      <c r="B90" s="58" t="n">
        <f aca="false">F14</f>
        <v>66.9728</v>
      </c>
      <c r="C90" s="58" t="n">
        <f aca="false">G14</f>
        <v>286.739508</v>
      </c>
    </row>
    <row r="91" customFormat="false" ht="21.75" hidden="false" customHeight="true" outlineLevel="0" collapsed="false">
      <c r="A91" s="13" t="s">
        <v>346</v>
      </c>
      <c r="B91" s="58" t="n">
        <f aca="false">F15</f>
        <v>235.861</v>
      </c>
      <c r="C91" s="58" t="n">
        <f aca="false">G15</f>
        <v>373.958464</v>
      </c>
    </row>
    <row r="92" customFormat="false" ht="21.75" hidden="false" customHeight="true" outlineLevel="0" collapsed="false">
      <c r="A92" s="13" t="s">
        <v>347</v>
      </c>
      <c r="B92" s="58" t="n">
        <f aca="false">F16</f>
        <v>357.9495</v>
      </c>
      <c r="C92" s="58" t="n">
        <f aca="false">G16</f>
        <v>380.7864525</v>
      </c>
    </row>
    <row r="93" customFormat="false" ht="21.75" hidden="false" customHeight="true" outlineLevel="0" collapsed="false">
      <c r="A93" s="13" t="s">
        <v>155</v>
      </c>
      <c r="B93" s="58" t="n">
        <f aca="false">F17</f>
        <v>400.1098</v>
      </c>
      <c r="C93" s="58" t="n">
        <f aca="false">G17</f>
        <v>484.05646</v>
      </c>
    </row>
    <row r="94" customFormat="false" ht="21.75" hidden="false" customHeight="true" outlineLevel="0" collapsed="false">
      <c r="A94" s="13" t="s">
        <v>159</v>
      </c>
      <c r="B94" s="58" t="n">
        <f aca="false">F18</f>
        <v>429.9949</v>
      </c>
      <c r="C94" s="58" t="n">
        <f aca="false">G18</f>
        <v>451.4851</v>
      </c>
    </row>
    <row r="95" customFormat="false" ht="21.75" hidden="false" customHeight="true" outlineLevel="0" collapsed="false">
      <c r="A95" s="13" t="s">
        <v>162</v>
      </c>
      <c r="B95" s="58" t="n">
        <f aca="false">F19</f>
        <v>424.9515</v>
      </c>
      <c r="C95" s="58" t="n">
        <f aca="false">G19</f>
        <v>374.217816</v>
      </c>
    </row>
    <row r="96" customFormat="false" ht="21.75" hidden="false" customHeight="true" outlineLevel="0" collapsed="false">
      <c r="A96" s="13" t="s">
        <v>147</v>
      </c>
      <c r="B96" s="58" t="n">
        <f aca="false">F20</f>
        <v>407.2461</v>
      </c>
      <c r="C96" s="58" t="n">
        <f aca="false">G20</f>
        <v>497.016991</v>
      </c>
    </row>
    <row r="97" customFormat="false" ht="21.75" hidden="false" customHeight="true" outlineLevel="0" collapsed="false">
      <c r="A97" s="13" t="s">
        <v>348</v>
      </c>
      <c r="B97" s="58" t="n">
        <f aca="false">F21</f>
        <v>497.5448</v>
      </c>
      <c r="C97" s="58" t="n">
        <f aca="false">G21</f>
        <v>757.720348</v>
      </c>
    </row>
    <row r="98" customFormat="false" ht="21.75" hidden="false" customHeight="true" outlineLevel="0" collapsed="false">
      <c r="A98" s="13" t="s">
        <v>349</v>
      </c>
      <c r="B98" s="58" t="n">
        <f aca="false">F22</f>
        <v>601.0945</v>
      </c>
      <c r="C98" s="58" t="n">
        <f aca="false">G22</f>
        <v>876.340389</v>
      </c>
    </row>
    <row r="99" customFormat="false" ht="21.75" hidden="false" customHeight="true" outlineLevel="0" collapsed="false">
      <c r="A99" s="13" t="s">
        <v>156</v>
      </c>
      <c r="B99" s="58" t="n">
        <f aca="false">F23</f>
        <v>654.161</v>
      </c>
      <c r="C99" s="58" t="n">
        <f aca="false">G23</f>
        <v>730.33226</v>
      </c>
    </row>
    <row r="100" customFormat="false" ht="21.75" hidden="false" customHeight="true" outlineLevel="0" collapsed="false">
      <c r="A100" s="13" t="s">
        <v>160</v>
      </c>
      <c r="B100" s="58" t="n">
        <f aca="false">F24</f>
        <v>637.1672</v>
      </c>
      <c r="C100" s="58" t="n">
        <f aca="false">G24</f>
        <v>487.315125</v>
      </c>
    </row>
    <row r="101" customFormat="false" ht="21.75" hidden="false" customHeight="true" outlineLevel="0" collapsed="false">
      <c r="A101" s="13" t="s">
        <v>163</v>
      </c>
      <c r="B101" s="58" t="n">
        <f aca="false">F25</f>
        <v>551.2699</v>
      </c>
      <c r="C101" s="58" t="n">
        <f aca="false">G25</f>
        <v>207.435987</v>
      </c>
    </row>
    <row r="102" customFormat="false" ht="21.75" hidden="false" customHeight="true" outlineLevel="0" collapsed="false">
      <c r="A102" s="13" t="s">
        <v>150</v>
      </c>
      <c r="B102" s="58" t="n">
        <f aca="false">F26</f>
        <v>401.8533</v>
      </c>
      <c r="C102" s="58" t="n">
        <f aca="false">G26</f>
        <v>0</v>
      </c>
    </row>
    <row r="103" customFormat="false" ht="21.75" hidden="false" customHeight="true" outlineLevel="0" collapsed="false">
      <c r="A103" s="13" t="s">
        <v>350</v>
      </c>
      <c r="B103" s="58" t="n">
        <f aca="false">F27</f>
        <v>203.4723</v>
      </c>
      <c r="C103" s="58" t="n">
        <f aca="false">G27</f>
        <v>0</v>
      </c>
    </row>
    <row r="104" customFormat="false" ht="21.75" hidden="false" customHeight="true" outlineLevel="0" collapsed="false">
      <c r="A104" s="13" t="s">
        <v>351</v>
      </c>
      <c r="B104" s="58" t="n">
        <f aca="false">F28</f>
        <v>36.8058</v>
      </c>
      <c r="C104" s="58" t="n">
        <f aca="false">G28</f>
        <v>0</v>
      </c>
    </row>
  </sheetData>
  <autoFilter ref="A10:I82"/>
  <mergeCells count="1">
    <mergeCell ref="A4:I7"/>
  </mergeCells>
  <conditionalFormatting sqref="I11:I82">
    <cfRule type="expression" priority="2" aboveAverage="0" equalAverage="0" bottom="0" percent="0" rank="0" text="" dxfId="10">
      <formula>LEFT($I11,6)="Steady"</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7"/>
    <col collapsed="false" customWidth="true" hidden="false" outlineLevel="0" max="4" min="4" style="0" width="50"/>
  </cols>
  <sheetData>
    <row r="1" customFormat="false" ht="36" hidden="false" customHeight="true" outlineLevel="0" collapsed="false">
      <c r="A1" s="1" t="s">
        <v>27</v>
      </c>
      <c r="B1" s="2"/>
      <c r="C1" s="2"/>
      <c r="D1" s="2"/>
    </row>
    <row r="2" customFormat="false" ht="21.75" hidden="false" customHeight="true" outlineLevel="0" collapsed="false">
      <c r="A2" s="3" t="s">
        <v>386</v>
      </c>
    </row>
    <row r="3" customFormat="false" ht="7.5" hidden="false" customHeight="true" outlineLevel="0" collapsed="false"/>
    <row r="4" customFormat="false" ht="21.75" hidden="false" customHeight="true" outlineLevel="0" collapsed="false">
      <c r="A4" s="7" t="s">
        <v>387</v>
      </c>
      <c r="B4" s="7" t="s">
        <v>325</v>
      </c>
      <c r="C4" s="7" t="s">
        <v>326</v>
      </c>
      <c r="D4" s="7" t="s">
        <v>388</v>
      </c>
    </row>
    <row r="5" customFormat="false" ht="24.75" hidden="false" customHeight="true" outlineLevel="0" collapsed="false">
      <c r="A5" s="4" t="s">
        <v>389</v>
      </c>
    </row>
    <row r="6" customFormat="false" ht="21.75" hidden="false" customHeight="true" outlineLevel="0" collapsed="false">
      <c r="A6" s="42" t="s">
        <v>390</v>
      </c>
      <c r="B6" s="59" t="n">
        <f aca="false">SUMPRODUCT('Sim Data'!$E$5:$E$22,'Sim Data'!$F$5:$F$22)/SUM('Sim Data'!$E$5:$E$22)+SUMPRODUCT('Sim Data'!$E$5:$E$22,'Sim Data'!$G$5:$G$22)/SUM('Sim Data'!$E$5:$E$22)+Assumptions!$B$17/60</f>
        <v>0.732547870837395</v>
      </c>
      <c r="C6" s="59" t="n">
        <f aca="false">SUMPRODUCT('Sim Data'!$E$95:$E$112,'Sim Data'!$F$95:$F$112)/SUM('Sim Data'!$E$95:$E$112)+SUMPRODUCT('Sim Data'!$E$95:$E$112,'Sim Data'!$G$95:$G$112)/SUM('Sim Data'!$E$95:$E$112)+Assumptions!$B$17/60</f>
        <v>0.629227470141151</v>
      </c>
      <c r="D6" s="22" t="s">
        <v>391</v>
      </c>
    </row>
    <row r="7" customFormat="false" ht="37.5" hidden="false" customHeight="true" outlineLevel="0" collapsed="false">
      <c r="A7" s="42" t="s">
        <v>392</v>
      </c>
      <c r="B7" s="59" t="n">
        <f aca="false">SUMPRODUCT('Sim Data'!$E$23:$E$40,'Sim Data'!$F$23:$F$40)/SUM('Sim Data'!$E$23:$E$40)+SUMPRODUCT('Sim Data'!$E$23:$E$40,'Sim Data'!$G$23:$G$40)/SUM('Sim Data'!$E$23:$E$40)+Assumptions!$B$23/60</f>
        <v>6.80624635273174</v>
      </c>
      <c r="C7" s="59" t="n">
        <f aca="false">SUMPRODUCT('Sim Data'!$E$113:$E$130,'Sim Data'!$F$113:$F$130)/SUM('Sim Data'!$E$113:$E$130)+SUMPRODUCT('Sim Data'!$E$113:$E$130,'Sim Data'!$G$113:$G$130)/SUM('Sim Data'!$E$113:$E$130)+Assumptions!$B$23/60</f>
        <v>1.5057468220162</v>
      </c>
      <c r="D7" s="22" t="s">
        <v>393</v>
      </c>
    </row>
    <row r="8" customFormat="false" ht="21.75" hidden="false" customHeight="true" outlineLevel="0" collapsed="false">
      <c r="A8" s="42" t="s">
        <v>394</v>
      </c>
      <c r="B8" s="60" t="n">
        <f aca="false">SUMPRODUCT('Sim Data'!$E$41:$E$58,'Sim Data'!$F$41:$F$58)/SUM('Sim Data'!$E$41:$E$58)+SUMPRODUCT('Sim Data'!$E$41:$E$58,'Sim Data'!$G$41:$G$58)/SUM('Sim Data'!$E$41:$E$58)</f>
        <v>15.9999855084135</v>
      </c>
      <c r="C8" s="60" t="n">
        <f aca="false">SUMPRODUCT('Sim Data'!$E$131:$E$148,'Sim Data'!$F$131:$F$148)/SUM('Sim Data'!$E$131:$E$148)+SUMPRODUCT('Sim Data'!$E$131:$E$148,'Sim Data'!$G$131:$G$148)/SUM('Sim Data'!$E$131:$E$148)</f>
        <v>16.0299767894429</v>
      </c>
      <c r="D8" s="22" t="s">
        <v>114</v>
      </c>
    </row>
    <row r="9" customFormat="false" ht="21.75" hidden="false" customHeight="true" outlineLevel="0" collapsed="false">
      <c r="A9" s="42" t="s">
        <v>395</v>
      </c>
      <c r="B9" s="60" t="n">
        <f aca="false">SUMPRODUCT('Sim Data'!$E$59:$E$76,'Sim Data'!$G$59:$G$76)/SUM('Sim Data'!$E$59:$E$76)</f>
        <v>1.49980346890714</v>
      </c>
      <c r="C9" s="60" t="n">
        <f aca="false">SUMPRODUCT('Sim Data'!$E$149:$E$166,'Sim Data'!$G$149:$G$166)/SUM('Sim Data'!$E$149:$E$166)</f>
        <v>1.49699153094463</v>
      </c>
      <c r="D9" s="22" t="s">
        <v>396</v>
      </c>
    </row>
    <row r="10" customFormat="false" ht="21.75" hidden="false" customHeight="true" outlineLevel="0" collapsed="false">
      <c r="A10" s="42" t="s">
        <v>397</v>
      </c>
      <c r="B10" s="60" t="n">
        <f aca="false">SUMPRODUCT('Sim Data'!$E$77:$E$94,'Sim Data'!$G$77:$G$94)/SUM('Sim Data'!$E$77:$E$94)</f>
        <v>25.0388034607723</v>
      </c>
      <c r="C10" s="60" t="n">
        <f aca="false">SUMPRODUCT('Sim Data'!$E$167:$E$184,'Sim Data'!$G$167:$G$184)/SUM('Sim Data'!$E$167:$E$184)</f>
        <v>19.6584315209221</v>
      </c>
      <c r="D10" s="22" t="s">
        <v>398</v>
      </c>
    </row>
    <row r="12" customFormat="false" ht="24.75" hidden="false" customHeight="true" outlineLevel="0" collapsed="false">
      <c r="A12" s="4" t="s">
        <v>399</v>
      </c>
    </row>
    <row r="13" customFormat="false" ht="21.75" hidden="false" customHeight="true" outlineLevel="0" collapsed="false">
      <c r="A13" s="13" t="s">
        <v>400</v>
      </c>
      <c r="B13" s="50" t="n">
        <f aca="false">SUMPRODUCT('Sim Data'!$E$5:$E$22,'Sim Data'!$G$5:$G$22)/SUM('Sim Data'!$E$5:$E$22)*60</f>
        <v>2.00163031407621</v>
      </c>
      <c r="C13" s="50" t="n">
        <f aca="false">SUMPRODUCT('Sim Data'!$E$95:$E$112,'Sim Data'!$G$95:$G$112)/SUM('Sim Data'!$E$95:$E$112)*60</f>
        <v>2.00308794788274</v>
      </c>
      <c r="D13" s="22" t="s">
        <v>401</v>
      </c>
    </row>
    <row r="14" customFormat="false" ht="21.75" hidden="false" customHeight="true" outlineLevel="0" collapsed="false">
      <c r="A14" s="13" t="s">
        <v>402</v>
      </c>
      <c r="B14" s="55" t="n">
        <f aca="false">SUMPRODUCT('Sim Data'!$E$5:$E$22,'Sim Data'!$F$5:$F$22)/SUM('Sim Data'!$E$5:$E$22)</f>
        <v>0.107520698936125</v>
      </c>
      <c r="C14" s="55" t="n">
        <f aca="false">SUMPRODUCT('Sim Data'!$E$95:$E$112,'Sim Data'!$F$95:$F$112)/SUM('Sim Data'!$E$95:$E$112)</f>
        <v>0.00417600434310532</v>
      </c>
      <c r="D14" s="22" t="s">
        <v>403</v>
      </c>
    </row>
    <row r="15" customFormat="false" ht="21.75" hidden="false" customHeight="true" outlineLevel="0" collapsed="false">
      <c r="A15" s="13" t="s">
        <v>404</v>
      </c>
      <c r="B15" s="55" t="n">
        <f aca="false">SUMPRODUCT('Sim Data'!$E$23:$E$40,'Sim Data'!$F$23:$F$40)/SUM('Sim Data'!$E$23:$E$40)</f>
        <v>5.30591444920103</v>
      </c>
      <c r="C15" s="55" t="n">
        <f aca="false">SUMPRODUCT('Sim Data'!$E$113:$E$130,'Sim Data'!$F$113:$F$130)/SUM('Sim Data'!$E$113:$E$130)</f>
        <v>0.00631955232606698</v>
      </c>
      <c r="D15" s="22" t="s">
        <v>405</v>
      </c>
    </row>
    <row r="16" customFormat="false" ht="21.75" hidden="false" customHeight="true" outlineLevel="0" collapsed="false">
      <c r="A16" s="13" t="s">
        <v>406</v>
      </c>
      <c r="B16" s="55" t="n">
        <f aca="false">SUMPRODUCT('Sim Data'!$E$23:$E$40,'Sim Data'!$G$23:$G$40)/SUM('Sim Data'!$E$23:$E$40)</f>
        <v>0.100331903530708</v>
      </c>
      <c r="C16" s="55" t="n">
        <f aca="false">SUMPRODUCT('Sim Data'!$E$113:$E$130,'Sim Data'!$G$113:$G$130)/SUM('Sim Data'!$E$113:$E$130)</f>
        <v>0.0994272696901361</v>
      </c>
      <c r="D16" s="22" t="s">
        <v>407</v>
      </c>
    </row>
    <row r="17" customFormat="false" ht="21.75" hidden="false" customHeight="true" outlineLevel="0" collapsed="false">
      <c r="A17" s="13" t="s">
        <v>408</v>
      </c>
      <c r="B17" s="47" t="n">
        <f aca="false">B15+B16</f>
        <v>5.40624635273174</v>
      </c>
      <c r="C17" s="47" t="n">
        <f aca="false">C15+C16</f>
        <v>0.105746822016203</v>
      </c>
      <c r="D17" s="22" t="s">
        <v>409</v>
      </c>
    </row>
    <row r="18" customFormat="false" ht="21.75" hidden="false" customHeight="true" outlineLevel="0" collapsed="false">
      <c r="A18" s="13" t="s">
        <v>410</v>
      </c>
      <c r="B18" s="50" t="n">
        <f aca="false">SUMPRODUCT('Sim Data'!$E$41:$E$58,'Sim Data'!$G$41:$G$58)/SUM('Sim Data'!$E$41:$E$58)</f>
        <v>15.9999855084135</v>
      </c>
      <c r="C18" s="50" t="n">
        <f aca="false">SUMPRODUCT('Sim Data'!$E$131:$E$148,'Sim Data'!$G$131:$G$148)/SUM('Sim Data'!$E$131:$E$148)</f>
        <v>16.0299767894429</v>
      </c>
      <c r="D18" s="22" t="s">
        <v>411</v>
      </c>
    </row>
    <row r="20" customFormat="false" ht="24.75" hidden="false" customHeight="true" outlineLevel="0" collapsed="false">
      <c r="A20" s="4" t="s">
        <v>412</v>
      </c>
    </row>
    <row r="21" customFormat="false" ht="21.75" hidden="false" customHeight="true" outlineLevel="0" collapsed="false">
      <c r="A21" s="13" t="s">
        <v>281</v>
      </c>
      <c r="B21" s="57" t="n">
        <f aca="false">Assumptions!$B$26</f>
        <v>900</v>
      </c>
      <c r="C21" s="57" t="n">
        <f aca="false">Assumptions!$B$27</f>
        <v>492</v>
      </c>
      <c r="D21" s="22" t="s">
        <v>413</v>
      </c>
    </row>
    <row r="22" customFormat="false" ht="21.75" hidden="false" customHeight="true" outlineLevel="0" collapsed="false">
      <c r="A22" s="42" t="s">
        <v>414</v>
      </c>
      <c r="B22" s="60" t="n">
        <f aca="false">B18+Assumptions!$B$30</f>
        <v>16.1999855084135</v>
      </c>
      <c r="C22" s="60" t="n">
        <f aca="false">C18+Assumptions!$B$30</f>
        <v>16.2299767894429</v>
      </c>
      <c r="D22" s="22" t="s">
        <v>415</v>
      </c>
    </row>
    <row r="23" customFormat="false" ht="21.75" hidden="false" customHeight="true" outlineLevel="0" collapsed="false">
      <c r="A23" s="42" t="s">
        <v>416</v>
      </c>
      <c r="B23" s="61" t="n">
        <f aca="false">60/B22</f>
        <v>3.70370701682658</v>
      </c>
      <c r="C23" s="61" t="n">
        <f aca="false">60/C22</f>
        <v>3.69686295787115</v>
      </c>
      <c r="D23" s="22" t="s">
        <v>290</v>
      </c>
    </row>
    <row r="24" customFormat="false" ht="21.75" hidden="false" customHeight="true" outlineLevel="0" collapsed="false">
      <c r="A24" s="42" t="s">
        <v>417</v>
      </c>
      <c r="B24" s="62" t="n">
        <f aca="false">B21/B22</f>
        <v>55.5556052523987</v>
      </c>
      <c r="C24" s="62" t="n">
        <f aca="false">C21/C22</f>
        <v>30.3142762545434</v>
      </c>
      <c r="D24" s="22" t="s">
        <v>418</v>
      </c>
    </row>
    <row r="25" customFormat="false" ht="21.75" hidden="false" customHeight="true" outlineLevel="0" collapsed="false">
      <c r="A25" s="13" t="s">
        <v>419</v>
      </c>
      <c r="B25" s="57" t="n">
        <f aca="false">B21*Assumptions!$B$8/B22</f>
        <v>10000.0089454318</v>
      </c>
      <c r="C25" s="57" t="n">
        <f aca="false">C21*Assumptions!$B$8/C22</f>
        <v>5456.56972581781</v>
      </c>
      <c r="D25" s="22" t="s">
        <v>420</v>
      </c>
    </row>
    <row r="26" customFormat="false" ht="21.75" hidden="false" customHeight="true" outlineLevel="0" collapsed="false">
      <c r="A26" s="13" t="s">
        <v>421</v>
      </c>
      <c r="B26" s="57" t="n">
        <f aca="false">'Sim Data'!$C$368</f>
        <v>2359.3</v>
      </c>
      <c r="C26" s="57" t="n">
        <f aca="false">'Sim Data'!$C$369</f>
        <v>598.6</v>
      </c>
      <c r="D26" s="22" t="s">
        <v>33</v>
      </c>
    </row>
    <row r="27" customFormat="false" ht="21.75" hidden="false" customHeight="true" outlineLevel="0" collapsed="false">
      <c r="A27" s="13" t="s">
        <v>422</v>
      </c>
      <c r="B27" s="47" t="n">
        <f aca="false">B26/B21</f>
        <v>2.62144444444444</v>
      </c>
      <c r="C27" s="47" t="n">
        <f aca="false">C26/C21</f>
        <v>1.21666666666667</v>
      </c>
      <c r="D27" s="22" t="s">
        <v>423</v>
      </c>
    </row>
    <row r="28" customFormat="false" ht="21.75" hidden="false" customHeight="true" outlineLevel="0" collapsed="false">
      <c r="A28" s="13" t="s">
        <v>424</v>
      </c>
      <c r="B28" s="57" t="n">
        <f aca="false">'Sim Data'!$D$368</f>
        <v>340.8</v>
      </c>
      <c r="C28" s="57" t="n">
        <f aca="false">'Sim Data'!$D$369</f>
        <v>128</v>
      </c>
      <c r="D28" s="22" t="s">
        <v>33</v>
      </c>
    </row>
    <row r="29" customFormat="false" ht="21.75" hidden="false" customHeight="true" outlineLevel="0" collapsed="false">
      <c r="A29" s="42" t="s">
        <v>425</v>
      </c>
      <c r="B29" s="44" t="n">
        <f aca="false">B28/B21</f>
        <v>0.378666666666667</v>
      </c>
      <c r="C29" s="44" t="n">
        <f aca="false">C28/C21</f>
        <v>0.260162601626016</v>
      </c>
      <c r="D29" s="22" t="s">
        <v>426</v>
      </c>
    </row>
    <row r="31" customFormat="false" ht="24.75" hidden="false" customHeight="true" outlineLevel="0" collapsed="false">
      <c r="A31" s="4" t="s">
        <v>427</v>
      </c>
    </row>
    <row r="32" customFormat="false" ht="21.75" hidden="false" customHeight="true" outlineLevel="0" collapsed="false">
      <c r="A32" s="13" t="s">
        <v>428</v>
      </c>
      <c r="B32" s="50" t="n">
        <f aca="false">Assumptions!$B$15*60/Assumptions!$B$16</f>
        <v>30</v>
      </c>
      <c r="C32" s="50" t="n">
        <f aca="false">Assumptions!$B$15*60/Assumptions!$B$16</f>
        <v>30</v>
      </c>
      <c r="D32" s="22" t="s">
        <v>429</v>
      </c>
    </row>
    <row r="33" customFormat="false" ht="21.75" hidden="false" customHeight="true" outlineLevel="0" collapsed="false">
      <c r="A33" s="13" t="s">
        <v>430</v>
      </c>
      <c r="B33" s="50" t="n">
        <f aca="false">Assumptions!$B$20*Assumptions!$B$21</f>
        <v>20</v>
      </c>
      <c r="C33" s="50" t="n">
        <f aca="false">Assumptions!$B$20*Assumptions!$B$21</f>
        <v>20</v>
      </c>
      <c r="D33" s="22" t="s">
        <v>431</v>
      </c>
    </row>
    <row r="34" customFormat="false" ht="21.75" hidden="false" customHeight="true" outlineLevel="0" collapsed="false">
      <c r="A34" s="13" t="s">
        <v>293</v>
      </c>
      <c r="B34" s="52" t="n">
        <f aca="false">B24</f>
        <v>55.5556052523987</v>
      </c>
      <c r="C34" s="52" t="n">
        <f aca="false">C24</f>
        <v>30.3142762545434</v>
      </c>
      <c r="D34" s="22" t="s">
        <v>432</v>
      </c>
    </row>
    <row r="35" customFormat="false" ht="21.75" hidden="false" customHeight="true" outlineLevel="0" collapsed="false">
      <c r="A35" s="13" t="s">
        <v>433</v>
      </c>
      <c r="B35" s="26" t="s">
        <v>434</v>
      </c>
      <c r="C35" s="26" t="s">
        <v>434</v>
      </c>
      <c r="D35" s="22" t="s">
        <v>435</v>
      </c>
    </row>
    <row r="36" customFormat="false" ht="21.75" hidden="false" customHeight="true" outlineLevel="0" collapsed="false">
      <c r="A36" s="42" t="s">
        <v>436</v>
      </c>
      <c r="B36" s="63" t="str">
        <f aca="false">IF(MIN(B32,B33,B34)=B33,"Serving stations",IF(MIN(B32,B33,B34)=B32,"Scanner","Seats"))</f>
        <v>Serving stations</v>
      </c>
      <c r="C36" s="63" t="str">
        <f aca="false">IF(MIN(C32,C33,C34)=C33,"Serving stations",IF(MIN(C32,C33,C34)=C32,"Scanner","Seats"))</f>
        <v>Serving stations</v>
      </c>
      <c r="D36" s="22" t="s">
        <v>437</v>
      </c>
    </row>
    <row r="37" customFormat="false" ht="21.75" hidden="false" customHeight="true" outlineLevel="0" collapsed="false">
      <c r="A37" s="13" t="s">
        <v>438</v>
      </c>
      <c r="B37" s="57" t="n">
        <f aca="false">MIN(B32,B33,B34)*Assumptions!$B$8</f>
        <v>3600</v>
      </c>
      <c r="C37" s="57" t="n">
        <f aca="false">MIN(C32,C33,C34)*Assumptions!$B$8</f>
        <v>3600</v>
      </c>
      <c r="D37" s="22" t="s">
        <v>439</v>
      </c>
    </row>
    <row r="38" customFormat="false" ht="21.75" hidden="false" customHeight="true" outlineLevel="0" collapsed="false">
      <c r="A38" s="13" t="s">
        <v>440</v>
      </c>
      <c r="B38" s="50" t="n">
        <f aca="false">'Sim Data'!$E$368</f>
        <v>2.02</v>
      </c>
      <c r="C38" s="50" t="n">
        <f aca="false">'Sim Data'!$E$369</f>
        <v>0</v>
      </c>
      <c r="D38" s="22" t="s">
        <v>441</v>
      </c>
    </row>
    <row r="39" customFormat="false" ht="21.75" hidden="false" customHeight="true" outlineLevel="0" collapsed="false">
      <c r="A39" s="13" t="s">
        <v>442</v>
      </c>
      <c r="B39" s="57" t="n">
        <f aca="false">B37*(1-B38/Assumptions!$B$8)</f>
        <v>3559.6</v>
      </c>
      <c r="C39" s="57" t="n">
        <f aca="false">C37*(1-C38/Assumptions!$B$8)</f>
        <v>3600</v>
      </c>
      <c r="D39" s="22" t="s">
        <v>443</v>
      </c>
    </row>
    <row r="40" customFormat="false" ht="21.75" hidden="false" customHeight="true" outlineLevel="0" collapsed="false">
      <c r="A40" s="42" t="s">
        <v>444</v>
      </c>
      <c r="B40" s="44" t="n">
        <f aca="false">B26/B37</f>
        <v>0.655361111111111</v>
      </c>
      <c r="C40" s="44" t="n">
        <f aca="false">C26/C37</f>
        <v>0.166277777777778</v>
      </c>
      <c r="D40" s="22" t="s">
        <v>445</v>
      </c>
    </row>
    <row r="41" customFormat="false" ht="21.75" hidden="false" customHeight="true" outlineLevel="0" collapsed="false">
      <c r="A41" s="13" t="s">
        <v>446</v>
      </c>
      <c r="B41" s="54" t="n">
        <f aca="false">B26/B39</f>
        <v>0.662799190920328</v>
      </c>
      <c r="C41" s="54" t="n">
        <f aca="false">C26/C39</f>
        <v>0.166277777777778</v>
      </c>
      <c r="D41" s="22" t="s">
        <v>445</v>
      </c>
    </row>
    <row r="42" customFormat="false" ht="21.75" hidden="false" customHeight="true" outlineLevel="0" collapsed="false">
      <c r="A42" s="13" t="s">
        <v>447</v>
      </c>
      <c r="B42" s="50" t="n">
        <f aca="false">MAX('Sim Data'!$E$23:$E$40)</f>
        <v>29.14</v>
      </c>
      <c r="C42" s="50" t="n">
        <f aca="false">MAX('Sim Data'!$E$113:$E$130)</f>
        <v>7.5</v>
      </c>
      <c r="D42" s="22" t="s">
        <v>33</v>
      </c>
    </row>
    <row r="43" customFormat="false" ht="21.75" hidden="false" customHeight="true" outlineLevel="0" collapsed="false">
      <c r="A43" s="13" t="s">
        <v>448</v>
      </c>
      <c r="B43" s="54" t="n">
        <f aca="false">B42/B33</f>
        <v>1.457</v>
      </c>
      <c r="C43" s="54" t="n">
        <f aca="false">C42/C33</f>
        <v>0.375</v>
      </c>
      <c r="D43" s="22" t="s">
        <v>449</v>
      </c>
    </row>
    <row r="45" customFormat="false" ht="18" hidden="false" customHeight="true" outlineLevel="0" collapsed="false">
      <c r="A45" s="49" t="s">
        <v>450</v>
      </c>
      <c r="B45" s="49"/>
      <c r="C45" s="49"/>
      <c r="D45" s="49"/>
    </row>
    <row r="46" customFormat="false" ht="15" hidden="false" customHeight="false" outlineLevel="0" collapsed="false">
      <c r="A46" s="49"/>
      <c r="B46" s="49"/>
      <c r="C46" s="49"/>
      <c r="D46" s="49"/>
    </row>
    <row r="47" customFormat="false" ht="15" hidden="false" customHeight="false" outlineLevel="0" collapsed="false">
      <c r="A47" s="49"/>
      <c r="B47" s="49"/>
      <c r="C47" s="49"/>
      <c r="D47" s="49"/>
    </row>
    <row r="48" customFormat="false" ht="15" hidden="false" customHeight="false" outlineLevel="0" collapsed="false">
      <c r="A48" s="49"/>
      <c r="B48" s="49"/>
      <c r="C48" s="49"/>
      <c r="D48" s="49"/>
    </row>
  </sheetData>
  <mergeCells count="1">
    <mergeCell ref="A45:D48"/>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J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7" min="2" style="0" width="14"/>
    <col collapsed="false" customWidth="true" hidden="false" outlineLevel="0" max="9" min="8" style="0" width="13"/>
    <col collapsed="false" customWidth="true" hidden="false" outlineLevel="0" max="10" min="10" style="0" width="18"/>
  </cols>
  <sheetData>
    <row r="1" customFormat="false" ht="36" hidden="false" customHeight="true" outlineLevel="0" collapsed="false">
      <c r="A1" s="1" t="s">
        <v>451</v>
      </c>
      <c r="B1" s="2"/>
      <c r="C1" s="2"/>
      <c r="D1" s="2"/>
      <c r="E1" s="2"/>
      <c r="F1" s="2"/>
      <c r="G1" s="2"/>
      <c r="H1" s="2"/>
      <c r="I1" s="2"/>
    </row>
    <row r="2" customFormat="false" ht="21.75" hidden="false" customHeight="true" outlineLevel="0" collapsed="false">
      <c r="A2" s="3" t="s">
        <v>452</v>
      </c>
    </row>
    <row r="3" customFormat="false" ht="7.5" hidden="false" customHeight="true" outlineLevel="0" collapsed="false"/>
    <row r="4" customFormat="false" ht="24.75" hidden="false" customHeight="true" outlineLevel="0" collapsed="false">
      <c r="A4" s="4" t="s">
        <v>453</v>
      </c>
    </row>
    <row r="5" customFormat="false" ht="21.75" hidden="false" customHeight="true" outlineLevel="0" collapsed="false">
      <c r="A5" s="5" t="s">
        <v>454</v>
      </c>
      <c r="B5" s="5"/>
      <c r="C5" s="5"/>
      <c r="D5" s="5"/>
      <c r="E5" s="5"/>
      <c r="F5" s="5"/>
      <c r="G5" s="5"/>
      <c r="H5" s="5"/>
      <c r="I5" s="5"/>
    </row>
    <row r="6" customFormat="false" ht="21.75" hidden="false" customHeight="true" outlineLevel="0" collapsed="false">
      <c r="A6" s="5" t="s">
        <v>455</v>
      </c>
      <c r="B6" s="5"/>
      <c r="C6" s="5"/>
      <c r="D6" s="5"/>
      <c r="E6" s="5"/>
      <c r="F6" s="5"/>
      <c r="G6" s="5"/>
      <c r="H6" s="5"/>
      <c r="I6" s="5"/>
    </row>
    <row r="7" customFormat="false" ht="21.75" hidden="false" customHeight="true" outlineLevel="0" collapsed="false">
      <c r="A7" s="5" t="s">
        <v>456</v>
      </c>
      <c r="B7" s="5"/>
      <c r="C7" s="5"/>
      <c r="D7" s="5"/>
      <c r="E7" s="5"/>
      <c r="F7" s="5"/>
      <c r="G7" s="5"/>
      <c r="H7" s="5"/>
      <c r="I7" s="5"/>
    </row>
    <row r="8" customFormat="false" ht="21.75" hidden="false" customHeight="true" outlineLevel="0" collapsed="false">
      <c r="A8" s="5" t="s">
        <v>457</v>
      </c>
      <c r="B8" s="5"/>
      <c r="C8" s="5"/>
      <c r="D8" s="5"/>
      <c r="E8" s="5"/>
      <c r="F8" s="5"/>
      <c r="G8" s="5"/>
      <c r="H8" s="5"/>
      <c r="I8" s="5"/>
    </row>
    <row r="9" customFormat="false" ht="21.75" hidden="false" customHeight="true" outlineLevel="0" collapsed="false">
      <c r="A9" s="5" t="s">
        <v>458</v>
      </c>
      <c r="B9" s="5"/>
      <c r="C9" s="5"/>
      <c r="D9" s="5"/>
      <c r="E9" s="5"/>
      <c r="F9" s="5"/>
      <c r="G9" s="5"/>
      <c r="H9" s="5"/>
      <c r="I9" s="5"/>
    </row>
    <row r="10" customFormat="false" ht="21.75" hidden="false" customHeight="true" outlineLevel="0" collapsed="false">
      <c r="A10" s="5" t="s">
        <v>459</v>
      </c>
      <c r="B10" s="5"/>
      <c r="C10" s="5"/>
      <c r="D10" s="5"/>
      <c r="E10" s="5"/>
      <c r="F10" s="5"/>
      <c r="G10" s="5"/>
      <c r="H10" s="5"/>
      <c r="I10" s="5"/>
    </row>
    <row r="11" customFormat="false" ht="21.75" hidden="false" customHeight="true" outlineLevel="0" collapsed="false">
      <c r="A11" s="5" t="s">
        <v>460</v>
      </c>
      <c r="B11" s="5"/>
      <c r="C11" s="5"/>
      <c r="D11" s="5"/>
      <c r="E11" s="5"/>
      <c r="F11" s="5"/>
      <c r="G11" s="5"/>
      <c r="H11" s="5"/>
      <c r="I11" s="5"/>
    </row>
    <row r="12" customFormat="false" ht="21.75" hidden="false" customHeight="true" outlineLevel="0" collapsed="false">
      <c r="A12" s="5" t="s">
        <v>461</v>
      </c>
      <c r="B12" s="5"/>
      <c r="C12" s="5"/>
      <c r="D12" s="5"/>
      <c r="E12" s="5"/>
      <c r="F12" s="5"/>
      <c r="G12" s="5"/>
      <c r="H12" s="5"/>
      <c r="I12" s="5"/>
    </row>
    <row r="14" customFormat="false" ht="24.75" hidden="false" customHeight="true" outlineLevel="0" collapsed="false">
      <c r="A14" s="4" t="s">
        <v>462</v>
      </c>
    </row>
    <row r="15" customFormat="false" ht="21.75" hidden="false" customHeight="true" outlineLevel="0" collapsed="false">
      <c r="A15" s="64" t="s">
        <v>463</v>
      </c>
      <c r="B15" s="29" t="n">
        <v>6</v>
      </c>
    </row>
    <row r="16" customFormat="false" ht="21.75" hidden="false" customHeight="true" outlineLevel="0" collapsed="false">
      <c r="A16" s="64" t="s">
        <v>464</v>
      </c>
      <c r="B16" s="29" t="n">
        <v>1</v>
      </c>
    </row>
    <row r="17" customFormat="false" ht="21.75" hidden="false" customHeight="true" outlineLevel="0" collapsed="false">
      <c r="A17" s="64" t="s">
        <v>465</v>
      </c>
      <c r="B17" s="65" t="n">
        <f aca="false">Assumptions!$B$38</f>
        <v>0.5</v>
      </c>
    </row>
    <row r="18" customFormat="false" ht="21.75" hidden="false" customHeight="true" outlineLevel="0" collapsed="false">
      <c r="A18" s="64" t="s">
        <v>466</v>
      </c>
      <c r="B18" s="65" t="n">
        <f aca="false">Assumptions!$B$39</f>
        <v>2</v>
      </c>
    </row>
    <row r="19" customFormat="false" ht="21.75" hidden="false" customHeight="true" outlineLevel="0" collapsed="false">
      <c r="A19" s="64" t="s">
        <v>467</v>
      </c>
      <c r="B19" s="66" t="n">
        <f aca="false">Assumptions!$B$7</f>
        <v>0.797</v>
      </c>
    </row>
    <row r="20" customFormat="false" ht="21.75" hidden="false" customHeight="true" outlineLevel="0" collapsed="false">
      <c r="A20" s="64" t="s">
        <v>468</v>
      </c>
      <c r="B20" s="67" t="n">
        <v>0.6</v>
      </c>
    </row>
    <row r="21" customFormat="false" ht="21.75" hidden="false" customHeight="true" outlineLevel="0" collapsed="false">
      <c r="A21" s="64" t="s">
        <v>469</v>
      </c>
      <c r="B21" s="66" t="n">
        <f aca="false">Assumptions!$B$37</f>
        <v>0.6</v>
      </c>
    </row>
    <row r="23" customFormat="false" ht="21.75" hidden="false" customHeight="true" outlineLevel="0" collapsed="false">
      <c r="A23" s="64" t="s">
        <v>470</v>
      </c>
      <c r="B23" s="68" t="n">
        <f aca="false">B15-B16-B17</f>
        <v>4.5</v>
      </c>
    </row>
    <row r="24" customFormat="false" ht="21.75" hidden="false" customHeight="true" outlineLevel="0" collapsed="false">
      <c r="A24" s="64" t="s">
        <v>471</v>
      </c>
      <c r="B24" s="69" t="n">
        <f aca="false">IF(B23&gt;=B18,MIN(1,MAX(0,(B19-B20)/(B19*B21))),0)</f>
        <v>0.411961522375575</v>
      </c>
    </row>
    <row r="25" customFormat="false" ht="21.75" hidden="false" customHeight="true" outlineLevel="0" collapsed="false">
      <c r="A25" s="64" t="s">
        <v>472</v>
      </c>
      <c r="B25" s="70" t="str">
        <f aca="false">IF(B24&gt;=0.5,"Munch is faster right now →",IF(B24&gt;=0.15,"In a hurry? Munch is "&amp;TEXT(B23,"0")&amp;" min faster →","Come on in"))</f>
        <v>In a hurry? Munch is 5 min faster →</v>
      </c>
      <c r="C25" s="70"/>
      <c r="D25" s="70"/>
      <c r="E25" s="70"/>
    </row>
    <row r="27" customFormat="false" ht="24.75" hidden="false" customHeight="true" outlineLevel="0" collapsed="false">
      <c r="A27" s="4" t="s">
        <v>473</v>
      </c>
    </row>
    <row r="28" customFormat="false" ht="53.25" hidden="false" customHeight="true" outlineLevel="0" collapsed="false">
      <c r="A28" s="7" t="s">
        <v>474</v>
      </c>
      <c r="B28" s="7" t="s">
        <v>475</v>
      </c>
      <c r="C28" s="7" t="s">
        <v>476</v>
      </c>
      <c r="D28" s="7" t="s">
        <v>477</v>
      </c>
      <c r="E28" s="7" t="s">
        <v>478</v>
      </c>
      <c r="F28" s="7" t="s">
        <v>479</v>
      </c>
      <c r="G28" s="7" t="s">
        <v>480</v>
      </c>
      <c r="H28" s="7" t="s">
        <v>481</v>
      </c>
      <c r="I28" s="7" t="s">
        <v>482</v>
      </c>
    </row>
    <row r="29" customFormat="false" ht="21.75" hidden="false" customHeight="true" outlineLevel="0" collapsed="false">
      <c r="A29" s="71" t="s">
        <v>346</v>
      </c>
      <c r="B29" s="72" t="n">
        <v>17.6</v>
      </c>
      <c r="C29" s="72" t="n">
        <v>0.4</v>
      </c>
      <c r="D29" s="72" t="n">
        <v>2</v>
      </c>
      <c r="E29" s="72" t="n">
        <v>0.1</v>
      </c>
      <c r="F29" s="73" t="n">
        <v>0.5</v>
      </c>
      <c r="G29" s="73" t="n">
        <v>0</v>
      </c>
      <c r="H29" s="72" t="n">
        <v>0</v>
      </c>
      <c r="I29" s="71" t="s">
        <v>483</v>
      </c>
    </row>
    <row r="30" customFormat="false" ht="21.75" hidden="false" customHeight="true" outlineLevel="0" collapsed="false">
      <c r="A30" s="71" t="s">
        <v>159</v>
      </c>
      <c r="B30" s="72" t="n">
        <v>19.8</v>
      </c>
      <c r="C30" s="72" t="n">
        <v>2.1</v>
      </c>
      <c r="D30" s="72" t="n">
        <v>6.2</v>
      </c>
      <c r="E30" s="72" t="n">
        <v>0.1</v>
      </c>
      <c r="F30" s="73" t="n">
        <v>0.17</v>
      </c>
      <c r="G30" s="73" t="n">
        <v>0</v>
      </c>
      <c r="H30" s="72" t="n">
        <v>0</v>
      </c>
      <c r="I30" s="71" t="s">
        <v>483</v>
      </c>
    </row>
    <row r="31" customFormat="false" ht="21.75" hidden="false" customHeight="true" outlineLevel="0" collapsed="false">
      <c r="A31" s="71" t="s">
        <v>348</v>
      </c>
      <c r="B31" s="72" t="n">
        <v>24.4</v>
      </c>
      <c r="C31" s="72" t="n">
        <v>2.7</v>
      </c>
      <c r="D31" s="72" t="n">
        <v>8.2</v>
      </c>
      <c r="E31" s="72" t="n">
        <v>0.2</v>
      </c>
      <c r="F31" s="73" t="n">
        <v>0.344</v>
      </c>
      <c r="G31" s="73" t="n">
        <v>0.568</v>
      </c>
      <c r="H31" s="72" t="n">
        <v>2</v>
      </c>
      <c r="I31" s="71" t="s">
        <v>484</v>
      </c>
    </row>
    <row r="32" customFormat="false" ht="21.75" hidden="false" customHeight="true" outlineLevel="0" collapsed="false">
      <c r="A32" s="71" t="s">
        <v>485</v>
      </c>
      <c r="B32" s="72" t="n">
        <v>23</v>
      </c>
      <c r="C32" s="72" t="n">
        <v>3.3</v>
      </c>
      <c r="D32" s="72" t="n">
        <v>12.8</v>
      </c>
      <c r="E32" s="72" t="n">
        <v>0.4</v>
      </c>
      <c r="F32" s="73" t="n">
        <v>0.242</v>
      </c>
      <c r="G32" s="73" t="n">
        <v>0.697</v>
      </c>
      <c r="H32" s="72" t="n">
        <v>2.4</v>
      </c>
      <c r="I32" s="71" t="s">
        <v>484</v>
      </c>
    </row>
    <row r="33" customFormat="false" ht="21.75" hidden="false" customHeight="true" outlineLevel="0" collapsed="false">
      <c r="A33" s="71" t="s">
        <v>349</v>
      </c>
      <c r="B33" s="72" t="n">
        <v>20.6</v>
      </c>
      <c r="C33" s="72" t="n">
        <v>3.2</v>
      </c>
      <c r="D33" s="72" t="n">
        <v>17.8</v>
      </c>
      <c r="E33" s="72" t="n">
        <v>0.5</v>
      </c>
      <c r="F33" s="73" t="n">
        <v>0.298</v>
      </c>
      <c r="G33" s="73" t="n">
        <v>0</v>
      </c>
      <c r="H33" s="72" t="n">
        <v>0</v>
      </c>
      <c r="I33" s="71" t="s">
        <v>483</v>
      </c>
    </row>
    <row r="34" customFormat="false" ht="21.75" hidden="false" customHeight="true" outlineLevel="0" collapsed="false">
      <c r="A34" s="71" t="s">
        <v>486</v>
      </c>
      <c r="B34" s="72" t="n">
        <v>20</v>
      </c>
      <c r="C34" s="72" t="n">
        <v>2.7</v>
      </c>
      <c r="D34" s="72" t="n">
        <v>9.8</v>
      </c>
      <c r="E34" s="72" t="n">
        <v>0.1</v>
      </c>
      <c r="F34" s="73" t="n">
        <v>0.132</v>
      </c>
      <c r="G34" s="73" t="n">
        <v>0.835</v>
      </c>
      <c r="H34" s="72" t="n">
        <v>2.1</v>
      </c>
      <c r="I34" s="71" t="s">
        <v>484</v>
      </c>
    </row>
    <row r="36" customFormat="false" ht="24.75" hidden="false" customHeight="true" outlineLevel="0" collapsed="false">
      <c r="A36" s="4" t="s">
        <v>487</v>
      </c>
    </row>
    <row r="37" customFormat="false" ht="37.5" hidden="false" customHeight="true" outlineLevel="0" collapsed="false">
      <c r="A37" s="7" t="s">
        <v>332</v>
      </c>
      <c r="B37" s="7" t="s">
        <v>488</v>
      </c>
      <c r="C37" s="7" t="s">
        <v>489</v>
      </c>
      <c r="D37" s="7" t="s">
        <v>490</v>
      </c>
      <c r="E37" s="7" t="s">
        <v>491</v>
      </c>
      <c r="F37" s="7" t="s">
        <v>492</v>
      </c>
      <c r="G37" s="7"/>
      <c r="H37" s="7"/>
      <c r="I37" s="7"/>
    </row>
    <row r="38" customFormat="false" ht="21.75" hidden="false" customHeight="true" outlineLevel="0" collapsed="false">
      <c r="A38" s="64" t="s">
        <v>343</v>
      </c>
      <c r="B38" s="74" t="n">
        <v>0</v>
      </c>
      <c r="C38" s="74" t="n">
        <v>0</v>
      </c>
      <c r="D38" s="74" t="n">
        <v>0</v>
      </c>
      <c r="E38" s="54" t="n">
        <f aca="false">IF(B38&gt;0,C38/B38,0)</f>
        <v>0</v>
      </c>
      <c r="F38" s="75"/>
      <c r="G38" s="75"/>
      <c r="H38" s="75"/>
      <c r="I38" s="75"/>
    </row>
    <row r="39" customFormat="false" ht="21.75" hidden="false" customHeight="true" outlineLevel="0" collapsed="false">
      <c r="A39" s="64" t="s">
        <v>344</v>
      </c>
      <c r="B39" s="74" t="n">
        <v>0</v>
      </c>
      <c r="C39" s="74" t="n">
        <v>0</v>
      </c>
      <c r="D39" s="74" t="n">
        <v>0</v>
      </c>
      <c r="E39" s="54" t="n">
        <f aca="false">IF(B39&gt;0,C39/B39,0)</f>
        <v>0</v>
      </c>
      <c r="F39" s="75"/>
      <c r="G39" s="75"/>
      <c r="H39" s="75"/>
      <c r="I39" s="75"/>
    </row>
    <row r="40" customFormat="false" ht="21.75" hidden="false" customHeight="true" outlineLevel="0" collapsed="false">
      <c r="A40" s="64" t="s">
        <v>345</v>
      </c>
      <c r="B40" s="74" t="n">
        <v>0</v>
      </c>
      <c r="C40" s="74" t="n">
        <v>0</v>
      </c>
      <c r="D40" s="74" t="n">
        <v>0</v>
      </c>
      <c r="E40" s="54" t="n">
        <f aca="false">IF(B40&gt;0,C40/B40,0)</f>
        <v>0</v>
      </c>
      <c r="F40" s="75"/>
      <c r="G40" s="75"/>
      <c r="H40" s="75"/>
      <c r="I40" s="75"/>
    </row>
    <row r="41" customFormat="false" ht="21.75" hidden="false" customHeight="true" outlineLevel="0" collapsed="false">
      <c r="A41" s="64" t="s">
        <v>146</v>
      </c>
      <c r="B41" s="74" t="n">
        <v>184</v>
      </c>
      <c r="C41" s="74" t="n">
        <v>0</v>
      </c>
      <c r="D41" s="74" t="n">
        <v>0</v>
      </c>
      <c r="E41" s="54" t="n">
        <f aca="false">IF(B41&gt;0,C41/B41,0)</f>
        <v>0</v>
      </c>
      <c r="F41" s="75" t="s">
        <v>493</v>
      </c>
      <c r="G41" s="75"/>
      <c r="H41" s="75"/>
      <c r="I41" s="75"/>
    </row>
    <row r="42" customFormat="false" ht="21.75" hidden="false" customHeight="true" outlineLevel="0" collapsed="false">
      <c r="A42" s="64" t="s">
        <v>346</v>
      </c>
      <c r="B42" s="74" t="n">
        <v>234.1</v>
      </c>
      <c r="C42" s="74" t="n">
        <v>0</v>
      </c>
      <c r="D42" s="74" t="n">
        <v>0</v>
      </c>
      <c r="E42" s="54" t="n">
        <f aca="false">IF(B42&gt;0,C42/B42,0)</f>
        <v>0</v>
      </c>
      <c r="F42" s="75" t="s">
        <v>493</v>
      </c>
      <c r="G42" s="75"/>
      <c r="H42" s="75"/>
      <c r="I42" s="75"/>
    </row>
    <row r="43" customFormat="false" ht="21.75" hidden="false" customHeight="true" outlineLevel="0" collapsed="false">
      <c r="A43" s="64" t="s">
        <v>347</v>
      </c>
      <c r="B43" s="74" t="n">
        <v>236.1</v>
      </c>
      <c r="C43" s="74" t="n">
        <v>4.3</v>
      </c>
      <c r="D43" s="74" t="n">
        <v>2.3</v>
      </c>
      <c r="E43" s="54" t="n">
        <f aca="false">IF(B43&gt;0,C43/B43,0)</f>
        <v>0.0182126217704363</v>
      </c>
      <c r="F43" s="75" t="s">
        <v>493</v>
      </c>
      <c r="G43" s="75"/>
      <c r="H43" s="75"/>
      <c r="I43" s="75"/>
    </row>
    <row r="44" customFormat="false" ht="21.75" hidden="false" customHeight="true" outlineLevel="0" collapsed="false">
      <c r="A44" s="64" t="s">
        <v>155</v>
      </c>
      <c r="B44" s="74" t="n">
        <v>286.4</v>
      </c>
      <c r="C44" s="74" t="n">
        <v>20.9</v>
      </c>
      <c r="D44" s="74" t="n">
        <v>12.7</v>
      </c>
      <c r="E44" s="54" t="n">
        <f aca="false">IF(B44&gt;0,C44/B44,0)</f>
        <v>0.0729748603351955</v>
      </c>
      <c r="F44" s="75" t="s">
        <v>494</v>
      </c>
      <c r="G44" s="75"/>
      <c r="H44" s="75"/>
      <c r="I44" s="75"/>
    </row>
    <row r="45" customFormat="false" ht="21.75" hidden="false" customHeight="true" outlineLevel="0" collapsed="false">
      <c r="A45" s="64" t="s">
        <v>159</v>
      </c>
      <c r="B45" s="74" t="n">
        <v>257.1</v>
      </c>
      <c r="C45" s="74" t="n">
        <v>26.8</v>
      </c>
      <c r="D45" s="74" t="n">
        <v>16.1</v>
      </c>
      <c r="E45" s="54" t="n">
        <f aca="false">IF(B45&gt;0,C45/B45,0)</f>
        <v>0.104239595488137</v>
      </c>
      <c r="F45" s="75" t="s">
        <v>495</v>
      </c>
      <c r="G45" s="75"/>
      <c r="H45" s="75"/>
      <c r="I45" s="75"/>
    </row>
    <row r="46" customFormat="false" ht="21.75" hidden="false" customHeight="true" outlineLevel="0" collapsed="false">
      <c r="A46" s="64" t="s">
        <v>162</v>
      </c>
      <c r="B46" s="74" t="n">
        <v>212.3</v>
      </c>
      <c r="C46" s="74" t="n">
        <v>17.1</v>
      </c>
      <c r="D46" s="74" t="n">
        <v>9.6</v>
      </c>
      <c r="E46" s="54" t="n">
        <f aca="false">IF(B46&gt;0,C46/B46,0)</f>
        <v>0.0805463966085728</v>
      </c>
      <c r="F46" s="75" t="s">
        <v>496</v>
      </c>
      <c r="G46" s="75"/>
      <c r="H46" s="75"/>
      <c r="I46" s="75"/>
    </row>
    <row r="47" customFormat="false" ht="21.75" hidden="false" customHeight="true" outlineLevel="0" collapsed="false">
      <c r="A47" s="64" t="s">
        <v>147</v>
      </c>
      <c r="B47" s="74" t="n">
        <v>283.8</v>
      </c>
      <c r="C47" s="74" t="n">
        <v>22.9</v>
      </c>
      <c r="D47" s="74" t="n">
        <v>14.4</v>
      </c>
      <c r="E47" s="54" t="n">
        <f aca="false">IF(B47&gt;0,C47/B47,0)</f>
        <v>0.0806906272022551</v>
      </c>
      <c r="F47" s="75" t="s">
        <v>497</v>
      </c>
      <c r="G47" s="75"/>
      <c r="H47" s="75"/>
      <c r="I47" s="75"/>
    </row>
    <row r="48" customFormat="false" ht="21.75" hidden="false" customHeight="true" outlineLevel="0" collapsed="false">
      <c r="A48" s="64" t="s">
        <v>348</v>
      </c>
      <c r="B48" s="74" t="n">
        <v>369.9</v>
      </c>
      <c r="C48" s="74" t="n">
        <v>131.9</v>
      </c>
      <c r="D48" s="74" t="n">
        <v>81.8</v>
      </c>
      <c r="E48" s="54" t="n">
        <f aca="false">IF(B48&gt;0,C48/B48,0)</f>
        <v>0.356582860232495</v>
      </c>
      <c r="F48" s="75" t="s">
        <v>497</v>
      </c>
      <c r="G48" s="75"/>
      <c r="H48" s="75"/>
      <c r="I48" s="75"/>
    </row>
    <row r="49" customFormat="false" ht="21.75" hidden="false" customHeight="true" outlineLevel="0" collapsed="false">
      <c r="A49" s="64" t="s">
        <v>349</v>
      </c>
      <c r="B49" s="74" t="n">
        <v>356.8</v>
      </c>
      <c r="C49" s="74" t="n">
        <v>141.4</v>
      </c>
      <c r="D49" s="74" t="n">
        <v>87</v>
      </c>
      <c r="E49" s="54" t="n">
        <f aca="false">IF(B49&gt;0,C49/B49,0)</f>
        <v>0.396300448430493</v>
      </c>
      <c r="F49" s="75" t="s">
        <v>497</v>
      </c>
      <c r="G49" s="75"/>
      <c r="H49" s="75"/>
      <c r="I49" s="75"/>
    </row>
    <row r="50" customFormat="false" ht="21.75" hidden="false" customHeight="true" outlineLevel="0" collapsed="false">
      <c r="A50" s="64" t="s">
        <v>156</v>
      </c>
      <c r="B50" s="74" t="n">
        <v>266.7</v>
      </c>
      <c r="C50" s="74" t="n">
        <v>56.9</v>
      </c>
      <c r="D50" s="74" t="n">
        <v>34.1</v>
      </c>
      <c r="E50" s="54" t="n">
        <f aca="false">IF(B50&gt;0,C50/B50,0)</f>
        <v>0.213348331458568</v>
      </c>
      <c r="F50" s="75" t="s">
        <v>498</v>
      </c>
      <c r="G50" s="75"/>
      <c r="H50" s="75"/>
      <c r="I50" s="75"/>
    </row>
    <row r="51" customFormat="false" ht="21.75" hidden="false" customHeight="true" outlineLevel="0" collapsed="false">
      <c r="A51" s="64" t="s">
        <v>160</v>
      </c>
      <c r="B51" s="74" t="n">
        <v>180.8</v>
      </c>
      <c r="C51" s="74" t="n">
        <v>4.6</v>
      </c>
      <c r="D51" s="74" t="n">
        <v>3</v>
      </c>
      <c r="E51" s="54" t="n">
        <f aca="false">IF(B51&gt;0,C51/B51,0)</f>
        <v>0.0254424778761062</v>
      </c>
      <c r="F51" s="75" t="s">
        <v>499</v>
      </c>
      <c r="G51" s="75"/>
      <c r="H51" s="75"/>
      <c r="I51" s="75"/>
    </row>
    <row r="52" customFormat="false" ht="21.75" hidden="false" customHeight="true" outlineLevel="0" collapsed="false">
      <c r="A52" s="64" t="s">
        <v>163</v>
      </c>
      <c r="B52" s="74" t="n">
        <v>90</v>
      </c>
      <c r="C52" s="74" t="n">
        <v>0</v>
      </c>
      <c r="D52" s="74" t="n">
        <v>0</v>
      </c>
      <c r="E52" s="54" t="n">
        <f aca="false">IF(B52&gt;0,C52/B52,0)</f>
        <v>0</v>
      </c>
      <c r="F52" s="75" t="s">
        <v>500</v>
      </c>
      <c r="G52" s="75"/>
      <c r="H52" s="75"/>
      <c r="I52" s="75"/>
    </row>
    <row r="53" customFormat="false" ht="21.75" hidden="false" customHeight="true" outlineLevel="0" collapsed="false">
      <c r="A53" s="64" t="s">
        <v>150</v>
      </c>
      <c r="B53" s="74" t="n">
        <v>0</v>
      </c>
      <c r="C53" s="74" t="n">
        <v>0</v>
      </c>
      <c r="D53" s="74" t="n">
        <v>0</v>
      </c>
      <c r="E53" s="54" t="n">
        <f aca="false">IF(B53&gt;0,C53/B53,0)</f>
        <v>0</v>
      </c>
      <c r="F53" s="75"/>
      <c r="G53" s="75"/>
      <c r="H53" s="75"/>
      <c r="I53" s="75"/>
    </row>
    <row r="54" customFormat="false" ht="21.75" hidden="false" customHeight="true" outlineLevel="0" collapsed="false">
      <c r="A54" s="64" t="s">
        <v>350</v>
      </c>
      <c r="B54" s="74" t="n">
        <v>0</v>
      </c>
      <c r="C54" s="74" t="n">
        <v>0</v>
      </c>
      <c r="D54" s="74" t="n">
        <v>0</v>
      </c>
      <c r="E54" s="54" t="n">
        <f aca="false">IF(B54&gt;0,C54/B54,0)</f>
        <v>0</v>
      </c>
      <c r="F54" s="75"/>
      <c r="G54" s="75"/>
      <c r="H54" s="75"/>
      <c r="I54" s="75"/>
    </row>
    <row r="55" customFormat="false" ht="21.75" hidden="false" customHeight="true" outlineLevel="0" collapsed="false">
      <c r="A55" s="64" t="s">
        <v>351</v>
      </c>
      <c r="B55" s="74" t="n">
        <v>0</v>
      </c>
      <c r="C55" s="74" t="n">
        <v>0</v>
      </c>
      <c r="D55" s="74" t="n">
        <v>0</v>
      </c>
      <c r="E55" s="54" t="n">
        <f aca="false">IF(B55&gt;0,C55/B55,0)</f>
        <v>0</v>
      </c>
      <c r="F55" s="75"/>
      <c r="G55" s="75"/>
      <c r="H55" s="75"/>
      <c r="I55" s="75"/>
    </row>
    <row r="56" customFormat="false" ht="21.75" hidden="false" customHeight="true" outlineLevel="0" collapsed="false">
      <c r="A56" s="64" t="s">
        <v>501</v>
      </c>
      <c r="B56" s="76" t="n">
        <f aca="false">SUM(B38:B55)</f>
        <v>2958</v>
      </c>
      <c r="C56" s="76" t="n">
        <f aca="false">SUM(C38:C55)</f>
        <v>426.8</v>
      </c>
      <c r="D56" s="76" t="n">
        <f aca="false">SUM(D38:D55)</f>
        <v>261</v>
      </c>
    </row>
    <row r="58" customFormat="false" ht="18.75" hidden="false" customHeight="true" outlineLevel="0" collapsed="false">
      <c r="A58" s="49" t="s">
        <v>502</v>
      </c>
      <c r="B58" s="49"/>
      <c r="C58" s="49"/>
      <c r="D58" s="49"/>
      <c r="E58" s="49"/>
      <c r="F58" s="49"/>
      <c r="G58" s="49"/>
      <c r="H58" s="49"/>
      <c r="I58" s="49"/>
    </row>
    <row r="59" customFormat="false" ht="15" hidden="false" customHeight="false" outlineLevel="0" collapsed="false">
      <c r="A59" s="49"/>
      <c r="B59" s="49"/>
      <c r="C59" s="49"/>
      <c r="D59" s="49"/>
      <c r="E59" s="49"/>
      <c r="F59" s="49"/>
      <c r="G59" s="49"/>
      <c r="H59" s="49"/>
      <c r="I59" s="49"/>
    </row>
    <row r="62" customFormat="false" ht="24.75" hidden="false" customHeight="true" outlineLevel="0" collapsed="false">
      <c r="A62" s="4" t="s">
        <v>503</v>
      </c>
    </row>
    <row r="63" customFormat="false" ht="53.25" hidden="false" customHeight="true" outlineLevel="0" collapsed="false">
      <c r="A63" s="7" t="s">
        <v>504</v>
      </c>
      <c r="B63" s="7" t="s">
        <v>505</v>
      </c>
      <c r="C63" s="7" t="s">
        <v>506</v>
      </c>
      <c r="D63" s="7" t="s">
        <v>507</v>
      </c>
      <c r="E63" s="7" t="s">
        <v>508</v>
      </c>
      <c r="F63" s="7" t="s">
        <v>509</v>
      </c>
      <c r="G63" s="7" t="s">
        <v>510</v>
      </c>
      <c r="H63" s="7" t="s">
        <v>511</v>
      </c>
      <c r="I63" s="7" t="s">
        <v>512</v>
      </c>
      <c r="J63" s="7" t="s">
        <v>513</v>
      </c>
    </row>
    <row r="64" customFormat="false" ht="21.75" hidden="false" customHeight="true" outlineLevel="0" collapsed="false">
      <c r="A64" s="9" t="s">
        <v>514</v>
      </c>
      <c r="B64" s="77" t="n">
        <v>4.31</v>
      </c>
      <c r="C64" s="78" t="n">
        <v>13.9</v>
      </c>
      <c r="D64" s="79" t="n">
        <v>560</v>
      </c>
      <c r="E64" s="80" t="n">
        <v>0.202</v>
      </c>
      <c r="F64" s="81" t="n">
        <f aca="false">MAX(0,E64-(1-Assumptions!$B$7))*Assumptions!$B$6</f>
        <v>0</v>
      </c>
      <c r="G64" s="78" t="n">
        <v>0</v>
      </c>
      <c r="H64" s="74" t="n">
        <v>299</v>
      </c>
      <c r="I64" s="74" t="n">
        <v>3</v>
      </c>
      <c r="J64" s="82" t="s">
        <v>515</v>
      </c>
    </row>
    <row r="65" customFormat="false" ht="37.5" hidden="false" customHeight="true" outlineLevel="0" collapsed="false">
      <c r="A65" s="9" t="s">
        <v>516</v>
      </c>
      <c r="B65" s="77" t="n">
        <v>2.9</v>
      </c>
      <c r="C65" s="78" t="n">
        <v>10.5</v>
      </c>
      <c r="D65" s="79" t="n">
        <v>244</v>
      </c>
      <c r="E65" s="80" t="n">
        <v>0.249</v>
      </c>
      <c r="F65" s="81" t="n">
        <f aca="false">MAX(0,E65-(1-Assumptions!$B$7))*Assumptions!$B$6</f>
        <v>136.16</v>
      </c>
      <c r="G65" s="78" t="n">
        <v>0</v>
      </c>
      <c r="H65" s="74" t="n">
        <v>232</v>
      </c>
      <c r="I65" s="74" t="n">
        <v>3</v>
      </c>
      <c r="J65" s="82" t="s">
        <v>517</v>
      </c>
    </row>
    <row r="66" customFormat="false" ht="21.75" hidden="false" customHeight="true" outlineLevel="0" collapsed="false">
      <c r="A66" s="9" t="s">
        <v>518</v>
      </c>
      <c r="B66" s="77" t="n">
        <v>0.46</v>
      </c>
      <c r="C66" s="78" t="n">
        <v>1.9</v>
      </c>
      <c r="D66" s="79" t="n">
        <v>2</v>
      </c>
      <c r="E66" s="80" t="n">
        <v>0.398</v>
      </c>
      <c r="F66" s="81" t="n">
        <f aca="false">MAX(0,E66-(1-Assumptions!$B$7))*Assumptions!$B$6</f>
        <v>577.2</v>
      </c>
      <c r="G66" s="78" t="n">
        <v>0.45</v>
      </c>
      <c r="H66" s="74" t="n">
        <v>58</v>
      </c>
      <c r="I66" s="74" t="n">
        <v>28</v>
      </c>
      <c r="J66" s="82" t="s">
        <v>519</v>
      </c>
    </row>
    <row r="67" customFormat="false" ht="37.5" hidden="false" customHeight="true" outlineLevel="0" collapsed="false">
      <c r="A67" s="9" t="s">
        <v>520</v>
      </c>
      <c r="B67" s="77" t="n">
        <v>0.6</v>
      </c>
      <c r="C67" s="78" t="n">
        <v>3.1</v>
      </c>
      <c r="D67" s="79" t="n">
        <v>49</v>
      </c>
      <c r="E67" s="80" t="n">
        <v>0.498</v>
      </c>
      <c r="F67" s="81" t="n">
        <f aca="false">MAX(0,E67-(1-Assumptions!$B$7))*Assumptions!$B$6</f>
        <v>873.2</v>
      </c>
      <c r="G67" s="78" t="n">
        <v>0.65</v>
      </c>
      <c r="H67" s="74" t="n">
        <v>17</v>
      </c>
      <c r="I67" s="74" t="n">
        <v>87</v>
      </c>
      <c r="J67" s="82" t="s">
        <v>521</v>
      </c>
    </row>
    <row r="68" customFormat="false" ht="21.75" hidden="false" customHeight="true" outlineLevel="0" collapsed="false">
      <c r="A68" s="9" t="s">
        <v>522</v>
      </c>
      <c r="B68" s="77" t="n">
        <v>1.39</v>
      </c>
      <c r="C68" s="78" t="n">
        <v>5.2</v>
      </c>
      <c r="D68" s="79" t="n">
        <v>17</v>
      </c>
      <c r="E68" s="80" t="n">
        <v>0.319</v>
      </c>
      <c r="F68" s="81" t="n">
        <f aca="false">MAX(0,E68-(1-Assumptions!$B$7))*Assumptions!$B$6</f>
        <v>343.36</v>
      </c>
      <c r="G68" s="78" t="n">
        <v>0</v>
      </c>
      <c r="H68" s="74" t="n">
        <v>134</v>
      </c>
      <c r="I68" s="74" t="n">
        <v>5</v>
      </c>
      <c r="J68" s="82" t="s">
        <v>523</v>
      </c>
    </row>
    <row r="69" customFormat="false" ht="37.5" hidden="false" customHeight="true" outlineLevel="0" collapsed="false">
      <c r="A69" s="9" t="s">
        <v>524</v>
      </c>
      <c r="B69" s="77" t="n">
        <v>2.43</v>
      </c>
      <c r="C69" s="78" t="n">
        <v>7.7</v>
      </c>
      <c r="D69" s="79" t="n">
        <v>178</v>
      </c>
      <c r="E69" s="80" t="n">
        <v>0.441</v>
      </c>
      <c r="F69" s="81" t="n">
        <f aca="false">MAX(0,E69-(1-Assumptions!$B$7))*Assumptions!$B$6</f>
        <v>704.48</v>
      </c>
      <c r="G69" s="78" t="n">
        <v>0.6</v>
      </c>
      <c r="H69" s="74" t="n">
        <v>96</v>
      </c>
      <c r="I69" s="74" t="n">
        <v>156</v>
      </c>
      <c r="J69" s="82" t="s">
        <v>525</v>
      </c>
    </row>
    <row r="70" customFormat="false" ht="37.5" hidden="false" customHeight="true" outlineLevel="0" collapsed="false">
      <c r="A70" s="9" t="s">
        <v>526</v>
      </c>
      <c r="B70" s="77" t="n">
        <v>1.92</v>
      </c>
      <c r="C70" s="78" t="n">
        <v>7</v>
      </c>
      <c r="D70" s="79" t="n">
        <v>49</v>
      </c>
      <c r="E70" s="80" t="n">
        <v>0.352</v>
      </c>
      <c r="F70" s="81" t="n">
        <f aca="false">MAX(0,E70-(1-Assumptions!$B$7))*Assumptions!$B$6</f>
        <v>441.04</v>
      </c>
      <c r="G70" s="78" t="n">
        <v>0.25</v>
      </c>
      <c r="H70" s="74" t="n">
        <v>166</v>
      </c>
      <c r="I70" s="74" t="n">
        <v>12</v>
      </c>
      <c r="J70" s="82" t="s">
        <v>527</v>
      </c>
    </row>
    <row r="71" customFormat="false" ht="21.75" hidden="false" customHeight="true" outlineLevel="0" collapsed="false">
      <c r="A71" s="9" t="s">
        <v>528</v>
      </c>
      <c r="B71" s="77" t="n">
        <v>0.8</v>
      </c>
      <c r="C71" s="78" t="n">
        <v>2.1</v>
      </c>
      <c r="D71" s="79" t="n">
        <v>0</v>
      </c>
      <c r="E71" s="80" t="n">
        <v>0.291</v>
      </c>
      <c r="F71" s="81" t="n">
        <f aca="false">MAX(0,E71-(1-Assumptions!$B$7))*Assumptions!$B$6</f>
        <v>260.48</v>
      </c>
      <c r="G71" s="78" t="n">
        <v>0</v>
      </c>
      <c r="H71" s="74" t="n">
        <v>63</v>
      </c>
      <c r="I71" s="74" t="n">
        <v>13</v>
      </c>
      <c r="J71" s="82" t="s">
        <v>529</v>
      </c>
    </row>
    <row r="72" customFormat="false" ht="21.75" hidden="false" customHeight="true" outlineLevel="0" collapsed="false">
      <c r="A72" s="9" t="s">
        <v>530</v>
      </c>
      <c r="B72" s="77" t="n">
        <v>0.76</v>
      </c>
      <c r="C72" s="78" t="n">
        <v>2</v>
      </c>
      <c r="D72" s="79" t="n">
        <v>0</v>
      </c>
      <c r="E72" s="80" t="n">
        <v>0.303</v>
      </c>
      <c r="F72" s="81" t="n">
        <f aca="false">MAX(0,E72-(1-Assumptions!$B$7))*Assumptions!$B$6</f>
        <v>296</v>
      </c>
      <c r="G72" s="78" t="n">
        <v>0.05</v>
      </c>
      <c r="H72" s="74" t="n">
        <v>54</v>
      </c>
      <c r="I72" s="74" t="n">
        <v>18</v>
      </c>
      <c r="J72" s="82" t="s">
        <v>531</v>
      </c>
    </row>
    <row r="75" customFormat="false" ht="24.75" hidden="false" customHeight="true" outlineLevel="0" collapsed="false">
      <c r="A75" s="4" t="s">
        <v>532</v>
      </c>
    </row>
    <row r="76" customFormat="false" ht="53.25" hidden="false" customHeight="true" outlineLevel="0" collapsed="false">
      <c r="A76" s="7" t="s">
        <v>504</v>
      </c>
      <c r="B76" s="7" t="s">
        <v>533</v>
      </c>
      <c r="C76" s="7" t="s">
        <v>534</v>
      </c>
      <c r="D76" s="7" t="s">
        <v>535</v>
      </c>
      <c r="E76" s="7" t="s">
        <v>536</v>
      </c>
      <c r="F76" s="7" t="s">
        <v>537</v>
      </c>
      <c r="G76" s="7" t="s">
        <v>538</v>
      </c>
      <c r="J76" s="7" t="s">
        <v>513</v>
      </c>
    </row>
    <row r="77" customFormat="false" ht="21.75" hidden="false" customHeight="true" outlineLevel="0" collapsed="false">
      <c r="A77" s="9" t="s">
        <v>514</v>
      </c>
      <c r="B77" s="77" t="n">
        <v>4.31</v>
      </c>
      <c r="C77" s="77" t="n">
        <v>0.81</v>
      </c>
      <c r="D77" s="77" t="n">
        <v>12.05</v>
      </c>
      <c r="E77" s="77" t="n">
        <v>8.78</v>
      </c>
      <c r="F77" s="77" t="n">
        <v>5.95</v>
      </c>
      <c r="G77" s="77" t="n">
        <v>6.52</v>
      </c>
      <c r="H77" s="83"/>
      <c r="I77" s="83"/>
      <c r="J77" s="82" t="s">
        <v>515</v>
      </c>
    </row>
    <row r="78" customFormat="false" ht="37.5" hidden="false" customHeight="true" outlineLevel="0" collapsed="false">
      <c r="A78" s="9" t="s">
        <v>516</v>
      </c>
      <c r="B78" s="77" t="n">
        <v>2.9</v>
      </c>
      <c r="C78" s="77" t="n">
        <v>0.42</v>
      </c>
      <c r="D78" s="77" t="n">
        <v>8.58</v>
      </c>
      <c r="E78" s="77" t="n">
        <v>6.16</v>
      </c>
      <c r="F78" s="77" t="n">
        <v>4.56</v>
      </c>
      <c r="G78" s="77" t="n">
        <v>4.01</v>
      </c>
      <c r="H78" s="83"/>
      <c r="I78" s="83"/>
      <c r="J78" s="82" t="s">
        <v>517</v>
      </c>
    </row>
    <row r="79" customFormat="false" ht="21.75" hidden="false" customHeight="true" outlineLevel="0" collapsed="false">
      <c r="A79" s="9" t="s">
        <v>518</v>
      </c>
      <c r="B79" s="77" t="n">
        <v>0.46</v>
      </c>
      <c r="C79" s="77" t="n">
        <v>0.07</v>
      </c>
      <c r="D79" s="77" t="n">
        <v>2.3</v>
      </c>
      <c r="E79" s="77" t="n">
        <v>0.81</v>
      </c>
      <c r="F79" s="77" t="n">
        <v>1.48</v>
      </c>
      <c r="G79" s="77" t="n">
        <v>0.66</v>
      </c>
      <c r="H79" s="83"/>
      <c r="I79" s="83"/>
      <c r="J79" s="82" t="s">
        <v>519</v>
      </c>
    </row>
    <row r="80" customFormat="false" ht="37.5" hidden="false" customHeight="true" outlineLevel="0" collapsed="false">
      <c r="A80" s="9" t="s">
        <v>520</v>
      </c>
      <c r="B80" s="77" t="n">
        <v>0.6</v>
      </c>
      <c r="C80" s="77" t="n">
        <v>0.1</v>
      </c>
      <c r="D80" s="77" t="n">
        <v>1.93</v>
      </c>
      <c r="E80" s="77" t="n">
        <v>0.63</v>
      </c>
      <c r="F80" s="77" t="n">
        <v>1.25</v>
      </c>
      <c r="G80" s="77" t="n">
        <v>1.74</v>
      </c>
      <c r="H80" s="83"/>
      <c r="I80" s="83"/>
      <c r="J80" s="82" t="s">
        <v>521</v>
      </c>
    </row>
    <row r="81" customFormat="false" ht="21.75" hidden="false" customHeight="true" outlineLevel="0" collapsed="false">
      <c r="A81" s="9" t="s">
        <v>522</v>
      </c>
      <c r="B81" s="77" t="n">
        <v>1.39</v>
      </c>
      <c r="C81" s="77" t="n">
        <v>0.16</v>
      </c>
      <c r="D81" s="77" t="n">
        <v>4.27</v>
      </c>
      <c r="E81" s="77" t="n">
        <v>2.97</v>
      </c>
      <c r="F81" s="77" t="n">
        <v>2.67</v>
      </c>
      <c r="G81" s="77" t="n">
        <v>1.63</v>
      </c>
      <c r="H81" s="83"/>
      <c r="I81" s="83"/>
      <c r="J81" s="82" t="s">
        <v>523</v>
      </c>
    </row>
    <row r="82" customFormat="false" ht="37.5" hidden="false" customHeight="true" outlineLevel="0" collapsed="false">
      <c r="A82" s="9" t="s">
        <v>524</v>
      </c>
      <c r="B82" s="77" t="n">
        <v>2.43</v>
      </c>
      <c r="C82" s="77" t="n">
        <v>0.64</v>
      </c>
      <c r="D82" s="77" t="n">
        <v>6.51</v>
      </c>
      <c r="E82" s="77" t="n">
        <v>8.94</v>
      </c>
      <c r="F82" s="77" t="n">
        <v>1.42</v>
      </c>
      <c r="G82" s="77" t="n">
        <v>5.13</v>
      </c>
      <c r="H82" s="83"/>
      <c r="I82" s="83"/>
      <c r="J82" s="82" t="s">
        <v>525</v>
      </c>
    </row>
    <row r="83" customFormat="false" ht="21.75" hidden="false" customHeight="true" outlineLevel="0" collapsed="false">
      <c r="A83" s="9" t="s">
        <v>528</v>
      </c>
      <c r="B83" s="77" t="n">
        <v>0.8</v>
      </c>
      <c r="C83" s="77" t="n">
        <v>0.38</v>
      </c>
      <c r="D83" s="77" t="n">
        <v>2.02</v>
      </c>
      <c r="E83" s="77" t="n">
        <v>0.95</v>
      </c>
      <c r="F83" s="77" t="n">
        <v>1.34</v>
      </c>
      <c r="G83" s="77" t="n">
        <v>0.94</v>
      </c>
      <c r="H83" s="83"/>
      <c r="I83" s="83"/>
      <c r="J83" s="82" t="s">
        <v>529</v>
      </c>
    </row>
    <row r="84" customFormat="false" ht="21.75" hidden="false" customHeight="true" outlineLevel="0" collapsed="false">
      <c r="A84" s="9" t="s">
        <v>530</v>
      </c>
      <c r="B84" s="77" t="n">
        <v>0.76</v>
      </c>
      <c r="C84" s="77" t="n">
        <v>0.33</v>
      </c>
      <c r="D84" s="77" t="n">
        <v>2.05</v>
      </c>
      <c r="E84" s="77" t="n">
        <v>1.17</v>
      </c>
      <c r="F84" s="77" t="n">
        <v>1.09</v>
      </c>
      <c r="G84" s="77" t="n">
        <v>0.83</v>
      </c>
      <c r="H84" s="83"/>
      <c r="I84" s="83"/>
      <c r="J84" s="82" t="s">
        <v>531</v>
      </c>
    </row>
    <row r="85" customFormat="false" ht="21.75" hidden="false" customHeight="true" outlineLevel="0" collapsed="false">
      <c r="A85" s="84" t="s">
        <v>539</v>
      </c>
      <c r="B85" s="85" t="str">
        <f aca="false">INDEX($J$77:$J$84,MATCH(MIN(B77:B84),B77:B84,0))</f>
        <v>Fixed 40% (forced)</v>
      </c>
      <c r="C85" s="85" t="str">
        <f aca="false">INDEX($J$77:$J$84,MATCH(MIN(C77:C84),C77:C84,0))</f>
        <v>Fixed 40% (forced)</v>
      </c>
      <c r="D85" s="85" t="str">
        <f aca="false">INDEX($J$77:$J$84,MATCH(MIN(D77:D84),D77:D84,0))</f>
        <v>Fixed 50/50 (forced)</v>
      </c>
      <c r="E85" s="85" t="str">
        <f aca="false">INDEX($J$77:$J$84,MATCH(MIN(E77:E84),E77:E84,0))</f>
        <v>Fixed 50/50 (forced)</v>
      </c>
      <c r="F85" s="85" t="str">
        <f aca="false">INDEX($J$77:$J$84,MATCH(MIN(F77:F84),F77:F84,0))</f>
        <v>Screens (100%)</v>
      </c>
      <c r="G85" s="85" t="str">
        <f aca="false">INDEX($J$77:$J$84,MATCH(MIN(G77:G84),G77:G84,0))</f>
        <v>Fixed 40% (forced)</v>
      </c>
    </row>
    <row r="86" customFormat="false" ht="37.5" hidden="false" customHeight="true" outlineLevel="0" collapsed="false">
      <c r="A86" s="86" t="s">
        <v>540</v>
      </c>
      <c r="B86" s="87" t="n">
        <f aca="false">B81-B83</f>
        <v>0.59</v>
      </c>
      <c r="C86" s="87" t="n">
        <f aca="false">C81-C83</f>
        <v>-0.22</v>
      </c>
      <c r="D86" s="87" t="n">
        <f aca="false">D81-D83</f>
        <v>2.25</v>
      </c>
      <c r="E86" s="87" t="n">
        <f aca="false">E81-E83</f>
        <v>2.02</v>
      </c>
      <c r="F86" s="87" t="n">
        <f aca="false">F81-F83</f>
        <v>1.33</v>
      </c>
      <c r="G86" s="87" t="n">
        <f aca="false">G81-G83</f>
        <v>0.69</v>
      </c>
    </row>
    <row r="88" customFormat="false" ht="24.75" hidden="false" customHeight="true" outlineLevel="0" collapsed="false">
      <c r="A88" s="4" t="s">
        <v>541</v>
      </c>
    </row>
    <row r="89" customFormat="false" ht="53.25" hidden="false" customHeight="true" outlineLevel="0" collapsed="false">
      <c r="A89" s="5" t="s">
        <v>542</v>
      </c>
      <c r="B89" s="5"/>
      <c r="C89" s="5"/>
      <c r="D89" s="5"/>
      <c r="E89" s="5"/>
      <c r="F89" s="5"/>
      <c r="G89" s="5"/>
      <c r="H89" s="5"/>
      <c r="I89" s="5"/>
    </row>
    <row r="90" customFormat="false" ht="37.5" hidden="false" customHeight="true" outlineLevel="0" collapsed="false">
      <c r="A90" s="5" t="s">
        <v>543</v>
      </c>
      <c r="B90" s="5"/>
      <c r="C90" s="5"/>
      <c r="D90" s="5"/>
      <c r="E90" s="5"/>
      <c r="F90" s="5"/>
      <c r="G90" s="5"/>
      <c r="H90" s="5"/>
      <c r="I90" s="5"/>
    </row>
    <row r="91" customFormat="false" ht="37.5" hidden="false" customHeight="true" outlineLevel="0" collapsed="false">
      <c r="A91" s="5" t="s">
        <v>544</v>
      </c>
      <c r="B91" s="5"/>
      <c r="C91" s="5"/>
      <c r="D91" s="5"/>
      <c r="E91" s="5"/>
      <c r="F91" s="5"/>
      <c r="G91" s="5"/>
      <c r="H91" s="5"/>
      <c r="I91" s="5"/>
    </row>
    <row r="92" customFormat="false" ht="37.5" hidden="false" customHeight="true" outlineLevel="0" collapsed="false">
      <c r="A92" s="5" t="s">
        <v>545</v>
      </c>
      <c r="B92" s="5"/>
      <c r="C92" s="5"/>
      <c r="D92" s="5"/>
      <c r="E92" s="5"/>
      <c r="F92" s="5"/>
      <c r="G92" s="5"/>
      <c r="H92" s="5"/>
      <c r="I92" s="5"/>
    </row>
    <row r="93" customFormat="false" ht="69.75" hidden="false" customHeight="true" outlineLevel="0" collapsed="false">
      <c r="A93" s="5" t="s">
        <v>546</v>
      </c>
      <c r="B93" s="5"/>
      <c r="C93" s="5"/>
      <c r="D93" s="5"/>
      <c r="E93" s="5"/>
      <c r="F93" s="5"/>
      <c r="G93" s="5"/>
      <c r="H93" s="5"/>
      <c r="I93" s="5"/>
    </row>
    <row r="94" customFormat="false" ht="37.5" hidden="false" customHeight="true" outlineLevel="0" collapsed="false">
      <c r="A94" s="5" t="s">
        <v>547</v>
      </c>
      <c r="B94" s="5"/>
      <c r="C94" s="5"/>
      <c r="D94" s="5"/>
      <c r="E94" s="5"/>
      <c r="F94" s="5"/>
      <c r="G94" s="5"/>
      <c r="H94" s="5"/>
      <c r="I94" s="5"/>
    </row>
    <row r="97" customFormat="false" ht="24.75" hidden="false" customHeight="true" outlineLevel="0" collapsed="false">
      <c r="A97" s="4" t="s">
        <v>548</v>
      </c>
    </row>
    <row r="98" customFormat="false" ht="101.25" hidden="false" customHeight="true" outlineLevel="0" collapsed="false">
      <c r="A98" s="7" t="s">
        <v>332</v>
      </c>
      <c r="B98" s="7" t="s">
        <v>514</v>
      </c>
      <c r="C98" s="7" t="s">
        <v>516</v>
      </c>
      <c r="D98" s="7" t="s">
        <v>524</v>
      </c>
      <c r="E98" s="7" t="s">
        <v>522</v>
      </c>
      <c r="F98" s="7" t="s">
        <v>528</v>
      </c>
    </row>
    <row r="99" customFormat="false" ht="21.75" hidden="false" customHeight="true" outlineLevel="0" collapsed="false">
      <c r="A99" s="64" t="s">
        <v>343</v>
      </c>
      <c r="B99" s="72" t="n">
        <v>0</v>
      </c>
      <c r="C99" s="72" t="n">
        <v>0</v>
      </c>
      <c r="D99" s="72" t="n">
        <v>0</v>
      </c>
      <c r="E99" s="72" t="n">
        <v>0</v>
      </c>
      <c r="F99" s="72" t="n">
        <v>0</v>
      </c>
    </row>
    <row r="100" customFormat="false" ht="21.75" hidden="false" customHeight="true" outlineLevel="0" collapsed="false">
      <c r="A100" s="64" t="s">
        <v>344</v>
      </c>
      <c r="B100" s="72" t="n">
        <v>0</v>
      </c>
      <c r="C100" s="72" t="n">
        <v>0</v>
      </c>
      <c r="D100" s="72" t="n">
        <v>0</v>
      </c>
      <c r="E100" s="72" t="n">
        <v>0</v>
      </c>
      <c r="F100" s="72" t="n">
        <v>0</v>
      </c>
    </row>
    <row r="101" customFormat="false" ht="21.75" hidden="false" customHeight="true" outlineLevel="0" collapsed="false">
      <c r="A101" s="64" t="s">
        <v>345</v>
      </c>
      <c r="B101" s="72" t="n">
        <v>0</v>
      </c>
      <c r="C101" s="72" t="n">
        <v>0</v>
      </c>
      <c r="D101" s="72" t="n">
        <v>0</v>
      </c>
      <c r="E101" s="72" t="n">
        <v>0</v>
      </c>
      <c r="F101" s="72" t="n">
        <v>0</v>
      </c>
    </row>
    <row r="102" customFormat="false" ht="21.75" hidden="false" customHeight="true" outlineLevel="0" collapsed="false">
      <c r="A102" s="64" t="s">
        <v>146</v>
      </c>
      <c r="B102" s="72" t="n">
        <v>0.09</v>
      </c>
      <c r="C102" s="72" t="n">
        <v>0.06</v>
      </c>
      <c r="D102" s="72" t="n">
        <v>0.34</v>
      </c>
      <c r="E102" s="72" t="n">
        <v>0.04</v>
      </c>
      <c r="F102" s="72" t="n">
        <v>0.09</v>
      </c>
    </row>
    <row r="103" customFormat="false" ht="21.75" hidden="false" customHeight="true" outlineLevel="0" collapsed="false">
      <c r="A103" s="64" t="s">
        <v>346</v>
      </c>
      <c r="B103" s="72" t="n">
        <v>0.25</v>
      </c>
      <c r="C103" s="72" t="n">
        <v>0.13</v>
      </c>
      <c r="D103" s="72" t="n">
        <v>1.4</v>
      </c>
      <c r="E103" s="72" t="n">
        <v>0.1</v>
      </c>
      <c r="F103" s="72" t="n">
        <v>0.25</v>
      </c>
    </row>
    <row r="104" customFormat="false" ht="21.75" hidden="false" customHeight="true" outlineLevel="0" collapsed="false">
      <c r="A104" s="64" t="s">
        <v>347</v>
      </c>
      <c r="B104" s="72" t="n">
        <v>0.53</v>
      </c>
      <c r="C104" s="72" t="n">
        <v>0.26</v>
      </c>
      <c r="D104" s="72" t="n">
        <v>3.33</v>
      </c>
      <c r="E104" s="72" t="n">
        <v>0.12</v>
      </c>
      <c r="F104" s="72" t="n">
        <v>0.48</v>
      </c>
    </row>
    <row r="105" customFormat="false" ht="21.75" hidden="false" customHeight="true" outlineLevel="0" collapsed="false">
      <c r="A105" s="64" t="s">
        <v>155</v>
      </c>
      <c r="B105" s="72" t="n">
        <v>1.19</v>
      </c>
      <c r="C105" s="72" t="n">
        <v>0.77</v>
      </c>
      <c r="D105" s="72" t="n">
        <v>2.77</v>
      </c>
      <c r="E105" s="72" t="n">
        <v>0.3</v>
      </c>
      <c r="F105" s="72" t="n">
        <v>0.81</v>
      </c>
    </row>
    <row r="106" customFormat="false" ht="21.75" hidden="false" customHeight="true" outlineLevel="0" collapsed="false">
      <c r="A106" s="64" t="s">
        <v>159</v>
      </c>
      <c r="B106" s="72" t="n">
        <v>2.03</v>
      </c>
      <c r="C106" s="72" t="n">
        <v>1.18</v>
      </c>
      <c r="D106" s="72" t="n">
        <v>1.76</v>
      </c>
      <c r="E106" s="72" t="n">
        <v>0.3</v>
      </c>
      <c r="F106" s="72" t="n">
        <v>0.88</v>
      </c>
    </row>
    <row r="107" customFormat="false" ht="21.75" hidden="false" customHeight="true" outlineLevel="0" collapsed="false">
      <c r="A107" s="64" t="s">
        <v>162</v>
      </c>
      <c r="B107" s="72" t="n">
        <v>2.04</v>
      </c>
      <c r="C107" s="72" t="n">
        <v>1.26</v>
      </c>
      <c r="D107" s="72" t="n">
        <v>0.53</v>
      </c>
      <c r="E107" s="72" t="n">
        <v>0.37</v>
      </c>
      <c r="F107" s="72" t="n">
        <v>0.65</v>
      </c>
    </row>
    <row r="108" customFormat="false" ht="21.75" hidden="false" customHeight="true" outlineLevel="0" collapsed="false">
      <c r="A108" s="64" t="s">
        <v>147</v>
      </c>
      <c r="B108" s="72" t="n">
        <v>1.81</v>
      </c>
      <c r="C108" s="72" t="n">
        <v>1.02</v>
      </c>
      <c r="D108" s="72" t="n">
        <v>0.29</v>
      </c>
      <c r="E108" s="72" t="n">
        <v>0.36</v>
      </c>
      <c r="F108" s="72" t="n">
        <v>0.59</v>
      </c>
    </row>
    <row r="109" customFormat="false" ht="21.75" hidden="false" customHeight="true" outlineLevel="0" collapsed="false">
      <c r="A109" s="64" t="s">
        <v>348</v>
      </c>
      <c r="B109" s="72" t="n">
        <v>4.8</v>
      </c>
      <c r="C109" s="72" t="n">
        <v>3.25</v>
      </c>
      <c r="D109" s="72" t="n">
        <v>2.19</v>
      </c>
      <c r="E109" s="72" t="n">
        <v>1.76</v>
      </c>
      <c r="F109" s="72" t="n">
        <v>1.19</v>
      </c>
    </row>
    <row r="110" customFormat="false" ht="21.75" hidden="false" customHeight="true" outlineLevel="0" collapsed="false">
      <c r="A110" s="64" t="s">
        <v>349</v>
      </c>
      <c r="B110" s="72" t="n">
        <v>8.97</v>
      </c>
      <c r="C110" s="72" t="n">
        <v>6.14</v>
      </c>
      <c r="D110" s="72" t="n">
        <v>3.15</v>
      </c>
      <c r="E110" s="72" t="n">
        <v>3.33</v>
      </c>
      <c r="F110" s="72" t="n">
        <v>1.32</v>
      </c>
    </row>
    <row r="111" customFormat="false" ht="21.75" hidden="false" customHeight="true" outlineLevel="0" collapsed="false">
      <c r="A111" s="64" t="s">
        <v>156</v>
      </c>
      <c r="B111" s="72" t="n">
        <v>11.69</v>
      </c>
      <c r="C111" s="72" t="n">
        <v>8.54</v>
      </c>
      <c r="D111" s="72" t="n">
        <v>5.38</v>
      </c>
      <c r="E111" s="72" t="n">
        <v>4.17</v>
      </c>
      <c r="F111" s="72" t="n">
        <v>1.31</v>
      </c>
    </row>
    <row r="112" customFormat="false" ht="21.75" hidden="false" customHeight="true" outlineLevel="0" collapsed="false">
      <c r="A112" s="64" t="s">
        <v>160</v>
      </c>
      <c r="B112" s="72" t="n">
        <v>11.13</v>
      </c>
      <c r="C112" s="72" t="n">
        <v>7.57</v>
      </c>
      <c r="D112" s="72" t="n">
        <v>4.97</v>
      </c>
      <c r="E112" s="72" t="n">
        <v>3.75</v>
      </c>
      <c r="F112" s="72" t="n">
        <v>0.82</v>
      </c>
    </row>
    <row r="113" customFormat="false" ht="21.75" hidden="false" customHeight="true" outlineLevel="0" collapsed="false">
      <c r="A113" s="64" t="s">
        <v>163</v>
      </c>
      <c r="B113" s="72" t="n">
        <v>7.42</v>
      </c>
      <c r="C113" s="72" t="n">
        <v>4.03</v>
      </c>
      <c r="D113" s="72" t="n">
        <v>3.27</v>
      </c>
      <c r="E113" s="72" t="n">
        <v>0.99</v>
      </c>
      <c r="F113" s="72" t="n">
        <v>0.06</v>
      </c>
    </row>
    <row r="114" customFormat="false" ht="21.75" hidden="false" customHeight="true" outlineLevel="0" collapsed="false">
      <c r="A114" s="64" t="s">
        <v>150</v>
      </c>
      <c r="B114" s="72" t="n">
        <v>0</v>
      </c>
      <c r="C114" s="72" t="n">
        <v>0</v>
      </c>
      <c r="D114" s="72" t="n">
        <v>0</v>
      </c>
      <c r="E114" s="72" t="n">
        <v>0</v>
      </c>
      <c r="F114" s="72" t="n">
        <v>0</v>
      </c>
    </row>
    <row r="115" customFormat="false" ht="21.75" hidden="false" customHeight="true" outlineLevel="0" collapsed="false">
      <c r="A115" s="64" t="s">
        <v>350</v>
      </c>
      <c r="B115" s="72" t="n">
        <v>0</v>
      </c>
      <c r="C115" s="72" t="n">
        <v>0</v>
      </c>
      <c r="D115" s="72" t="n">
        <v>0</v>
      </c>
      <c r="E115" s="72" t="n">
        <v>0</v>
      </c>
      <c r="F115" s="72" t="n">
        <v>0</v>
      </c>
    </row>
    <row r="116" customFormat="false" ht="21.75" hidden="false" customHeight="true" outlineLevel="0" collapsed="false">
      <c r="A116" s="64" t="s">
        <v>351</v>
      </c>
      <c r="B116" s="72" t="n">
        <v>0</v>
      </c>
      <c r="C116" s="72" t="n">
        <v>0</v>
      </c>
      <c r="D116" s="72" t="n">
        <v>0</v>
      </c>
      <c r="E116" s="72" t="n">
        <v>0</v>
      </c>
      <c r="F116" s="72" t="n">
        <v>0</v>
      </c>
    </row>
  </sheetData>
  <mergeCells count="35">
    <mergeCell ref="A5:I5"/>
    <mergeCell ref="A6:I6"/>
    <mergeCell ref="A7:I7"/>
    <mergeCell ref="A8:I8"/>
    <mergeCell ref="A9:I9"/>
    <mergeCell ref="A10:I10"/>
    <mergeCell ref="A11:I11"/>
    <mergeCell ref="A12:I12"/>
    <mergeCell ref="B25:E25"/>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A58:I59"/>
    <mergeCell ref="A89:I89"/>
    <mergeCell ref="A90:I90"/>
    <mergeCell ref="A91:I91"/>
    <mergeCell ref="A92:I92"/>
    <mergeCell ref="A93:I93"/>
    <mergeCell ref="A94:I9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I3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6"/>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9" min="7" style="0" width="18"/>
  </cols>
  <sheetData>
    <row r="1" customFormat="false" ht="36" hidden="false" customHeight="true" outlineLevel="0" collapsed="false">
      <c r="A1" s="1" t="s">
        <v>549</v>
      </c>
      <c r="B1" s="2"/>
      <c r="C1" s="2"/>
      <c r="D1" s="2"/>
      <c r="E1" s="2"/>
      <c r="F1" s="2"/>
      <c r="G1" s="2"/>
      <c r="H1" s="2"/>
      <c r="I1" s="2"/>
    </row>
    <row r="2" customFormat="false" ht="21.75" hidden="false" customHeight="true" outlineLevel="0" collapsed="false">
      <c r="A2" s="3" t="s">
        <v>550</v>
      </c>
    </row>
    <row r="3" customFormat="false" ht="7.5" hidden="false" customHeight="true" outlineLevel="0" collapsed="false"/>
    <row r="4" customFormat="false" ht="37.5" hidden="false" customHeight="true" outlineLevel="0" collapsed="false">
      <c r="A4" s="7" t="s">
        <v>317</v>
      </c>
      <c r="B4" s="7" t="s">
        <v>318</v>
      </c>
      <c r="C4" s="7" t="s">
        <v>297</v>
      </c>
      <c r="D4" s="7" t="s">
        <v>332</v>
      </c>
      <c r="E4" s="7" t="s">
        <v>551</v>
      </c>
      <c r="F4" s="7" t="s">
        <v>338</v>
      </c>
      <c r="G4" s="7" t="s">
        <v>552</v>
      </c>
      <c r="H4" s="7" t="s">
        <v>553</v>
      </c>
      <c r="I4" s="7" t="s">
        <v>554</v>
      </c>
    </row>
    <row r="5" customFormat="false" ht="21.75" hidden="false" customHeight="true" outlineLevel="0" collapsed="false">
      <c r="A5" s="64" t="s">
        <v>324</v>
      </c>
      <c r="B5" s="64" t="s">
        <v>325</v>
      </c>
      <c r="C5" s="64" t="s">
        <v>300</v>
      </c>
      <c r="D5" s="64" t="s">
        <v>343</v>
      </c>
      <c r="E5" s="88" t="n">
        <v>0</v>
      </c>
      <c r="F5" s="88" t="n">
        <v>0</v>
      </c>
      <c r="G5" s="88" t="n">
        <v>0</v>
      </c>
      <c r="H5" s="88" t="n">
        <v>0</v>
      </c>
      <c r="I5" s="88" t="n">
        <v>0</v>
      </c>
    </row>
    <row r="6" customFormat="false" ht="21.75" hidden="false" customHeight="true" outlineLevel="0" collapsed="false">
      <c r="A6" s="64" t="s">
        <v>324</v>
      </c>
      <c r="B6" s="64" t="s">
        <v>325</v>
      </c>
      <c r="C6" s="64" t="s">
        <v>300</v>
      </c>
      <c r="D6" s="64" t="s">
        <v>344</v>
      </c>
      <c r="E6" s="88" t="n">
        <v>0</v>
      </c>
      <c r="F6" s="88" t="n">
        <v>0</v>
      </c>
      <c r="G6" s="88" t="n">
        <v>0</v>
      </c>
      <c r="H6" s="88" t="n">
        <v>0</v>
      </c>
      <c r="I6" s="88" t="n">
        <v>0</v>
      </c>
    </row>
    <row r="7" customFormat="false" ht="21.75" hidden="false" customHeight="true" outlineLevel="0" collapsed="false">
      <c r="A7" s="64" t="s">
        <v>324</v>
      </c>
      <c r="B7" s="64" t="s">
        <v>325</v>
      </c>
      <c r="C7" s="64" t="s">
        <v>300</v>
      </c>
      <c r="D7" s="64" t="s">
        <v>345</v>
      </c>
      <c r="E7" s="88" t="n">
        <v>0</v>
      </c>
      <c r="F7" s="88" t="n">
        <v>0</v>
      </c>
      <c r="G7" s="88" t="n">
        <v>0</v>
      </c>
      <c r="H7" s="88" t="n">
        <v>0</v>
      </c>
      <c r="I7" s="88" t="n">
        <v>0</v>
      </c>
    </row>
    <row r="8" customFormat="false" ht="21.75" hidden="false" customHeight="true" outlineLevel="0" collapsed="false">
      <c r="A8" s="64" t="s">
        <v>324</v>
      </c>
      <c r="B8" s="64" t="s">
        <v>325</v>
      </c>
      <c r="C8" s="64" t="s">
        <v>300</v>
      </c>
      <c r="D8" s="64" t="s">
        <v>146</v>
      </c>
      <c r="E8" s="88" t="n">
        <v>14.52</v>
      </c>
      <c r="F8" s="88" t="n">
        <v>0.0195</v>
      </c>
      <c r="G8" s="88" t="n">
        <v>0.0335</v>
      </c>
      <c r="H8" s="88" t="n">
        <v>0.2811</v>
      </c>
      <c r="I8" s="88" t="n">
        <v>0.4835</v>
      </c>
    </row>
    <row r="9" customFormat="false" ht="21.75" hidden="false" customHeight="true" outlineLevel="0" collapsed="false">
      <c r="A9" s="64" t="s">
        <v>324</v>
      </c>
      <c r="B9" s="64" t="s">
        <v>325</v>
      </c>
      <c r="C9" s="64" t="s">
        <v>300</v>
      </c>
      <c r="D9" s="64" t="s">
        <v>346</v>
      </c>
      <c r="E9" s="88" t="n">
        <v>18.77</v>
      </c>
      <c r="F9" s="88" t="n">
        <v>0.0272</v>
      </c>
      <c r="G9" s="88" t="n">
        <v>0.0333</v>
      </c>
      <c r="H9" s="88" t="n">
        <v>0.5063</v>
      </c>
      <c r="I9" s="88" t="n">
        <v>0.6245</v>
      </c>
    </row>
    <row r="10" customFormat="false" ht="21.75" hidden="false" customHeight="true" outlineLevel="0" collapsed="false">
      <c r="A10" s="64" t="s">
        <v>324</v>
      </c>
      <c r="B10" s="64" t="s">
        <v>325</v>
      </c>
      <c r="C10" s="64" t="s">
        <v>300</v>
      </c>
      <c r="D10" s="64" t="s">
        <v>347</v>
      </c>
      <c r="E10" s="88" t="n">
        <v>18.825</v>
      </c>
      <c r="F10" s="88" t="n">
        <v>0.037</v>
      </c>
      <c r="G10" s="88" t="n">
        <v>0.0335</v>
      </c>
      <c r="H10" s="88" t="n">
        <v>0.701</v>
      </c>
      <c r="I10" s="88" t="n">
        <v>0.6323</v>
      </c>
    </row>
    <row r="11" customFormat="false" ht="21.75" hidden="false" customHeight="true" outlineLevel="0" collapsed="false">
      <c r="A11" s="64" t="s">
        <v>324</v>
      </c>
      <c r="B11" s="64" t="s">
        <v>325</v>
      </c>
      <c r="C11" s="64" t="s">
        <v>300</v>
      </c>
      <c r="D11" s="64" t="s">
        <v>155</v>
      </c>
      <c r="E11" s="88" t="n">
        <v>22.915</v>
      </c>
      <c r="F11" s="88" t="n">
        <v>0.068</v>
      </c>
      <c r="G11" s="88" t="n">
        <v>0.0335</v>
      </c>
      <c r="H11" s="88" t="n">
        <v>1.5535</v>
      </c>
      <c r="I11" s="88" t="n">
        <v>0.7627</v>
      </c>
    </row>
    <row r="12" customFormat="false" ht="21.75" hidden="false" customHeight="true" outlineLevel="0" collapsed="false">
      <c r="A12" s="64" t="s">
        <v>324</v>
      </c>
      <c r="B12" s="64" t="s">
        <v>325</v>
      </c>
      <c r="C12" s="64" t="s">
        <v>300</v>
      </c>
      <c r="D12" s="64" t="s">
        <v>159</v>
      </c>
      <c r="E12" s="88" t="n">
        <v>20.35</v>
      </c>
      <c r="F12" s="88" t="n">
        <v>0.0399</v>
      </c>
      <c r="G12" s="88" t="n">
        <v>0.0334</v>
      </c>
      <c r="H12" s="88" t="n">
        <v>0.8137</v>
      </c>
      <c r="I12" s="88" t="n">
        <v>0.683</v>
      </c>
    </row>
    <row r="13" customFormat="false" ht="21.75" hidden="false" customHeight="true" outlineLevel="0" collapsed="false">
      <c r="A13" s="64" t="s">
        <v>324</v>
      </c>
      <c r="B13" s="64" t="s">
        <v>325</v>
      </c>
      <c r="C13" s="64" t="s">
        <v>300</v>
      </c>
      <c r="D13" s="64" t="s">
        <v>162</v>
      </c>
      <c r="E13" s="88" t="n">
        <v>16.86</v>
      </c>
      <c r="F13" s="88" t="n">
        <v>0.0222</v>
      </c>
      <c r="G13" s="88" t="n">
        <v>0.0334</v>
      </c>
      <c r="H13" s="88" t="n">
        <v>0.3785</v>
      </c>
      <c r="I13" s="88" t="n">
        <v>0.5664</v>
      </c>
    </row>
    <row r="14" customFormat="false" ht="21.75" hidden="false" customHeight="true" outlineLevel="0" collapsed="false">
      <c r="A14" s="64" t="s">
        <v>324</v>
      </c>
      <c r="B14" s="64" t="s">
        <v>325</v>
      </c>
      <c r="C14" s="64" t="s">
        <v>300</v>
      </c>
      <c r="D14" s="64" t="s">
        <v>147</v>
      </c>
      <c r="E14" s="88" t="n">
        <v>22.705</v>
      </c>
      <c r="F14" s="88" t="n">
        <v>0.0897</v>
      </c>
      <c r="G14" s="88" t="n">
        <v>0.0333</v>
      </c>
      <c r="H14" s="88" t="n">
        <v>1.9655</v>
      </c>
      <c r="I14" s="88" t="n">
        <v>0.7395</v>
      </c>
    </row>
    <row r="15" customFormat="false" ht="21.75" hidden="false" customHeight="true" outlineLevel="0" collapsed="false">
      <c r="A15" s="64" t="s">
        <v>324</v>
      </c>
      <c r="B15" s="64" t="s">
        <v>325</v>
      </c>
      <c r="C15" s="64" t="s">
        <v>300</v>
      </c>
      <c r="D15" s="64" t="s">
        <v>348</v>
      </c>
      <c r="E15" s="88" t="n">
        <v>29.56</v>
      </c>
      <c r="F15" s="88" t="n">
        <v>0.3055</v>
      </c>
      <c r="G15" s="88" t="n">
        <v>0.0333</v>
      </c>
      <c r="H15" s="88" t="n">
        <v>8.9063</v>
      </c>
      <c r="I15" s="88" t="n">
        <v>0.9701</v>
      </c>
    </row>
    <row r="16" customFormat="false" ht="21.75" hidden="false" customHeight="true" outlineLevel="0" collapsed="false">
      <c r="A16" s="64" t="s">
        <v>324</v>
      </c>
      <c r="B16" s="64" t="s">
        <v>325</v>
      </c>
      <c r="C16" s="64" t="s">
        <v>300</v>
      </c>
      <c r="D16" s="64" t="s">
        <v>349</v>
      </c>
      <c r="E16" s="88" t="n">
        <v>28.33</v>
      </c>
      <c r="F16" s="88" t="n">
        <v>0.3</v>
      </c>
      <c r="G16" s="88" t="n">
        <v>0.0332</v>
      </c>
      <c r="H16" s="88" t="n">
        <v>8.6</v>
      </c>
      <c r="I16" s="88" t="n">
        <v>0.9521</v>
      </c>
    </row>
    <row r="17" customFormat="false" ht="21.75" hidden="false" customHeight="true" outlineLevel="0" collapsed="false">
      <c r="A17" s="64" t="s">
        <v>324</v>
      </c>
      <c r="B17" s="64" t="s">
        <v>325</v>
      </c>
      <c r="C17" s="64" t="s">
        <v>300</v>
      </c>
      <c r="D17" s="64" t="s">
        <v>156</v>
      </c>
      <c r="E17" s="88" t="n">
        <v>21.35</v>
      </c>
      <c r="F17" s="88" t="n">
        <v>0.059</v>
      </c>
      <c r="G17" s="88" t="n">
        <v>0.0334</v>
      </c>
      <c r="H17" s="88" t="n">
        <v>1.3529</v>
      </c>
      <c r="I17" s="88" t="n">
        <v>0.7295</v>
      </c>
    </row>
    <row r="18" customFormat="false" ht="21.75" hidden="false" customHeight="true" outlineLevel="0" collapsed="false">
      <c r="A18" s="64" t="s">
        <v>324</v>
      </c>
      <c r="B18" s="64" t="s">
        <v>325</v>
      </c>
      <c r="C18" s="64" t="s">
        <v>300</v>
      </c>
      <c r="D18" s="64" t="s">
        <v>160</v>
      </c>
      <c r="E18" s="88" t="n">
        <v>14.575</v>
      </c>
      <c r="F18" s="88" t="n">
        <v>0.018</v>
      </c>
      <c r="G18" s="88" t="n">
        <v>0.0333</v>
      </c>
      <c r="H18" s="88" t="n">
        <v>0.263</v>
      </c>
      <c r="I18" s="88" t="n">
        <v>0.4869</v>
      </c>
    </row>
    <row r="19" customFormat="false" ht="21.75" hidden="false" customHeight="true" outlineLevel="0" collapsed="false">
      <c r="A19" s="64" t="s">
        <v>324</v>
      </c>
      <c r="B19" s="64" t="s">
        <v>325</v>
      </c>
      <c r="C19" s="64" t="s">
        <v>300</v>
      </c>
      <c r="D19" s="64" t="s">
        <v>163</v>
      </c>
      <c r="E19" s="88" t="n">
        <v>7.17</v>
      </c>
      <c r="F19" s="88" t="n">
        <v>0.0062</v>
      </c>
      <c r="G19" s="88" t="n">
        <v>0.0333</v>
      </c>
      <c r="H19" s="88" t="n">
        <v>0.0447</v>
      </c>
      <c r="I19" s="88" t="n">
        <v>0.2392</v>
      </c>
    </row>
    <row r="20" customFormat="false" ht="21.75" hidden="false" customHeight="true" outlineLevel="0" collapsed="false">
      <c r="A20" s="64" t="s">
        <v>324</v>
      </c>
      <c r="B20" s="64" t="s">
        <v>325</v>
      </c>
      <c r="C20" s="64" t="s">
        <v>300</v>
      </c>
      <c r="D20" s="64" t="s">
        <v>150</v>
      </c>
      <c r="E20" s="88" t="n">
        <v>0</v>
      </c>
      <c r="F20" s="88" t="n">
        <v>0</v>
      </c>
      <c r="G20" s="88" t="n">
        <v>0</v>
      </c>
      <c r="H20" s="88" t="n">
        <v>0</v>
      </c>
      <c r="I20" s="88" t="n">
        <v>0.0001</v>
      </c>
    </row>
    <row r="21" customFormat="false" ht="21.75" hidden="false" customHeight="true" outlineLevel="0" collapsed="false">
      <c r="A21" s="64" t="s">
        <v>324</v>
      </c>
      <c r="B21" s="64" t="s">
        <v>325</v>
      </c>
      <c r="C21" s="64" t="s">
        <v>300</v>
      </c>
      <c r="D21" s="64" t="s">
        <v>350</v>
      </c>
      <c r="E21" s="88" t="n">
        <v>0</v>
      </c>
      <c r="F21" s="88" t="n">
        <v>0</v>
      </c>
      <c r="G21" s="88" t="n">
        <v>0</v>
      </c>
      <c r="H21" s="88" t="n">
        <v>0</v>
      </c>
      <c r="I21" s="88" t="n">
        <v>0</v>
      </c>
    </row>
    <row r="22" customFormat="false" ht="21.75" hidden="false" customHeight="true" outlineLevel="0" collapsed="false">
      <c r="A22" s="64" t="s">
        <v>324</v>
      </c>
      <c r="B22" s="64" t="s">
        <v>325</v>
      </c>
      <c r="C22" s="64" t="s">
        <v>300</v>
      </c>
      <c r="D22" s="64" t="s">
        <v>351</v>
      </c>
      <c r="E22" s="88" t="n">
        <v>0</v>
      </c>
      <c r="F22" s="88" t="n">
        <v>0</v>
      </c>
      <c r="G22" s="88" t="n">
        <v>0</v>
      </c>
      <c r="H22" s="88" t="n">
        <v>0</v>
      </c>
      <c r="I22" s="88" t="n">
        <v>0</v>
      </c>
    </row>
    <row r="23" customFormat="false" ht="21.75" hidden="false" customHeight="true" outlineLevel="0" collapsed="false">
      <c r="A23" s="64" t="s">
        <v>324</v>
      </c>
      <c r="B23" s="64" t="s">
        <v>325</v>
      </c>
      <c r="C23" s="64" t="s">
        <v>555</v>
      </c>
      <c r="D23" s="64" t="s">
        <v>343</v>
      </c>
      <c r="E23" s="88" t="n">
        <v>0</v>
      </c>
      <c r="F23" s="88" t="n">
        <v>0</v>
      </c>
      <c r="G23" s="88" t="n">
        <v>0</v>
      </c>
      <c r="H23" s="88" t="n">
        <v>0</v>
      </c>
      <c r="I23" s="88" t="n">
        <v>0</v>
      </c>
    </row>
    <row r="24" customFormat="false" ht="21.75" hidden="false" customHeight="true" outlineLevel="0" collapsed="false">
      <c r="A24" s="64" t="s">
        <v>324</v>
      </c>
      <c r="B24" s="64" t="s">
        <v>325</v>
      </c>
      <c r="C24" s="64" t="s">
        <v>555</v>
      </c>
      <c r="D24" s="64" t="s">
        <v>344</v>
      </c>
      <c r="E24" s="88" t="n">
        <v>0</v>
      </c>
      <c r="F24" s="88" t="n">
        <v>0</v>
      </c>
      <c r="G24" s="88" t="n">
        <v>0</v>
      </c>
      <c r="H24" s="88" t="n">
        <v>0</v>
      </c>
      <c r="I24" s="88" t="n">
        <v>0</v>
      </c>
    </row>
    <row r="25" customFormat="false" ht="21.75" hidden="false" customHeight="true" outlineLevel="0" collapsed="false">
      <c r="A25" s="64" t="s">
        <v>324</v>
      </c>
      <c r="B25" s="64" t="s">
        <v>325</v>
      </c>
      <c r="C25" s="64" t="s">
        <v>555</v>
      </c>
      <c r="D25" s="64" t="s">
        <v>345</v>
      </c>
      <c r="E25" s="88" t="n">
        <v>0</v>
      </c>
      <c r="F25" s="88" t="n">
        <v>0</v>
      </c>
      <c r="G25" s="88" t="n">
        <v>0</v>
      </c>
      <c r="H25" s="88" t="n">
        <v>0</v>
      </c>
      <c r="I25" s="88" t="n">
        <v>0</v>
      </c>
    </row>
    <row r="26" customFormat="false" ht="21.75" hidden="false" customHeight="true" outlineLevel="0" collapsed="false">
      <c r="A26" s="64" t="s">
        <v>324</v>
      </c>
      <c r="B26" s="64" t="s">
        <v>325</v>
      </c>
      <c r="C26" s="64" t="s">
        <v>555</v>
      </c>
      <c r="D26" s="64" t="s">
        <v>146</v>
      </c>
      <c r="E26" s="88" t="n">
        <v>13.485</v>
      </c>
      <c r="F26" s="88" t="n">
        <v>0.0857</v>
      </c>
      <c r="G26" s="88" t="n">
        <v>0.1019</v>
      </c>
      <c r="H26" s="88" t="n">
        <v>1.1129</v>
      </c>
      <c r="I26" s="88" t="n">
        <v>1.3304</v>
      </c>
    </row>
    <row r="27" customFormat="false" ht="21.75" hidden="false" customHeight="true" outlineLevel="0" collapsed="false">
      <c r="A27" s="64" t="s">
        <v>324</v>
      </c>
      <c r="B27" s="64" t="s">
        <v>325</v>
      </c>
      <c r="C27" s="64" t="s">
        <v>555</v>
      </c>
      <c r="D27" s="64" t="s">
        <v>346</v>
      </c>
      <c r="E27" s="88" t="n">
        <v>18.49</v>
      </c>
      <c r="F27" s="88" t="n">
        <v>0.2595</v>
      </c>
      <c r="G27" s="88" t="n">
        <v>0.1004</v>
      </c>
      <c r="H27" s="88" t="n">
        <v>4.575</v>
      </c>
      <c r="I27" s="88" t="n">
        <v>1.8141</v>
      </c>
    </row>
    <row r="28" customFormat="false" ht="21.75" hidden="false" customHeight="true" outlineLevel="0" collapsed="false">
      <c r="A28" s="64" t="s">
        <v>324</v>
      </c>
      <c r="B28" s="64" t="s">
        <v>325</v>
      </c>
      <c r="C28" s="64" t="s">
        <v>555</v>
      </c>
      <c r="D28" s="64" t="s">
        <v>347</v>
      </c>
      <c r="E28" s="88" t="n">
        <v>19.005</v>
      </c>
      <c r="F28" s="88" t="n">
        <v>0.613</v>
      </c>
      <c r="G28" s="88" t="n">
        <v>0.1009</v>
      </c>
      <c r="H28" s="88" t="n">
        <v>11.2764</v>
      </c>
      <c r="I28" s="88" t="n">
        <v>1.8877</v>
      </c>
    </row>
    <row r="29" customFormat="false" ht="21.75" hidden="false" customHeight="true" outlineLevel="0" collapsed="false">
      <c r="A29" s="64" t="s">
        <v>324</v>
      </c>
      <c r="B29" s="64" t="s">
        <v>325</v>
      </c>
      <c r="C29" s="64" t="s">
        <v>555</v>
      </c>
      <c r="D29" s="64" t="s">
        <v>155</v>
      </c>
      <c r="E29" s="88" t="n">
        <v>22.575</v>
      </c>
      <c r="F29" s="88" t="n">
        <v>1.3246</v>
      </c>
      <c r="G29" s="88" t="n">
        <v>0.1002</v>
      </c>
      <c r="H29" s="88" t="n">
        <v>25.1983</v>
      </c>
      <c r="I29" s="88" t="n">
        <v>1.9736</v>
      </c>
    </row>
    <row r="30" customFormat="false" ht="21.75" hidden="false" customHeight="true" outlineLevel="0" collapsed="false">
      <c r="A30" s="64" t="s">
        <v>324</v>
      </c>
      <c r="B30" s="64" t="s">
        <v>325</v>
      </c>
      <c r="C30" s="64" t="s">
        <v>555</v>
      </c>
      <c r="D30" s="64" t="s">
        <v>159</v>
      </c>
      <c r="E30" s="88" t="n">
        <v>20.555</v>
      </c>
      <c r="F30" s="88" t="n">
        <v>2.4614</v>
      </c>
      <c r="G30" s="88" t="n">
        <v>0.0983</v>
      </c>
      <c r="H30" s="88" t="n">
        <v>45.0696</v>
      </c>
      <c r="I30" s="88" t="n">
        <v>1.9828</v>
      </c>
    </row>
    <row r="31" customFormat="false" ht="21.75" hidden="false" customHeight="true" outlineLevel="0" collapsed="false">
      <c r="A31" s="64" t="s">
        <v>324</v>
      </c>
      <c r="B31" s="64" t="s">
        <v>325</v>
      </c>
      <c r="C31" s="64" t="s">
        <v>555</v>
      </c>
      <c r="D31" s="64" t="s">
        <v>162</v>
      </c>
      <c r="E31" s="88" t="n">
        <v>17.265</v>
      </c>
      <c r="F31" s="88" t="n">
        <v>2.6137</v>
      </c>
      <c r="G31" s="88" t="n">
        <v>0.1002</v>
      </c>
      <c r="H31" s="88" t="n">
        <v>47.1154</v>
      </c>
      <c r="I31" s="88" t="n">
        <v>1.7788</v>
      </c>
    </row>
    <row r="32" customFormat="false" ht="21.75" hidden="false" customHeight="true" outlineLevel="0" collapsed="false">
      <c r="A32" s="64" t="s">
        <v>324</v>
      </c>
      <c r="B32" s="64" t="s">
        <v>325</v>
      </c>
      <c r="C32" s="64" t="s">
        <v>555</v>
      </c>
      <c r="D32" s="64" t="s">
        <v>147</v>
      </c>
      <c r="E32" s="88" t="n">
        <v>21.335</v>
      </c>
      <c r="F32" s="88" t="n">
        <v>2.0437</v>
      </c>
      <c r="G32" s="88" t="n">
        <v>0.0998</v>
      </c>
      <c r="H32" s="88" t="n">
        <v>38.4499</v>
      </c>
      <c r="I32" s="88" t="n">
        <v>1.9105</v>
      </c>
    </row>
    <row r="33" customFormat="false" ht="21.75" hidden="false" customHeight="true" outlineLevel="0" collapsed="false">
      <c r="A33" s="64" t="s">
        <v>324</v>
      </c>
      <c r="B33" s="64" t="s">
        <v>325</v>
      </c>
      <c r="C33" s="64" t="s">
        <v>555</v>
      </c>
      <c r="D33" s="64" t="s">
        <v>348</v>
      </c>
      <c r="E33" s="88" t="n">
        <v>29.14</v>
      </c>
      <c r="F33" s="88" t="n">
        <v>5.2853</v>
      </c>
      <c r="G33" s="88" t="n">
        <v>0.1006</v>
      </c>
      <c r="H33" s="88" t="n">
        <v>104.4255</v>
      </c>
      <c r="I33" s="88" t="n">
        <v>2</v>
      </c>
    </row>
    <row r="34" customFormat="false" ht="21.75" hidden="false" customHeight="true" outlineLevel="0" collapsed="false">
      <c r="A34" s="64" t="s">
        <v>324</v>
      </c>
      <c r="B34" s="64" t="s">
        <v>325</v>
      </c>
      <c r="C34" s="64" t="s">
        <v>555</v>
      </c>
      <c r="D34" s="64" t="s">
        <v>349</v>
      </c>
      <c r="E34" s="88" t="n">
        <v>28.73</v>
      </c>
      <c r="F34" s="88" t="n">
        <v>10.5469</v>
      </c>
      <c r="G34" s="88" t="n">
        <v>0.1023</v>
      </c>
      <c r="H34" s="88" t="n">
        <v>197.4126</v>
      </c>
      <c r="I34" s="88" t="n">
        <v>2</v>
      </c>
    </row>
    <row r="35" customFormat="false" ht="21.75" hidden="false" customHeight="true" outlineLevel="0" collapsed="false">
      <c r="A35" s="64" t="s">
        <v>324</v>
      </c>
      <c r="B35" s="64" t="s">
        <v>325</v>
      </c>
      <c r="C35" s="64" t="s">
        <v>555</v>
      </c>
      <c r="D35" s="64" t="s">
        <v>156</v>
      </c>
      <c r="E35" s="88" t="n">
        <v>22.625</v>
      </c>
      <c r="F35" s="88" t="n">
        <v>14.4096</v>
      </c>
      <c r="G35" s="88" t="n">
        <v>0.0995</v>
      </c>
      <c r="H35" s="88" t="n">
        <v>266.448</v>
      </c>
      <c r="I35" s="88" t="n">
        <v>1.8848</v>
      </c>
    </row>
    <row r="36" customFormat="false" ht="21.75" hidden="false" customHeight="true" outlineLevel="0" collapsed="false">
      <c r="A36" s="64" t="s">
        <v>324</v>
      </c>
      <c r="B36" s="64" t="s">
        <v>325</v>
      </c>
      <c r="C36" s="64" t="s">
        <v>555</v>
      </c>
      <c r="D36" s="64" t="s">
        <v>160</v>
      </c>
      <c r="E36" s="88" t="n">
        <v>14.975</v>
      </c>
      <c r="F36" s="88" t="n">
        <v>13.9149</v>
      </c>
      <c r="G36" s="88" t="n">
        <v>0.0994</v>
      </c>
      <c r="H36" s="88" t="n">
        <v>274.8418</v>
      </c>
      <c r="I36" s="88" t="n">
        <v>1.8844</v>
      </c>
    </row>
    <row r="37" customFormat="false" ht="21.75" hidden="false" customHeight="true" outlineLevel="0" collapsed="false">
      <c r="A37" s="64" t="s">
        <v>324</v>
      </c>
      <c r="B37" s="64" t="s">
        <v>325</v>
      </c>
      <c r="C37" s="64" t="s">
        <v>555</v>
      </c>
      <c r="D37" s="64" t="s">
        <v>163</v>
      </c>
      <c r="E37" s="88" t="n">
        <v>7.47</v>
      </c>
      <c r="F37" s="88" t="n">
        <v>9.6599</v>
      </c>
      <c r="G37" s="88" t="n">
        <v>0.0991</v>
      </c>
      <c r="H37" s="88" t="n">
        <v>188.3463</v>
      </c>
      <c r="I37" s="88" t="n">
        <v>2</v>
      </c>
    </row>
    <row r="38" customFormat="false" ht="21.75" hidden="false" customHeight="true" outlineLevel="0" collapsed="false">
      <c r="A38" s="64" t="s">
        <v>324</v>
      </c>
      <c r="B38" s="64" t="s">
        <v>325</v>
      </c>
      <c r="C38" s="64" t="s">
        <v>555</v>
      </c>
      <c r="D38" s="64" t="s">
        <v>150</v>
      </c>
      <c r="E38" s="88" t="n">
        <v>0.28</v>
      </c>
      <c r="F38" s="88" t="n">
        <v>5.062</v>
      </c>
      <c r="G38" s="88" t="n">
        <v>0.1103</v>
      </c>
      <c r="H38" s="88" t="n">
        <v>46.0897</v>
      </c>
      <c r="I38" s="88" t="n">
        <v>1.1578</v>
      </c>
    </row>
    <row r="39" customFormat="false" ht="21.75" hidden="false" customHeight="true" outlineLevel="0" collapsed="false">
      <c r="A39" s="64" t="s">
        <v>324</v>
      </c>
      <c r="B39" s="64" t="s">
        <v>325</v>
      </c>
      <c r="C39" s="64" t="s">
        <v>555</v>
      </c>
      <c r="D39" s="64" t="s">
        <v>350</v>
      </c>
      <c r="E39" s="88" t="n">
        <v>0</v>
      </c>
      <c r="F39" s="88" t="n">
        <v>0</v>
      </c>
      <c r="G39" s="88" t="n">
        <v>0</v>
      </c>
      <c r="H39" s="88" t="n">
        <v>1.462</v>
      </c>
      <c r="I39" s="88" t="n">
        <v>0.0707</v>
      </c>
    </row>
    <row r="40" customFormat="false" ht="21.75" hidden="false" customHeight="true" outlineLevel="0" collapsed="false">
      <c r="A40" s="64" t="s">
        <v>324</v>
      </c>
      <c r="B40" s="64" t="s">
        <v>325</v>
      </c>
      <c r="C40" s="64" t="s">
        <v>555</v>
      </c>
      <c r="D40" s="64" t="s">
        <v>351</v>
      </c>
      <c r="E40" s="88" t="n">
        <v>0</v>
      </c>
      <c r="F40" s="88" t="n">
        <v>0</v>
      </c>
      <c r="G40" s="88" t="n">
        <v>0</v>
      </c>
      <c r="H40" s="88" t="n">
        <v>0</v>
      </c>
      <c r="I40" s="88" t="n">
        <v>0</v>
      </c>
    </row>
    <row r="41" customFormat="false" ht="21.75" hidden="false" customHeight="true" outlineLevel="0" collapsed="false">
      <c r="A41" s="64" t="s">
        <v>324</v>
      </c>
      <c r="B41" s="64" t="s">
        <v>325</v>
      </c>
      <c r="C41" s="64" t="s">
        <v>556</v>
      </c>
      <c r="D41" s="64" t="s">
        <v>343</v>
      </c>
      <c r="E41" s="88" t="n">
        <v>0</v>
      </c>
      <c r="F41" s="88" t="n">
        <v>0</v>
      </c>
      <c r="G41" s="88" t="n">
        <v>0</v>
      </c>
      <c r="H41" s="88" t="n">
        <v>0</v>
      </c>
      <c r="I41" s="88" t="n">
        <v>0</v>
      </c>
    </row>
    <row r="42" customFormat="false" ht="21.75" hidden="false" customHeight="true" outlineLevel="0" collapsed="false">
      <c r="A42" s="64" t="s">
        <v>324</v>
      </c>
      <c r="B42" s="64" t="s">
        <v>325</v>
      </c>
      <c r="C42" s="64" t="s">
        <v>556</v>
      </c>
      <c r="D42" s="64" t="s">
        <v>344</v>
      </c>
      <c r="E42" s="88" t="n">
        <v>0</v>
      </c>
      <c r="F42" s="88" t="n">
        <v>0</v>
      </c>
      <c r="G42" s="88" t="n">
        <v>0</v>
      </c>
      <c r="H42" s="88" t="n">
        <v>0</v>
      </c>
      <c r="I42" s="88" t="n">
        <v>0</v>
      </c>
    </row>
    <row r="43" customFormat="false" ht="21.75" hidden="false" customHeight="true" outlineLevel="0" collapsed="false">
      <c r="A43" s="64" t="s">
        <v>324</v>
      </c>
      <c r="B43" s="64" t="s">
        <v>325</v>
      </c>
      <c r="C43" s="64" t="s">
        <v>556</v>
      </c>
      <c r="D43" s="64" t="s">
        <v>345</v>
      </c>
      <c r="E43" s="88" t="n">
        <v>0</v>
      </c>
      <c r="F43" s="88" t="n">
        <v>0</v>
      </c>
      <c r="G43" s="88" t="n">
        <v>0</v>
      </c>
      <c r="H43" s="88" t="n">
        <v>0</v>
      </c>
      <c r="I43" s="88" t="n">
        <v>0</v>
      </c>
    </row>
    <row r="44" customFormat="false" ht="21.75" hidden="false" customHeight="true" outlineLevel="0" collapsed="false">
      <c r="A44" s="64" t="s">
        <v>324</v>
      </c>
      <c r="B44" s="64" t="s">
        <v>325</v>
      </c>
      <c r="C44" s="64" t="s">
        <v>556</v>
      </c>
      <c r="D44" s="64" t="s">
        <v>146</v>
      </c>
      <c r="E44" s="88" t="n">
        <v>10.825</v>
      </c>
      <c r="F44" s="88" t="n">
        <v>0</v>
      </c>
      <c r="G44" s="88" t="n">
        <v>16.0199</v>
      </c>
      <c r="H44" s="88" t="n">
        <v>0</v>
      </c>
      <c r="I44" s="88" t="n">
        <v>39.0209</v>
      </c>
    </row>
    <row r="45" customFormat="false" ht="21.75" hidden="false" customHeight="true" outlineLevel="0" collapsed="false">
      <c r="A45" s="64" t="s">
        <v>324</v>
      </c>
      <c r="B45" s="64" t="s">
        <v>325</v>
      </c>
      <c r="C45" s="64" t="s">
        <v>556</v>
      </c>
      <c r="D45" s="64" t="s">
        <v>346</v>
      </c>
      <c r="E45" s="88" t="n">
        <v>17.58</v>
      </c>
      <c r="F45" s="88" t="n">
        <v>0</v>
      </c>
      <c r="G45" s="88" t="n">
        <v>15.9978</v>
      </c>
      <c r="H45" s="88" t="n">
        <v>0</v>
      </c>
      <c r="I45" s="88" t="n">
        <v>190.3209</v>
      </c>
    </row>
    <row r="46" customFormat="false" ht="21.75" hidden="false" customHeight="true" outlineLevel="0" collapsed="false">
      <c r="A46" s="64" t="s">
        <v>324</v>
      </c>
      <c r="B46" s="64" t="s">
        <v>325</v>
      </c>
      <c r="C46" s="64" t="s">
        <v>556</v>
      </c>
      <c r="D46" s="64" t="s">
        <v>347</v>
      </c>
      <c r="E46" s="88" t="n">
        <v>18.725</v>
      </c>
      <c r="F46" s="88" t="n">
        <v>0</v>
      </c>
      <c r="G46" s="88" t="n">
        <v>15.9372</v>
      </c>
      <c r="H46" s="88" t="n">
        <v>0</v>
      </c>
      <c r="I46" s="88" t="n">
        <v>283.9617</v>
      </c>
    </row>
    <row r="47" customFormat="false" ht="21.75" hidden="false" customHeight="true" outlineLevel="0" collapsed="false">
      <c r="A47" s="64" t="s">
        <v>324</v>
      </c>
      <c r="B47" s="64" t="s">
        <v>325</v>
      </c>
      <c r="C47" s="64" t="s">
        <v>556</v>
      </c>
      <c r="D47" s="64" t="s">
        <v>155</v>
      </c>
      <c r="E47" s="88" t="n">
        <v>19.72</v>
      </c>
      <c r="F47" s="88" t="n">
        <v>0</v>
      </c>
      <c r="G47" s="88" t="n">
        <v>16.0145</v>
      </c>
      <c r="H47" s="88" t="n">
        <v>0</v>
      </c>
      <c r="I47" s="88" t="n">
        <v>301.5679</v>
      </c>
    </row>
    <row r="48" customFormat="false" ht="21.75" hidden="false" customHeight="true" outlineLevel="0" collapsed="false">
      <c r="A48" s="64" t="s">
        <v>324</v>
      </c>
      <c r="B48" s="64" t="s">
        <v>325</v>
      </c>
      <c r="C48" s="64" t="s">
        <v>556</v>
      </c>
      <c r="D48" s="64" t="s">
        <v>159</v>
      </c>
      <c r="E48" s="88" t="n">
        <v>19.885</v>
      </c>
      <c r="F48" s="88" t="n">
        <v>0</v>
      </c>
      <c r="G48" s="88" t="n">
        <v>16.005</v>
      </c>
      <c r="H48" s="88" t="n">
        <v>0</v>
      </c>
      <c r="I48" s="88" t="n">
        <v>313.8677</v>
      </c>
    </row>
    <row r="49" customFormat="false" ht="21.75" hidden="false" customHeight="true" outlineLevel="0" collapsed="false">
      <c r="A49" s="64" t="s">
        <v>324</v>
      </c>
      <c r="B49" s="64" t="s">
        <v>325</v>
      </c>
      <c r="C49" s="64" t="s">
        <v>556</v>
      </c>
      <c r="D49" s="64" t="s">
        <v>162</v>
      </c>
      <c r="E49" s="88" t="n">
        <v>17.975</v>
      </c>
      <c r="F49" s="88" t="n">
        <v>0</v>
      </c>
      <c r="G49" s="88" t="n">
        <v>16.0141</v>
      </c>
      <c r="H49" s="88" t="n">
        <v>0</v>
      </c>
      <c r="I49" s="88" t="n">
        <v>309.8301</v>
      </c>
    </row>
    <row r="50" customFormat="false" ht="21.75" hidden="false" customHeight="true" outlineLevel="0" collapsed="false">
      <c r="A50" s="64" t="s">
        <v>324</v>
      </c>
      <c r="B50" s="64" t="s">
        <v>325</v>
      </c>
      <c r="C50" s="64" t="s">
        <v>556</v>
      </c>
      <c r="D50" s="64" t="s">
        <v>147</v>
      </c>
      <c r="E50" s="88" t="n">
        <v>19.1</v>
      </c>
      <c r="F50" s="88" t="n">
        <v>0</v>
      </c>
      <c r="G50" s="88" t="n">
        <v>15.9857</v>
      </c>
      <c r="H50" s="88" t="n">
        <v>0</v>
      </c>
      <c r="I50" s="88" t="n">
        <v>295.2475</v>
      </c>
    </row>
    <row r="51" customFormat="false" ht="21.75" hidden="false" customHeight="true" outlineLevel="0" collapsed="false">
      <c r="A51" s="64" t="s">
        <v>324</v>
      </c>
      <c r="B51" s="64" t="s">
        <v>325</v>
      </c>
      <c r="C51" s="64" t="s">
        <v>556</v>
      </c>
      <c r="D51" s="64" t="s">
        <v>348</v>
      </c>
      <c r="E51" s="88" t="n">
        <v>20.03</v>
      </c>
      <c r="F51" s="88" t="n">
        <v>0</v>
      </c>
      <c r="G51" s="88" t="n">
        <v>16.0244</v>
      </c>
      <c r="H51" s="88" t="n">
        <v>0</v>
      </c>
      <c r="I51" s="88" t="n">
        <v>309.0409</v>
      </c>
    </row>
    <row r="52" customFormat="false" ht="21.75" hidden="false" customHeight="true" outlineLevel="0" collapsed="false">
      <c r="A52" s="64" t="s">
        <v>324</v>
      </c>
      <c r="B52" s="64" t="s">
        <v>325</v>
      </c>
      <c r="C52" s="64" t="s">
        <v>556</v>
      </c>
      <c r="D52" s="64" t="s">
        <v>349</v>
      </c>
      <c r="E52" s="88" t="n">
        <v>19.53</v>
      </c>
      <c r="F52" s="88" t="n">
        <v>0</v>
      </c>
      <c r="G52" s="88" t="n">
        <v>16.0102</v>
      </c>
      <c r="H52" s="88" t="n">
        <v>0</v>
      </c>
      <c r="I52" s="88" t="n">
        <v>318.7968</v>
      </c>
    </row>
    <row r="53" customFormat="false" ht="21.75" hidden="false" customHeight="true" outlineLevel="0" collapsed="false">
      <c r="A53" s="64" t="s">
        <v>324</v>
      </c>
      <c r="B53" s="64" t="s">
        <v>325</v>
      </c>
      <c r="C53" s="64" t="s">
        <v>556</v>
      </c>
      <c r="D53" s="64" t="s">
        <v>156</v>
      </c>
      <c r="E53" s="88" t="n">
        <v>19.14</v>
      </c>
      <c r="F53" s="88" t="n">
        <v>0</v>
      </c>
      <c r="G53" s="88" t="n">
        <v>16.029</v>
      </c>
      <c r="H53" s="88" t="n">
        <v>0</v>
      </c>
      <c r="I53" s="88" t="n">
        <v>314.1192</v>
      </c>
    </row>
    <row r="54" customFormat="false" ht="21.75" hidden="false" customHeight="true" outlineLevel="0" collapsed="false">
      <c r="A54" s="64" t="s">
        <v>324</v>
      </c>
      <c r="B54" s="64" t="s">
        <v>325</v>
      </c>
      <c r="C54" s="64" t="s">
        <v>556</v>
      </c>
      <c r="D54" s="64" t="s">
        <v>160</v>
      </c>
      <c r="E54" s="88" t="n">
        <v>17.805</v>
      </c>
      <c r="F54" s="88" t="n">
        <v>0</v>
      </c>
      <c r="G54" s="88" t="n">
        <v>15.9593</v>
      </c>
      <c r="H54" s="88" t="n">
        <v>0</v>
      </c>
      <c r="I54" s="88" t="n">
        <v>296.1703</v>
      </c>
    </row>
    <row r="55" customFormat="false" ht="21.75" hidden="false" customHeight="true" outlineLevel="0" collapsed="false">
      <c r="A55" s="64" t="s">
        <v>324</v>
      </c>
      <c r="B55" s="64" t="s">
        <v>325</v>
      </c>
      <c r="C55" s="64" t="s">
        <v>556</v>
      </c>
      <c r="D55" s="64" t="s">
        <v>163</v>
      </c>
      <c r="E55" s="88" t="n">
        <v>20.305</v>
      </c>
      <c r="F55" s="88" t="n">
        <v>0</v>
      </c>
      <c r="G55" s="88" t="n">
        <v>16.0034</v>
      </c>
      <c r="H55" s="88" t="n">
        <v>0</v>
      </c>
      <c r="I55" s="88" t="n">
        <v>300.2076</v>
      </c>
    </row>
    <row r="56" customFormat="false" ht="21.75" hidden="false" customHeight="true" outlineLevel="0" collapsed="false">
      <c r="A56" s="64" t="s">
        <v>324</v>
      </c>
      <c r="B56" s="64" t="s">
        <v>325</v>
      </c>
      <c r="C56" s="64" t="s">
        <v>556</v>
      </c>
      <c r="D56" s="64" t="s">
        <v>150</v>
      </c>
      <c r="E56" s="88" t="n">
        <v>14.125</v>
      </c>
      <c r="F56" s="88" t="n">
        <v>0</v>
      </c>
      <c r="G56" s="88" t="n">
        <v>16.0069</v>
      </c>
      <c r="H56" s="88" t="n">
        <v>0</v>
      </c>
      <c r="I56" s="88" t="n">
        <v>307.91</v>
      </c>
    </row>
    <row r="57" customFormat="false" ht="21.75" hidden="false" customHeight="true" outlineLevel="0" collapsed="false">
      <c r="A57" s="64" t="s">
        <v>324</v>
      </c>
      <c r="B57" s="64" t="s">
        <v>325</v>
      </c>
      <c r="C57" s="64" t="s">
        <v>556</v>
      </c>
      <c r="D57" s="64" t="s">
        <v>350</v>
      </c>
      <c r="E57" s="88" t="n">
        <v>1.185</v>
      </c>
      <c r="F57" s="88" t="n">
        <v>0</v>
      </c>
      <c r="G57" s="88" t="n">
        <v>15.9538</v>
      </c>
      <c r="H57" s="88" t="n">
        <v>0</v>
      </c>
      <c r="I57" s="88" t="n">
        <v>170.2096</v>
      </c>
    </row>
    <row r="58" customFormat="false" ht="21.75" hidden="false" customHeight="true" outlineLevel="0" collapsed="false">
      <c r="A58" s="64" t="s">
        <v>324</v>
      </c>
      <c r="B58" s="64" t="s">
        <v>325</v>
      </c>
      <c r="C58" s="64" t="s">
        <v>556</v>
      </c>
      <c r="D58" s="64" t="s">
        <v>351</v>
      </c>
      <c r="E58" s="88" t="n">
        <v>0</v>
      </c>
      <c r="F58" s="88" t="n">
        <v>0</v>
      </c>
      <c r="G58" s="88" t="n">
        <v>0</v>
      </c>
      <c r="H58" s="88" t="n">
        <v>0</v>
      </c>
      <c r="I58" s="88" t="n">
        <v>24.2056</v>
      </c>
    </row>
    <row r="59" customFormat="false" ht="21.75" hidden="false" customHeight="true" outlineLevel="0" collapsed="false">
      <c r="A59" s="64" t="s">
        <v>324</v>
      </c>
      <c r="B59" s="64" t="s">
        <v>325</v>
      </c>
      <c r="C59" s="64" t="s">
        <v>308</v>
      </c>
      <c r="D59" s="64" t="s">
        <v>343</v>
      </c>
      <c r="E59" s="88" t="n">
        <v>0</v>
      </c>
      <c r="F59" s="88" t="n">
        <v>0</v>
      </c>
      <c r="G59" s="88" t="n">
        <v>0</v>
      </c>
      <c r="H59" s="88" t="n">
        <v>0</v>
      </c>
      <c r="I59" s="88" t="n">
        <v>0</v>
      </c>
    </row>
    <row r="60" customFormat="false" ht="21.75" hidden="false" customHeight="true" outlineLevel="0" collapsed="false">
      <c r="A60" s="64" t="s">
        <v>324</v>
      </c>
      <c r="B60" s="64" t="s">
        <v>325</v>
      </c>
      <c r="C60" s="64" t="s">
        <v>308</v>
      </c>
      <c r="D60" s="64" t="s">
        <v>344</v>
      </c>
      <c r="E60" s="88" t="n">
        <v>0</v>
      </c>
      <c r="F60" s="88" t="n">
        <v>0</v>
      </c>
      <c r="G60" s="88" t="n">
        <v>0</v>
      </c>
      <c r="H60" s="88" t="n">
        <v>0</v>
      </c>
      <c r="I60" s="88" t="n">
        <v>0</v>
      </c>
    </row>
    <row r="61" customFormat="false" ht="21.75" hidden="false" customHeight="true" outlineLevel="0" collapsed="false">
      <c r="A61" s="64" t="s">
        <v>324</v>
      </c>
      <c r="B61" s="64" t="s">
        <v>325</v>
      </c>
      <c r="C61" s="64" t="s">
        <v>308</v>
      </c>
      <c r="D61" s="64" t="s">
        <v>345</v>
      </c>
      <c r="E61" s="88" t="n">
        <v>0</v>
      </c>
      <c r="F61" s="88" t="n">
        <v>0</v>
      </c>
      <c r="G61" s="88" t="n">
        <v>0</v>
      </c>
      <c r="H61" s="88" t="n">
        <v>0</v>
      </c>
      <c r="I61" s="88" t="n">
        <v>0</v>
      </c>
    </row>
    <row r="62" customFormat="false" ht="21.75" hidden="false" customHeight="true" outlineLevel="0" collapsed="false">
      <c r="A62" s="64" t="s">
        <v>324</v>
      </c>
      <c r="B62" s="64" t="s">
        <v>325</v>
      </c>
      <c r="C62" s="64" t="s">
        <v>308</v>
      </c>
      <c r="D62" s="64" t="s">
        <v>146</v>
      </c>
      <c r="E62" s="88" t="n">
        <v>0</v>
      </c>
      <c r="F62" s="88" t="n">
        <v>0</v>
      </c>
      <c r="G62" s="88" t="n">
        <v>0</v>
      </c>
      <c r="H62" s="88" t="n">
        <v>0</v>
      </c>
      <c r="I62" s="88" t="n">
        <v>0</v>
      </c>
    </row>
    <row r="63" customFormat="false" ht="21.75" hidden="false" customHeight="true" outlineLevel="0" collapsed="false">
      <c r="A63" s="64" t="s">
        <v>324</v>
      </c>
      <c r="B63" s="64" t="s">
        <v>325</v>
      </c>
      <c r="C63" s="64" t="s">
        <v>308</v>
      </c>
      <c r="D63" s="64" t="s">
        <v>346</v>
      </c>
      <c r="E63" s="88" t="n">
        <v>2.105</v>
      </c>
      <c r="F63" s="88" t="n">
        <v>0</v>
      </c>
      <c r="G63" s="88" t="n">
        <v>1.4924</v>
      </c>
      <c r="H63" s="88" t="n">
        <v>0</v>
      </c>
      <c r="I63" s="88" t="n">
        <v>1.9653</v>
      </c>
    </row>
    <row r="64" customFormat="false" ht="21.75" hidden="false" customHeight="true" outlineLevel="0" collapsed="false">
      <c r="A64" s="64" t="s">
        <v>324</v>
      </c>
      <c r="B64" s="64" t="s">
        <v>325</v>
      </c>
      <c r="C64" s="64" t="s">
        <v>308</v>
      </c>
      <c r="D64" s="64" t="s">
        <v>347</v>
      </c>
      <c r="E64" s="88" t="n">
        <v>15.405</v>
      </c>
      <c r="F64" s="88" t="n">
        <v>0</v>
      </c>
      <c r="G64" s="88" t="n">
        <v>1.502</v>
      </c>
      <c r="H64" s="88" t="n">
        <v>0</v>
      </c>
      <c r="I64" s="88" t="n">
        <v>22.2104</v>
      </c>
    </row>
    <row r="65" customFormat="false" ht="21.75" hidden="false" customHeight="true" outlineLevel="0" collapsed="false">
      <c r="A65" s="64" t="s">
        <v>324</v>
      </c>
      <c r="B65" s="64" t="s">
        <v>325</v>
      </c>
      <c r="C65" s="64" t="s">
        <v>308</v>
      </c>
      <c r="D65" s="64" t="s">
        <v>155</v>
      </c>
      <c r="E65" s="88" t="n">
        <v>18.435</v>
      </c>
      <c r="F65" s="88" t="n">
        <v>0</v>
      </c>
      <c r="G65" s="88" t="n">
        <v>1.5088</v>
      </c>
      <c r="H65" s="88" t="n">
        <v>0</v>
      </c>
      <c r="I65" s="88" t="n">
        <v>27.8283</v>
      </c>
    </row>
    <row r="66" customFormat="false" ht="21.75" hidden="false" customHeight="true" outlineLevel="0" collapsed="false">
      <c r="A66" s="64" t="s">
        <v>324</v>
      </c>
      <c r="B66" s="64" t="s">
        <v>325</v>
      </c>
      <c r="C66" s="64" t="s">
        <v>308</v>
      </c>
      <c r="D66" s="64" t="s">
        <v>159</v>
      </c>
      <c r="E66" s="88" t="n">
        <v>18.64</v>
      </c>
      <c r="F66" s="88" t="n">
        <v>0</v>
      </c>
      <c r="G66" s="88" t="n">
        <v>1.4884</v>
      </c>
      <c r="H66" s="88" t="n">
        <v>0</v>
      </c>
      <c r="I66" s="88" t="n">
        <v>27.6877</v>
      </c>
    </row>
    <row r="67" customFormat="false" ht="21.75" hidden="false" customHeight="true" outlineLevel="0" collapsed="false">
      <c r="A67" s="64" t="s">
        <v>324</v>
      </c>
      <c r="B67" s="64" t="s">
        <v>325</v>
      </c>
      <c r="C67" s="64" t="s">
        <v>308</v>
      </c>
      <c r="D67" s="64" t="s">
        <v>162</v>
      </c>
      <c r="E67" s="88" t="n">
        <v>19.99</v>
      </c>
      <c r="F67" s="88" t="n">
        <v>0</v>
      </c>
      <c r="G67" s="88" t="n">
        <v>1.4937</v>
      </c>
      <c r="H67" s="88" t="n">
        <v>0</v>
      </c>
      <c r="I67" s="88" t="n">
        <v>29.9053</v>
      </c>
    </row>
    <row r="68" customFormat="false" ht="21.75" hidden="false" customHeight="true" outlineLevel="0" collapsed="false">
      <c r="A68" s="64" t="s">
        <v>324</v>
      </c>
      <c r="B68" s="64" t="s">
        <v>325</v>
      </c>
      <c r="C68" s="64" t="s">
        <v>308</v>
      </c>
      <c r="D68" s="64" t="s">
        <v>147</v>
      </c>
      <c r="E68" s="88" t="n">
        <v>19.42</v>
      </c>
      <c r="F68" s="88" t="n">
        <v>0</v>
      </c>
      <c r="G68" s="88" t="n">
        <v>1.4957</v>
      </c>
      <c r="H68" s="88" t="n">
        <v>0</v>
      </c>
      <c r="I68" s="88" t="n">
        <v>29.1347</v>
      </c>
    </row>
    <row r="69" customFormat="false" ht="21.75" hidden="false" customHeight="true" outlineLevel="0" collapsed="false">
      <c r="A69" s="64" t="s">
        <v>324</v>
      </c>
      <c r="B69" s="64" t="s">
        <v>325</v>
      </c>
      <c r="C69" s="64" t="s">
        <v>308</v>
      </c>
      <c r="D69" s="64" t="s">
        <v>348</v>
      </c>
      <c r="E69" s="88" t="n">
        <v>18.165</v>
      </c>
      <c r="F69" s="88" t="n">
        <v>0</v>
      </c>
      <c r="G69" s="88" t="n">
        <v>1.4995</v>
      </c>
      <c r="H69" s="88" t="n">
        <v>0</v>
      </c>
      <c r="I69" s="88" t="n">
        <v>27.1188</v>
      </c>
    </row>
    <row r="70" customFormat="false" ht="21.75" hidden="false" customHeight="true" outlineLevel="0" collapsed="false">
      <c r="A70" s="64" t="s">
        <v>324</v>
      </c>
      <c r="B70" s="64" t="s">
        <v>325</v>
      </c>
      <c r="C70" s="64" t="s">
        <v>308</v>
      </c>
      <c r="D70" s="64" t="s">
        <v>349</v>
      </c>
      <c r="E70" s="88" t="n">
        <v>19.51</v>
      </c>
      <c r="F70" s="88" t="n">
        <v>0</v>
      </c>
      <c r="G70" s="88" t="n">
        <v>1.4962</v>
      </c>
      <c r="H70" s="88" t="n">
        <v>0</v>
      </c>
      <c r="I70" s="88" t="n">
        <v>28.9849</v>
      </c>
    </row>
    <row r="71" customFormat="false" ht="21.75" hidden="false" customHeight="true" outlineLevel="0" collapsed="false">
      <c r="A71" s="64" t="s">
        <v>324</v>
      </c>
      <c r="B71" s="64" t="s">
        <v>325</v>
      </c>
      <c r="C71" s="64" t="s">
        <v>308</v>
      </c>
      <c r="D71" s="64" t="s">
        <v>156</v>
      </c>
      <c r="E71" s="88" t="n">
        <v>20.005</v>
      </c>
      <c r="F71" s="88" t="n">
        <v>0</v>
      </c>
      <c r="G71" s="88" t="n">
        <v>1.4971</v>
      </c>
      <c r="H71" s="88" t="n">
        <v>0</v>
      </c>
      <c r="I71" s="88" t="n">
        <v>29.9618</v>
      </c>
    </row>
    <row r="72" customFormat="false" ht="21.75" hidden="false" customHeight="true" outlineLevel="0" collapsed="false">
      <c r="A72" s="64" t="s">
        <v>324</v>
      </c>
      <c r="B72" s="64" t="s">
        <v>325</v>
      </c>
      <c r="C72" s="64" t="s">
        <v>308</v>
      </c>
      <c r="D72" s="64" t="s">
        <v>160</v>
      </c>
      <c r="E72" s="88" t="n">
        <v>19.495</v>
      </c>
      <c r="F72" s="88" t="n">
        <v>0</v>
      </c>
      <c r="G72" s="88" t="n">
        <v>1.5039</v>
      </c>
      <c r="H72" s="88" t="n">
        <v>0</v>
      </c>
      <c r="I72" s="88" t="n">
        <v>29.3364</v>
      </c>
    </row>
    <row r="73" customFormat="false" ht="21.75" hidden="false" customHeight="true" outlineLevel="0" collapsed="false">
      <c r="A73" s="64" t="s">
        <v>324</v>
      </c>
      <c r="B73" s="64" t="s">
        <v>325</v>
      </c>
      <c r="C73" s="64" t="s">
        <v>308</v>
      </c>
      <c r="D73" s="64" t="s">
        <v>163</v>
      </c>
      <c r="E73" s="88" t="n">
        <v>18.125</v>
      </c>
      <c r="F73" s="88" t="n">
        <v>0</v>
      </c>
      <c r="G73" s="88" t="n">
        <v>1.5057</v>
      </c>
      <c r="H73" s="88" t="n">
        <v>0</v>
      </c>
      <c r="I73" s="88" t="n">
        <v>27.5376</v>
      </c>
    </row>
    <row r="74" customFormat="false" ht="21.75" hidden="false" customHeight="true" outlineLevel="0" collapsed="false">
      <c r="A74" s="64" t="s">
        <v>324</v>
      </c>
      <c r="B74" s="64" t="s">
        <v>325</v>
      </c>
      <c r="C74" s="64" t="s">
        <v>308</v>
      </c>
      <c r="D74" s="64" t="s">
        <v>150</v>
      </c>
      <c r="E74" s="88" t="n">
        <v>19.245</v>
      </c>
      <c r="F74" s="88" t="n">
        <v>0</v>
      </c>
      <c r="G74" s="88" t="n">
        <v>1.5068</v>
      </c>
      <c r="H74" s="88" t="n">
        <v>0</v>
      </c>
      <c r="I74" s="88" t="n">
        <v>28.6302</v>
      </c>
    </row>
    <row r="75" customFormat="false" ht="21.75" hidden="false" customHeight="true" outlineLevel="0" collapsed="false">
      <c r="A75" s="64" t="s">
        <v>324</v>
      </c>
      <c r="B75" s="64" t="s">
        <v>325</v>
      </c>
      <c r="C75" s="64" t="s">
        <v>308</v>
      </c>
      <c r="D75" s="64" t="s">
        <v>350</v>
      </c>
      <c r="E75" s="88" t="n">
        <v>20.125</v>
      </c>
      <c r="F75" s="88" t="n">
        <v>0</v>
      </c>
      <c r="G75" s="88" t="n">
        <v>1.4971</v>
      </c>
      <c r="H75" s="88" t="n">
        <v>0</v>
      </c>
      <c r="I75" s="88" t="n">
        <v>30.3875</v>
      </c>
    </row>
    <row r="76" customFormat="false" ht="21.75" hidden="false" customHeight="true" outlineLevel="0" collapsed="false">
      <c r="A76" s="64" t="s">
        <v>324</v>
      </c>
      <c r="B76" s="64" t="s">
        <v>325</v>
      </c>
      <c r="C76" s="64" t="s">
        <v>308</v>
      </c>
      <c r="D76" s="64" t="s">
        <v>351</v>
      </c>
      <c r="E76" s="88" t="n">
        <v>7</v>
      </c>
      <c r="F76" s="88" t="n">
        <v>0</v>
      </c>
      <c r="G76" s="88" t="n">
        <v>1.5131</v>
      </c>
      <c r="H76" s="88" t="n">
        <v>0</v>
      </c>
      <c r="I76" s="88" t="n">
        <v>12.6002</v>
      </c>
    </row>
    <row r="77" customFormat="false" ht="21.75" hidden="false" customHeight="true" outlineLevel="0" collapsed="false">
      <c r="A77" s="64" t="s">
        <v>324</v>
      </c>
      <c r="B77" s="64" t="s">
        <v>325</v>
      </c>
      <c r="C77" s="64" t="s">
        <v>311</v>
      </c>
      <c r="D77" s="64" t="s">
        <v>343</v>
      </c>
      <c r="E77" s="88" t="n">
        <v>0</v>
      </c>
      <c r="F77" s="88" t="n">
        <v>0</v>
      </c>
      <c r="G77" s="88" t="n">
        <v>0</v>
      </c>
      <c r="H77" s="88" t="n">
        <v>0</v>
      </c>
      <c r="I77" s="88" t="n">
        <v>0</v>
      </c>
    </row>
    <row r="78" customFormat="false" ht="21.75" hidden="false" customHeight="true" outlineLevel="0" collapsed="false">
      <c r="A78" s="64" t="s">
        <v>324</v>
      </c>
      <c r="B78" s="64" t="s">
        <v>325</v>
      </c>
      <c r="C78" s="64" t="s">
        <v>311</v>
      </c>
      <c r="D78" s="64" t="s">
        <v>344</v>
      </c>
      <c r="E78" s="88" t="n">
        <v>0</v>
      </c>
      <c r="F78" s="88" t="n">
        <v>0</v>
      </c>
      <c r="G78" s="88" t="n">
        <v>0</v>
      </c>
      <c r="H78" s="88" t="n">
        <v>0</v>
      </c>
      <c r="I78" s="88" t="n">
        <v>0</v>
      </c>
    </row>
    <row r="79" customFormat="false" ht="21.75" hidden="false" customHeight="true" outlineLevel="0" collapsed="false">
      <c r="A79" s="64" t="s">
        <v>324</v>
      </c>
      <c r="B79" s="64" t="s">
        <v>325</v>
      </c>
      <c r="C79" s="64" t="s">
        <v>311</v>
      </c>
      <c r="D79" s="64" t="s">
        <v>345</v>
      </c>
      <c r="E79" s="88" t="n">
        <v>0</v>
      </c>
      <c r="F79" s="88" t="n">
        <v>0</v>
      </c>
      <c r="G79" s="88" t="n">
        <v>0</v>
      </c>
      <c r="H79" s="88" t="n">
        <v>0</v>
      </c>
      <c r="I79" s="88" t="n">
        <v>0</v>
      </c>
    </row>
    <row r="80" customFormat="false" ht="21.75" hidden="false" customHeight="true" outlineLevel="0" collapsed="false">
      <c r="A80" s="64" t="s">
        <v>324</v>
      </c>
      <c r="B80" s="64" t="s">
        <v>325</v>
      </c>
      <c r="C80" s="64" t="s">
        <v>311</v>
      </c>
      <c r="D80" s="64" t="s">
        <v>146</v>
      </c>
      <c r="E80" s="88" t="n">
        <v>14.52</v>
      </c>
      <c r="F80" s="88" t="n">
        <v>0</v>
      </c>
      <c r="G80" s="88" t="n">
        <v>19.7479</v>
      </c>
      <c r="H80" s="88" t="n">
        <v>0</v>
      </c>
      <c r="I80" s="88" t="n">
        <v>66.9728</v>
      </c>
    </row>
    <row r="81" customFormat="false" ht="21.75" hidden="false" customHeight="true" outlineLevel="0" collapsed="false">
      <c r="A81" s="64" t="s">
        <v>324</v>
      </c>
      <c r="B81" s="64" t="s">
        <v>325</v>
      </c>
      <c r="C81" s="64" t="s">
        <v>311</v>
      </c>
      <c r="D81" s="64" t="s">
        <v>346</v>
      </c>
      <c r="E81" s="88" t="n">
        <v>18.77</v>
      </c>
      <c r="F81" s="88" t="n">
        <v>0</v>
      </c>
      <c r="G81" s="88" t="n">
        <v>19.9232</v>
      </c>
      <c r="H81" s="88" t="n">
        <v>0</v>
      </c>
      <c r="I81" s="88" t="n">
        <v>235.861</v>
      </c>
    </row>
    <row r="82" customFormat="false" ht="21.75" hidden="false" customHeight="true" outlineLevel="0" collapsed="false">
      <c r="A82" s="64" t="s">
        <v>324</v>
      </c>
      <c r="B82" s="64" t="s">
        <v>325</v>
      </c>
      <c r="C82" s="64" t="s">
        <v>311</v>
      </c>
      <c r="D82" s="64" t="s">
        <v>347</v>
      </c>
      <c r="E82" s="88" t="n">
        <v>18.825</v>
      </c>
      <c r="F82" s="88" t="n">
        <v>0</v>
      </c>
      <c r="G82" s="88" t="n">
        <v>20.2277</v>
      </c>
      <c r="H82" s="88" t="n">
        <v>0</v>
      </c>
      <c r="I82" s="88" t="n">
        <v>357.9495</v>
      </c>
    </row>
    <row r="83" customFormat="false" ht="21.75" hidden="false" customHeight="true" outlineLevel="0" collapsed="false">
      <c r="A83" s="64" t="s">
        <v>324</v>
      </c>
      <c r="B83" s="64" t="s">
        <v>325</v>
      </c>
      <c r="C83" s="64" t="s">
        <v>311</v>
      </c>
      <c r="D83" s="64" t="s">
        <v>155</v>
      </c>
      <c r="E83" s="88" t="n">
        <v>22.915</v>
      </c>
      <c r="F83" s="88" t="n">
        <v>0</v>
      </c>
      <c r="G83" s="88" t="n">
        <v>21.124</v>
      </c>
      <c r="H83" s="88" t="n">
        <v>0</v>
      </c>
      <c r="I83" s="88" t="n">
        <v>400.1098</v>
      </c>
    </row>
    <row r="84" customFormat="false" ht="21.75" hidden="false" customHeight="true" outlineLevel="0" collapsed="false">
      <c r="A84" s="64" t="s">
        <v>324</v>
      </c>
      <c r="B84" s="64" t="s">
        <v>325</v>
      </c>
      <c r="C84" s="64" t="s">
        <v>311</v>
      </c>
      <c r="D84" s="64" t="s">
        <v>159</v>
      </c>
      <c r="E84" s="88" t="n">
        <v>20.35</v>
      </c>
      <c r="F84" s="88" t="n">
        <v>0</v>
      </c>
      <c r="G84" s="88" t="n">
        <v>22.186</v>
      </c>
      <c r="H84" s="88" t="n">
        <v>0</v>
      </c>
      <c r="I84" s="88" t="n">
        <v>429.9949</v>
      </c>
    </row>
    <row r="85" customFormat="false" ht="21.75" hidden="false" customHeight="true" outlineLevel="0" collapsed="false">
      <c r="A85" s="64" t="s">
        <v>324</v>
      </c>
      <c r="B85" s="64" t="s">
        <v>325</v>
      </c>
      <c r="C85" s="64" t="s">
        <v>311</v>
      </c>
      <c r="D85" s="64" t="s">
        <v>162</v>
      </c>
      <c r="E85" s="88" t="n">
        <v>16.86</v>
      </c>
      <c r="F85" s="88" t="n">
        <v>0</v>
      </c>
      <c r="G85" s="88" t="n">
        <v>22.1956</v>
      </c>
      <c r="H85" s="88" t="n">
        <v>0</v>
      </c>
      <c r="I85" s="88" t="n">
        <v>424.9515</v>
      </c>
    </row>
    <row r="86" customFormat="false" ht="21.75" hidden="false" customHeight="true" outlineLevel="0" collapsed="false">
      <c r="A86" s="64" t="s">
        <v>324</v>
      </c>
      <c r="B86" s="64" t="s">
        <v>325</v>
      </c>
      <c r="C86" s="64" t="s">
        <v>311</v>
      </c>
      <c r="D86" s="64" t="s">
        <v>147</v>
      </c>
      <c r="E86" s="88" t="n">
        <v>22.705</v>
      </c>
      <c r="F86" s="88" t="n">
        <v>0</v>
      </c>
      <c r="G86" s="88" t="n">
        <v>21.8902</v>
      </c>
      <c r="H86" s="88" t="n">
        <v>0</v>
      </c>
      <c r="I86" s="88" t="n">
        <v>407.2461</v>
      </c>
    </row>
    <row r="87" customFormat="false" ht="21.75" hidden="false" customHeight="true" outlineLevel="0" collapsed="false">
      <c r="A87" s="64" t="s">
        <v>324</v>
      </c>
      <c r="B87" s="64" t="s">
        <v>325</v>
      </c>
      <c r="C87" s="64" t="s">
        <v>311</v>
      </c>
      <c r="D87" s="64" t="s">
        <v>348</v>
      </c>
      <c r="E87" s="88" t="n">
        <v>29.56</v>
      </c>
      <c r="F87" s="88" t="n">
        <v>0</v>
      </c>
      <c r="G87" s="88" t="n">
        <v>25.6333</v>
      </c>
      <c r="H87" s="88" t="n">
        <v>0</v>
      </c>
      <c r="I87" s="88" t="n">
        <v>497.5448</v>
      </c>
    </row>
    <row r="88" customFormat="false" ht="21.75" hidden="false" customHeight="true" outlineLevel="0" collapsed="false">
      <c r="A88" s="64" t="s">
        <v>324</v>
      </c>
      <c r="B88" s="64" t="s">
        <v>325</v>
      </c>
      <c r="C88" s="64" t="s">
        <v>311</v>
      </c>
      <c r="D88" s="64" t="s">
        <v>349</v>
      </c>
      <c r="E88" s="88" t="n">
        <v>28.33</v>
      </c>
      <c r="F88" s="88" t="n">
        <v>0</v>
      </c>
      <c r="G88" s="88" t="n">
        <v>30.9333</v>
      </c>
      <c r="H88" s="88" t="n">
        <v>0</v>
      </c>
      <c r="I88" s="88" t="n">
        <v>601.0945</v>
      </c>
    </row>
    <row r="89" customFormat="false" ht="21.75" hidden="false" customHeight="true" outlineLevel="0" collapsed="false">
      <c r="A89" s="64" t="s">
        <v>324</v>
      </c>
      <c r="B89" s="64" t="s">
        <v>325</v>
      </c>
      <c r="C89" s="64" t="s">
        <v>311</v>
      </c>
      <c r="D89" s="64" t="s">
        <v>156</v>
      </c>
      <c r="E89" s="88" t="n">
        <v>21.35</v>
      </c>
      <c r="F89" s="88" t="n">
        <v>0</v>
      </c>
      <c r="G89" s="88" t="n">
        <v>34.2076</v>
      </c>
      <c r="H89" s="88" t="n">
        <v>0</v>
      </c>
      <c r="I89" s="88" t="n">
        <v>654.161</v>
      </c>
    </row>
    <row r="90" customFormat="false" ht="21.75" hidden="false" customHeight="true" outlineLevel="0" collapsed="false">
      <c r="A90" s="64" t="s">
        <v>324</v>
      </c>
      <c r="B90" s="64" t="s">
        <v>325</v>
      </c>
      <c r="C90" s="64" t="s">
        <v>311</v>
      </c>
      <c r="D90" s="64" t="s">
        <v>160</v>
      </c>
      <c r="E90" s="88" t="n">
        <v>14.575</v>
      </c>
      <c r="F90" s="88" t="n">
        <v>0</v>
      </c>
      <c r="G90" s="88" t="n">
        <v>33.435</v>
      </c>
      <c r="H90" s="88" t="n">
        <v>0</v>
      </c>
      <c r="I90" s="88" t="n">
        <v>637.1672</v>
      </c>
    </row>
    <row r="91" customFormat="false" ht="21.75" hidden="false" customHeight="true" outlineLevel="0" collapsed="false">
      <c r="A91" s="64" t="s">
        <v>324</v>
      </c>
      <c r="B91" s="64" t="s">
        <v>325</v>
      </c>
      <c r="C91" s="64" t="s">
        <v>311</v>
      </c>
      <c r="D91" s="64" t="s">
        <v>163</v>
      </c>
      <c r="E91" s="88" t="n">
        <v>7.17</v>
      </c>
      <c r="F91" s="88" t="n">
        <v>0</v>
      </c>
      <c r="G91" s="88" t="n">
        <v>28.9311</v>
      </c>
      <c r="H91" s="88" t="n">
        <v>0</v>
      </c>
      <c r="I91" s="88" t="n">
        <v>551.2699</v>
      </c>
    </row>
    <row r="92" customFormat="false" ht="21.75" hidden="false" customHeight="true" outlineLevel="0" collapsed="false">
      <c r="A92" s="64" t="s">
        <v>324</v>
      </c>
      <c r="B92" s="64" t="s">
        <v>325</v>
      </c>
      <c r="C92" s="64" t="s">
        <v>311</v>
      </c>
      <c r="D92" s="64" t="s">
        <v>150</v>
      </c>
      <c r="E92" s="88" t="n">
        <v>0</v>
      </c>
      <c r="F92" s="88" t="n">
        <v>0</v>
      </c>
      <c r="G92" s="88" t="n">
        <v>0</v>
      </c>
      <c r="H92" s="88" t="n">
        <v>0</v>
      </c>
      <c r="I92" s="88" t="n">
        <v>401.8533</v>
      </c>
    </row>
    <row r="93" customFormat="false" ht="21.75" hidden="false" customHeight="true" outlineLevel="0" collapsed="false">
      <c r="A93" s="64" t="s">
        <v>324</v>
      </c>
      <c r="B93" s="64" t="s">
        <v>325</v>
      </c>
      <c r="C93" s="64" t="s">
        <v>311</v>
      </c>
      <c r="D93" s="64" t="s">
        <v>350</v>
      </c>
      <c r="E93" s="88" t="n">
        <v>0</v>
      </c>
      <c r="F93" s="88" t="n">
        <v>0</v>
      </c>
      <c r="G93" s="88" t="n">
        <v>0</v>
      </c>
      <c r="H93" s="88" t="n">
        <v>0</v>
      </c>
      <c r="I93" s="88" t="n">
        <v>203.4723</v>
      </c>
    </row>
    <row r="94" customFormat="false" ht="21.75" hidden="false" customHeight="true" outlineLevel="0" collapsed="false">
      <c r="A94" s="64" t="s">
        <v>324</v>
      </c>
      <c r="B94" s="64" t="s">
        <v>325</v>
      </c>
      <c r="C94" s="64" t="s">
        <v>311</v>
      </c>
      <c r="D94" s="64" t="s">
        <v>351</v>
      </c>
      <c r="E94" s="88" t="n">
        <v>0</v>
      </c>
      <c r="F94" s="88" t="n">
        <v>0</v>
      </c>
      <c r="G94" s="88" t="n">
        <v>0</v>
      </c>
      <c r="H94" s="88" t="n">
        <v>0</v>
      </c>
      <c r="I94" s="88" t="n">
        <v>36.8058</v>
      </c>
    </row>
    <row r="95" customFormat="false" ht="21.75" hidden="false" customHeight="true" outlineLevel="0" collapsed="false">
      <c r="A95" s="64" t="s">
        <v>324</v>
      </c>
      <c r="B95" s="64" t="s">
        <v>326</v>
      </c>
      <c r="C95" s="64" t="s">
        <v>300</v>
      </c>
      <c r="D95" s="64" t="s">
        <v>343</v>
      </c>
      <c r="E95" s="88" t="n">
        <v>0</v>
      </c>
      <c r="F95" s="88" t="n">
        <v>0</v>
      </c>
      <c r="G95" s="88" t="n">
        <v>0</v>
      </c>
      <c r="H95" s="88" t="n">
        <v>0</v>
      </c>
      <c r="I95" s="88" t="n">
        <v>0</v>
      </c>
    </row>
    <row r="96" customFormat="false" ht="21.75" hidden="false" customHeight="true" outlineLevel="0" collapsed="false">
      <c r="A96" s="64" t="s">
        <v>324</v>
      </c>
      <c r="B96" s="64" t="s">
        <v>326</v>
      </c>
      <c r="C96" s="64" t="s">
        <v>300</v>
      </c>
      <c r="D96" s="64" t="s">
        <v>344</v>
      </c>
      <c r="E96" s="88" t="n">
        <v>0</v>
      </c>
      <c r="F96" s="88" t="n">
        <v>0</v>
      </c>
      <c r="G96" s="88" t="n">
        <v>0</v>
      </c>
      <c r="H96" s="88" t="n">
        <v>0</v>
      </c>
      <c r="I96" s="88" t="n">
        <v>0</v>
      </c>
    </row>
    <row r="97" customFormat="false" ht="21.75" hidden="false" customHeight="true" outlineLevel="0" collapsed="false">
      <c r="A97" s="64" t="s">
        <v>324</v>
      </c>
      <c r="B97" s="64" t="s">
        <v>326</v>
      </c>
      <c r="C97" s="64" t="s">
        <v>300</v>
      </c>
      <c r="D97" s="64" t="s">
        <v>345</v>
      </c>
      <c r="E97" s="88" t="n">
        <v>0</v>
      </c>
      <c r="F97" s="88" t="n">
        <v>0</v>
      </c>
      <c r="G97" s="88" t="n">
        <v>0</v>
      </c>
      <c r="H97" s="88" t="n">
        <v>0</v>
      </c>
      <c r="I97" s="88" t="n">
        <v>0</v>
      </c>
    </row>
    <row r="98" customFormat="false" ht="21.75" hidden="false" customHeight="true" outlineLevel="0" collapsed="false">
      <c r="A98" s="64" t="s">
        <v>324</v>
      </c>
      <c r="B98" s="64" t="s">
        <v>326</v>
      </c>
      <c r="C98" s="64" t="s">
        <v>300</v>
      </c>
      <c r="D98" s="64" t="s">
        <v>146</v>
      </c>
      <c r="E98" s="88" t="n">
        <v>3.88</v>
      </c>
      <c r="F98" s="88" t="n">
        <v>0.003</v>
      </c>
      <c r="G98" s="88" t="n">
        <v>0.0333</v>
      </c>
      <c r="H98" s="88" t="n">
        <v>0.0117</v>
      </c>
      <c r="I98" s="88" t="n">
        <v>0.1293</v>
      </c>
    </row>
    <row r="99" customFormat="false" ht="21.75" hidden="false" customHeight="true" outlineLevel="0" collapsed="false">
      <c r="A99" s="64" t="s">
        <v>324</v>
      </c>
      <c r="B99" s="64" t="s">
        <v>326</v>
      </c>
      <c r="C99" s="64" t="s">
        <v>300</v>
      </c>
      <c r="D99" s="64" t="s">
        <v>346</v>
      </c>
      <c r="E99" s="88" t="n">
        <v>4.64</v>
      </c>
      <c r="F99" s="88" t="n">
        <v>0.003</v>
      </c>
      <c r="G99" s="88" t="n">
        <v>0.0334</v>
      </c>
      <c r="H99" s="88" t="n">
        <v>0.0138</v>
      </c>
      <c r="I99" s="88" t="n">
        <v>0.1551</v>
      </c>
    </row>
    <row r="100" customFormat="false" ht="21.75" hidden="false" customHeight="true" outlineLevel="0" collapsed="false">
      <c r="A100" s="64" t="s">
        <v>324</v>
      </c>
      <c r="B100" s="64" t="s">
        <v>326</v>
      </c>
      <c r="C100" s="64" t="s">
        <v>300</v>
      </c>
      <c r="D100" s="64" t="s">
        <v>347</v>
      </c>
      <c r="E100" s="88" t="n">
        <v>4.78</v>
      </c>
      <c r="F100" s="88" t="n">
        <v>0.0039</v>
      </c>
      <c r="G100" s="88" t="n">
        <v>0.0338</v>
      </c>
      <c r="H100" s="88" t="n">
        <v>0.0188</v>
      </c>
      <c r="I100" s="88" t="n">
        <v>0.1613</v>
      </c>
    </row>
    <row r="101" customFormat="false" ht="21.75" hidden="false" customHeight="true" outlineLevel="0" collapsed="false">
      <c r="A101" s="64" t="s">
        <v>324</v>
      </c>
      <c r="B101" s="64" t="s">
        <v>326</v>
      </c>
      <c r="C101" s="64" t="s">
        <v>300</v>
      </c>
      <c r="D101" s="64" t="s">
        <v>155</v>
      </c>
      <c r="E101" s="88" t="n">
        <v>5.73</v>
      </c>
      <c r="F101" s="88" t="n">
        <v>0.0044</v>
      </c>
      <c r="G101" s="88" t="n">
        <v>0.0338</v>
      </c>
      <c r="H101" s="88" t="n">
        <v>0.0254</v>
      </c>
      <c r="I101" s="88" t="n">
        <v>0.1929</v>
      </c>
    </row>
    <row r="102" customFormat="false" ht="21.75" hidden="false" customHeight="true" outlineLevel="0" collapsed="false">
      <c r="A102" s="64" t="s">
        <v>324</v>
      </c>
      <c r="B102" s="64" t="s">
        <v>326</v>
      </c>
      <c r="C102" s="64" t="s">
        <v>300</v>
      </c>
      <c r="D102" s="64" t="s">
        <v>159</v>
      </c>
      <c r="E102" s="88" t="n">
        <v>5.36</v>
      </c>
      <c r="F102" s="88" t="n">
        <v>0.0039</v>
      </c>
      <c r="G102" s="88" t="n">
        <v>0.0336</v>
      </c>
      <c r="H102" s="88" t="n">
        <v>0.0209</v>
      </c>
      <c r="I102" s="88" t="n">
        <v>0.1812</v>
      </c>
    </row>
    <row r="103" customFormat="false" ht="21.75" hidden="false" customHeight="true" outlineLevel="0" collapsed="false">
      <c r="A103" s="64" t="s">
        <v>324</v>
      </c>
      <c r="B103" s="64" t="s">
        <v>326</v>
      </c>
      <c r="C103" s="64" t="s">
        <v>300</v>
      </c>
      <c r="D103" s="64" t="s">
        <v>162</v>
      </c>
      <c r="E103" s="88" t="n">
        <v>4.375</v>
      </c>
      <c r="F103" s="88" t="n">
        <v>0.0032</v>
      </c>
      <c r="G103" s="88" t="n">
        <v>0.0336</v>
      </c>
      <c r="H103" s="88" t="n">
        <v>0.0141</v>
      </c>
      <c r="I103" s="88" t="n">
        <v>0.1463</v>
      </c>
    </row>
    <row r="104" customFormat="false" ht="21.75" hidden="false" customHeight="true" outlineLevel="0" collapsed="false">
      <c r="A104" s="64" t="s">
        <v>324</v>
      </c>
      <c r="B104" s="64" t="s">
        <v>326</v>
      </c>
      <c r="C104" s="64" t="s">
        <v>300</v>
      </c>
      <c r="D104" s="64" t="s">
        <v>147</v>
      </c>
      <c r="E104" s="88" t="n">
        <v>5.67</v>
      </c>
      <c r="F104" s="88" t="n">
        <v>0.004</v>
      </c>
      <c r="G104" s="88" t="n">
        <v>0.0331</v>
      </c>
      <c r="H104" s="88" t="n">
        <v>0.0228</v>
      </c>
      <c r="I104" s="88" t="n">
        <v>0.1879</v>
      </c>
    </row>
    <row r="105" customFormat="false" ht="21.75" hidden="false" customHeight="true" outlineLevel="0" collapsed="false">
      <c r="A105" s="64" t="s">
        <v>324</v>
      </c>
      <c r="B105" s="64" t="s">
        <v>326</v>
      </c>
      <c r="C105" s="64" t="s">
        <v>300</v>
      </c>
      <c r="D105" s="64" t="s">
        <v>348</v>
      </c>
      <c r="E105" s="88" t="n">
        <v>7.435</v>
      </c>
      <c r="F105" s="88" t="n">
        <v>0.0063</v>
      </c>
      <c r="G105" s="88" t="n">
        <v>0.0335</v>
      </c>
      <c r="H105" s="88" t="n">
        <v>0.0469</v>
      </c>
      <c r="I105" s="88" t="n">
        <v>0.2489</v>
      </c>
    </row>
    <row r="106" customFormat="false" ht="21.75" hidden="false" customHeight="true" outlineLevel="0" collapsed="false">
      <c r="A106" s="64" t="s">
        <v>324</v>
      </c>
      <c r="B106" s="64" t="s">
        <v>326</v>
      </c>
      <c r="C106" s="64" t="s">
        <v>300</v>
      </c>
      <c r="D106" s="64" t="s">
        <v>349</v>
      </c>
      <c r="E106" s="88" t="n">
        <v>7.35</v>
      </c>
      <c r="F106" s="88" t="n">
        <v>0.0067</v>
      </c>
      <c r="G106" s="88" t="n">
        <v>0.0334</v>
      </c>
      <c r="H106" s="88" t="n">
        <v>0.0492</v>
      </c>
      <c r="I106" s="88" t="n">
        <v>0.2453</v>
      </c>
    </row>
    <row r="107" customFormat="false" ht="21.75" hidden="false" customHeight="true" outlineLevel="0" collapsed="false">
      <c r="A107" s="64" t="s">
        <v>324</v>
      </c>
      <c r="B107" s="64" t="s">
        <v>326</v>
      </c>
      <c r="C107" s="64" t="s">
        <v>300</v>
      </c>
      <c r="D107" s="64" t="s">
        <v>156</v>
      </c>
      <c r="E107" s="88" t="n">
        <v>5.32</v>
      </c>
      <c r="F107" s="88" t="n">
        <v>0.0034</v>
      </c>
      <c r="G107" s="88" t="n">
        <v>0.0325</v>
      </c>
      <c r="H107" s="88" t="n">
        <v>0.0182</v>
      </c>
      <c r="I107" s="88" t="n">
        <v>0.1731</v>
      </c>
    </row>
    <row r="108" customFormat="false" ht="21.75" hidden="false" customHeight="true" outlineLevel="0" collapsed="false">
      <c r="A108" s="64" t="s">
        <v>324</v>
      </c>
      <c r="B108" s="64" t="s">
        <v>326</v>
      </c>
      <c r="C108" s="64" t="s">
        <v>300</v>
      </c>
      <c r="D108" s="64" t="s">
        <v>160</v>
      </c>
      <c r="E108" s="88" t="n">
        <v>3.5</v>
      </c>
      <c r="F108" s="88" t="n">
        <v>0.002</v>
      </c>
      <c r="G108" s="88" t="n">
        <v>0.0335</v>
      </c>
      <c r="H108" s="88" t="n">
        <v>0.0069</v>
      </c>
      <c r="I108" s="88" t="n">
        <v>0.1172</v>
      </c>
    </row>
    <row r="109" customFormat="false" ht="21.75" hidden="false" customHeight="true" outlineLevel="0" collapsed="false">
      <c r="A109" s="64" t="s">
        <v>324</v>
      </c>
      <c r="B109" s="64" t="s">
        <v>326</v>
      </c>
      <c r="C109" s="64" t="s">
        <v>300</v>
      </c>
      <c r="D109" s="64" t="s">
        <v>163</v>
      </c>
      <c r="E109" s="88" t="n">
        <v>1.825</v>
      </c>
      <c r="F109" s="88" t="n">
        <v>0.001</v>
      </c>
      <c r="G109" s="88" t="n">
        <v>0.0327</v>
      </c>
      <c r="H109" s="88" t="n">
        <v>0.0019</v>
      </c>
      <c r="I109" s="88" t="n">
        <v>0.0597</v>
      </c>
    </row>
    <row r="110" customFormat="false" ht="21.75" hidden="false" customHeight="true" outlineLevel="0" collapsed="false">
      <c r="A110" s="64" t="s">
        <v>324</v>
      </c>
      <c r="B110" s="64" t="s">
        <v>326</v>
      </c>
      <c r="C110" s="64" t="s">
        <v>300</v>
      </c>
      <c r="D110" s="64" t="s">
        <v>150</v>
      </c>
      <c r="E110" s="88" t="n">
        <v>0</v>
      </c>
      <c r="F110" s="88" t="n">
        <v>0</v>
      </c>
      <c r="G110" s="88" t="n">
        <v>0</v>
      </c>
      <c r="H110" s="88" t="n">
        <v>0</v>
      </c>
      <c r="I110" s="88" t="n">
        <v>0.0001</v>
      </c>
    </row>
    <row r="111" customFormat="false" ht="21.75" hidden="false" customHeight="true" outlineLevel="0" collapsed="false">
      <c r="A111" s="64" t="s">
        <v>324</v>
      </c>
      <c r="B111" s="64" t="s">
        <v>326</v>
      </c>
      <c r="C111" s="64" t="s">
        <v>300</v>
      </c>
      <c r="D111" s="64" t="s">
        <v>350</v>
      </c>
      <c r="E111" s="88" t="n">
        <v>0</v>
      </c>
      <c r="F111" s="88" t="n">
        <v>0</v>
      </c>
      <c r="G111" s="88" t="n">
        <v>0</v>
      </c>
      <c r="H111" s="88" t="n">
        <v>0</v>
      </c>
      <c r="I111" s="88" t="n">
        <v>0</v>
      </c>
    </row>
    <row r="112" customFormat="false" ht="21.75" hidden="false" customHeight="true" outlineLevel="0" collapsed="false">
      <c r="A112" s="64" t="s">
        <v>324</v>
      </c>
      <c r="B112" s="64" t="s">
        <v>326</v>
      </c>
      <c r="C112" s="64" t="s">
        <v>300</v>
      </c>
      <c r="D112" s="64" t="s">
        <v>351</v>
      </c>
      <c r="E112" s="88" t="n">
        <v>0</v>
      </c>
      <c r="F112" s="88" t="n">
        <v>0</v>
      </c>
      <c r="G112" s="88" t="n">
        <v>0</v>
      </c>
      <c r="H112" s="88" t="n">
        <v>0</v>
      </c>
      <c r="I112" s="88" t="n">
        <v>0</v>
      </c>
    </row>
    <row r="113" customFormat="false" ht="21.75" hidden="false" customHeight="true" outlineLevel="0" collapsed="false">
      <c r="A113" s="64" t="s">
        <v>324</v>
      </c>
      <c r="B113" s="64" t="s">
        <v>326</v>
      </c>
      <c r="C113" s="64" t="s">
        <v>555</v>
      </c>
      <c r="D113" s="64" t="s">
        <v>343</v>
      </c>
      <c r="E113" s="88" t="n">
        <v>0</v>
      </c>
      <c r="F113" s="88" t="n">
        <v>0</v>
      </c>
      <c r="G113" s="88" t="n">
        <v>0</v>
      </c>
      <c r="H113" s="88" t="n">
        <v>0</v>
      </c>
      <c r="I113" s="88" t="n">
        <v>0</v>
      </c>
    </row>
    <row r="114" customFormat="false" ht="21.75" hidden="false" customHeight="true" outlineLevel="0" collapsed="false">
      <c r="A114" s="64" t="s">
        <v>324</v>
      </c>
      <c r="B114" s="64" t="s">
        <v>326</v>
      </c>
      <c r="C114" s="64" t="s">
        <v>555</v>
      </c>
      <c r="D114" s="64" t="s">
        <v>344</v>
      </c>
      <c r="E114" s="88" t="n">
        <v>0</v>
      </c>
      <c r="F114" s="88" t="n">
        <v>0</v>
      </c>
      <c r="G114" s="88" t="n">
        <v>0</v>
      </c>
      <c r="H114" s="88" t="n">
        <v>0</v>
      </c>
      <c r="I114" s="88" t="n">
        <v>0</v>
      </c>
    </row>
    <row r="115" customFormat="false" ht="21.75" hidden="false" customHeight="true" outlineLevel="0" collapsed="false">
      <c r="A115" s="64" t="s">
        <v>324</v>
      </c>
      <c r="B115" s="64" t="s">
        <v>326</v>
      </c>
      <c r="C115" s="64" t="s">
        <v>555</v>
      </c>
      <c r="D115" s="64" t="s">
        <v>345</v>
      </c>
      <c r="E115" s="88" t="n">
        <v>0</v>
      </c>
      <c r="F115" s="88" t="n">
        <v>0</v>
      </c>
      <c r="G115" s="88" t="n">
        <v>0</v>
      </c>
      <c r="H115" s="88" t="n">
        <v>0</v>
      </c>
      <c r="I115" s="88" t="n">
        <v>0</v>
      </c>
    </row>
    <row r="116" customFormat="false" ht="21.75" hidden="false" customHeight="true" outlineLevel="0" collapsed="false">
      <c r="A116" s="64" t="s">
        <v>324</v>
      </c>
      <c r="B116" s="64" t="s">
        <v>326</v>
      </c>
      <c r="C116" s="64" t="s">
        <v>555</v>
      </c>
      <c r="D116" s="64" t="s">
        <v>146</v>
      </c>
      <c r="E116" s="88" t="n">
        <v>3.655</v>
      </c>
      <c r="F116" s="88" t="n">
        <v>0.0021</v>
      </c>
      <c r="G116" s="88" t="n">
        <v>0.0953</v>
      </c>
      <c r="H116" s="88" t="n">
        <v>0.0077</v>
      </c>
      <c r="I116" s="88" t="n">
        <v>0.3471</v>
      </c>
    </row>
    <row r="117" customFormat="false" ht="21.75" hidden="false" customHeight="true" outlineLevel="0" collapsed="false">
      <c r="A117" s="64" t="s">
        <v>324</v>
      </c>
      <c r="B117" s="64" t="s">
        <v>326</v>
      </c>
      <c r="C117" s="64" t="s">
        <v>555</v>
      </c>
      <c r="D117" s="64" t="s">
        <v>346</v>
      </c>
      <c r="E117" s="88" t="n">
        <v>4.545</v>
      </c>
      <c r="F117" s="88" t="n">
        <v>0.0034</v>
      </c>
      <c r="G117" s="88" t="n">
        <v>0.0984</v>
      </c>
      <c r="H117" s="88" t="n">
        <v>0.0154</v>
      </c>
      <c r="I117" s="88" t="n">
        <v>0.447</v>
      </c>
    </row>
    <row r="118" customFormat="false" ht="21.75" hidden="false" customHeight="true" outlineLevel="0" collapsed="false">
      <c r="A118" s="64" t="s">
        <v>324</v>
      </c>
      <c r="B118" s="64" t="s">
        <v>326</v>
      </c>
      <c r="C118" s="64" t="s">
        <v>555</v>
      </c>
      <c r="D118" s="64" t="s">
        <v>347</v>
      </c>
      <c r="E118" s="88" t="n">
        <v>4.805</v>
      </c>
      <c r="F118" s="88" t="n">
        <v>0.0057</v>
      </c>
      <c r="G118" s="88" t="n">
        <v>0.1</v>
      </c>
      <c r="H118" s="88" t="n">
        <v>0.0275</v>
      </c>
      <c r="I118" s="88" t="n">
        <v>0.4785</v>
      </c>
    </row>
    <row r="119" customFormat="false" ht="21.75" hidden="false" customHeight="true" outlineLevel="0" collapsed="false">
      <c r="A119" s="64" t="s">
        <v>324</v>
      </c>
      <c r="B119" s="64" t="s">
        <v>326</v>
      </c>
      <c r="C119" s="64" t="s">
        <v>555</v>
      </c>
      <c r="D119" s="64" t="s">
        <v>155</v>
      </c>
      <c r="E119" s="88" t="n">
        <v>5.65</v>
      </c>
      <c r="F119" s="88" t="n">
        <v>0.0094</v>
      </c>
      <c r="G119" s="88" t="n">
        <v>0.099</v>
      </c>
      <c r="H119" s="88" t="n">
        <v>0.0529</v>
      </c>
      <c r="I119" s="88" t="n">
        <v>0.5589</v>
      </c>
    </row>
    <row r="120" customFormat="false" ht="21.75" hidden="false" customHeight="true" outlineLevel="0" collapsed="false">
      <c r="A120" s="64" t="s">
        <v>324</v>
      </c>
      <c r="B120" s="64" t="s">
        <v>326</v>
      </c>
      <c r="C120" s="64" t="s">
        <v>555</v>
      </c>
      <c r="D120" s="64" t="s">
        <v>159</v>
      </c>
      <c r="E120" s="88" t="n">
        <v>5.43</v>
      </c>
      <c r="F120" s="88" t="n">
        <v>0.0059</v>
      </c>
      <c r="G120" s="88" t="n">
        <v>0.1005</v>
      </c>
      <c r="H120" s="88" t="n">
        <v>0.0318</v>
      </c>
      <c r="I120" s="88" t="n">
        <v>0.5473</v>
      </c>
    </row>
    <row r="121" customFormat="false" ht="21.75" hidden="false" customHeight="true" outlineLevel="0" collapsed="false">
      <c r="A121" s="64" t="s">
        <v>324</v>
      </c>
      <c r="B121" s="64" t="s">
        <v>326</v>
      </c>
      <c r="C121" s="64" t="s">
        <v>555</v>
      </c>
      <c r="D121" s="64" t="s">
        <v>162</v>
      </c>
      <c r="E121" s="88" t="n">
        <v>4.37</v>
      </c>
      <c r="F121" s="88" t="n">
        <v>0.0033</v>
      </c>
      <c r="G121" s="88" t="n">
        <v>0.0996</v>
      </c>
      <c r="H121" s="88" t="n">
        <v>0.0142</v>
      </c>
      <c r="I121" s="88" t="n">
        <v>0.4359</v>
      </c>
    </row>
    <row r="122" customFormat="false" ht="21.75" hidden="false" customHeight="true" outlineLevel="0" collapsed="false">
      <c r="A122" s="64" t="s">
        <v>324</v>
      </c>
      <c r="B122" s="64" t="s">
        <v>326</v>
      </c>
      <c r="C122" s="64" t="s">
        <v>555</v>
      </c>
      <c r="D122" s="64" t="s">
        <v>147</v>
      </c>
      <c r="E122" s="88" t="n">
        <v>5.5</v>
      </c>
      <c r="F122" s="88" t="n">
        <v>0.0061</v>
      </c>
      <c r="G122" s="88" t="n">
        <v>0.102</v>
      </c>
      <c r="H122" s="88" t="n">
        <v>0.0333</v>
      </c>
      <c r="I122" s="88" t="n">
        <v>0.5555</v>
      </c>
    </row>
    <row r="123" customFormat="false" ht="21.75" hidden="false" customHeight="true" outlineLevel="0" collapsed="false">
      <c r="A123" s="64" t="s">
        <v>324</v>
      </c>
      <c r="B123" s="64" t="s">
        <v>326</v>
      </c>
      <c r="C123" s="64" t="s">
        <v>555</v>
      </c>
      <c r="D123" s="64" t="s">
        <v>348</v>
      </c>
      <c r="E123" s="88" t="n">
        <v>7.5</v>
      </c>
      <c r="F123" s="88" t="n">
        <v>0.0121</v>
      </c>
      <c r="G123" s="88" t="n">
        <v>0.1016</v>
      </c>
      <c r="H123" s="88" t="n">
        <v>0.0907</v>
      </c>
      <c r="I123" s="88" t="n">
        <v>0.7637</v>
      </c>
    </row>
    <row r="124" customFormat="false" ht="21.75" hidden="false" customHeight="true" outlineLevel="0" collapsed="false">
      <c r="A124" s="64" t="s">
        <v>324</v>
      </c>
      <c r="B124" s="64" t="s">
        <v>326</v>
      </c>
      <c r="C124" s="64" t="s">
        <v>555</v>
      </c>
      <c r="D124" s="64" t="s">
        <v>349</v>
      </c>
      <c r="E124" s="88" t="n">
        <v>7.44</v>
      </c>
      <c r="F124" s="88" t="n">
        <v>0.0093</v>
      </c>
      <c r="G124" s="88" t="n">
        <v>0.0979</v>
      </c>
      <c r="H124" s="88" t="n">
        <v>0.0689</v>
      </c>
      <c r="I124" s="88" t="n">
        <v>0.729</v>
      </c>
    </row>
    <row r="125" customFormat="false" ht="21.75" hidden="false" customHeight="true" outlineLevel="0" collapsed="false">
      <c r="A125" s="64" t="s">
        <v>324</v>
      </c>
      <c r="B125" s="64" t="s">
        <v>326</v>
      </c>
      <c r="C125" s="64" t="s">
        <v>555</v>
      </c>
      <c r="D125" s="64" t="s">
        <v>156</v>
      </c>
      <c r="E125" s="88" t="n">
        <v>5.375</v>
      </c>
      <c r="F125" s="88" t="n">
        <v>0.005</v>
      </c>
      <c r="G125" s="88" t="n">
        <v>0.0979</v>
      </c>
      <c r="H125" s="88" t="n">
        <v>0.0273</v>
      </c>
      <c r="I125" s="88" t="n">
        <v>0.5276</v>
      </c>
    </row>
    <row r="126" customFormat="false" ht="21.75" hidden="false" customHeight="true" outlineLevel="0" collapsed="false">
      <c r="A126" s="64" t="s">
        <v>324</v>
      </c>
      <c r="B126" s="64" t="s">
        <v>326</v>
      </c>
      <c r="C126" s="64" t="s">
        <v>555</v>
      </c>
      <c r="D126" s="64" t="s">
        <v>160</v>
      </c>
      <c r="E126" s="88" t="n">
        <v>3.64</v>
      </c>
      <c r="F126" s="88" t="n">
        <v>0.0018</v>
      </c>
      <c r="G126" s="88" t="n">
        <v>0.1004</v>
      </c>
      <c r="H126" s="88" t="n">
        <v>0.0067</v>
      </c>
      <c r="I126" s="88" t="n">
        <v>0.369</v>
      </c>
    </row>
    <row r="127" customFormat="false" ht="21.75" hidden="false" customHeight="true" outlineLevel="0" collapsed="false">
      <c r="A127" s="64" t="s">
        <v>324</v>
      </c>
      <c r="B127" s="64" t="s">
        <v>326</v>
      </c>
      <c r="C127" s="64" t="s">
        <v>555</v>
      </c>
      <c r="D127" s="64" t="s">
        <v>163</v>
      </c>
      <c r="E127" s="88" t="n">
        <v>1.88</v>
      </c>
      <c r="F127" s="88" t="n">
        <v>0.0007</v>
      </c>
      <c r="G127" s="88" t="n">
        <v>0.099</v>
      </c>
      <c r="H127" s="88" t="n">
        <v>0.0012</v>
      </c>
      <c r="I127" s="88" t="n">
        <v>0.1864</v>
      </c>
    </row>
    <row r="128" customFormat="false" ht="21.75" hidden="false" customHeight="true" outlineLevel="0" collapsed="false">
      <c r="A128" s="64" t="s">
        <v>324</v>
      </c>
      <c r="B128" s="64" t="s">
        <v>326</v>
      </c>
      <c r="C128" s="64" t="s">
        <v>555</v>
      </c>
      <c r="D128" s="64" t="s">
        <v>150</v>
      </c>
      <c r="E128" s="88" t="n">
        <v>0.075</v>
      </c>
      <c r="F128" s="88" t="n">
        <v>0</v>
      </c>
      <c r="G128" s="88" t="n">
        <v>0.0891</v>
      </c>
      <c r="H128" s="88" t="n">
        <v>0</v>
      </c>
      <c r="I128" s="88" t="n">
        <v>0.0068</v>
      </c>
    </row>
    <row r="129" customFormat="false" ht="21.75" hidden="false" customHeight="true" outlineLevel="0" collapsed="false">
      <c r="A129" s="64" t="s">
        <v>324</v>
      </c>
      <c r="B129" s="64" t="s">
        <v>326</v>
      </c>
      <c r="C129" s="64" t="s">
        <v>555</v>
      </c>
      <c r="D129" s="64" t="s">
        <v>350</v>
      </c>
      <c r="E129" s="88" t="n">
        <v>0</v>
      </c>
      <c r="F129" s="88" t="n">
        <v>0</v>
      </c>
      <c r="G129" s="88" t="n">
        <v>0</v>
      </c>
      <c r="H129" s="88" t="n">
        <v>0</v>
      </c>
      <c r="I129" s="88" t="n">
        <v>0</v>
      </c>
    </row>
    <row r="130" customFormat="false" ht="21.75" hidden="false" customHeight="true" outlineLevel="0" collapsed="false">
      <c r="A130" s="64" t="s">
        <v>324</v>
      </c>
      <c r="B130" s="64" t="s">
        <v>326</v>
      </c>
      <c r="C130" s="64" t="s">
        <v>555</v>
      </c>
      <c r="D130" s="64" t="s">
        <v>351</v>
      </c>
      <c r="E130" s="88" t="n">
        <v>0</v>
      </c>
      <c r="F130" s="88" t="n">
        <v>0</v>
      </c>
      <c r="G130" s="88" t="n">
        <v>0</v>
      </c>
      <c r="H130" s="88" t="n">
        <v>0</v>
      </c>
      <c r="I130" s="88" t="n">
        <v>0</v>
      </c>
    </row>
    <row r="131" customFormat="false" ht="21.75" hidden="false" customHeight="true" outlineLevel="0" collapsed="false">
      <c r="A131" s="64" t="s">
        <v>324</v>
      </c>
      <c r="B131" s="64" t="s">
        <v>326</v>
      </c>
      <c r="C131" s="64" t="s">
        <v>556</v>
      </c>
      <c r="D131" s="64" t="s">
        <v>343</v>
      </c>
      <c r="E131" s="88" t="n">
        <v>0</v>
      </c>
      <c r="F131" s="88" t="n">
        <v>0</v>
      </c>
      <c r="G131" s="88" t="n">
        <v>0</v>
      </c>
      <c r="H131" s="88" t="n">
        <v>0</v>
      </c>
      <c r="I131" s="88" t="n">
        <v>0</v>
      </c>
    </row>
    <row r="132" customFormat="false" ht="21.75" hidden="false" customHeight="true" outlineLevel="0" collapsed="false">
      <c r="A132" s="64" t="s">
        <v>324</v>
      </c>
      <c r="B132" s="64" t="s">
        <v>326</v>
      </c>
      <c r="C132" s="64" t="s">
        <v>556</v>
      </c>
      <c r="D132" s="64" t="s">
        <v>344</v>
      </c>
      <c r="E132" s="88" t="n">
        <v>0</v>
      </c>
      <c r="F132" s="88" t="n">
        <v>0</v>
      </c>
      <c r="G132" s="88" t="n">
        <v>0</v>
      </c>
      <c r="H132" s="88" t="n">
        <v>0</v>
      </c>
      <c r="I132" s="88" t="n">
        <v>0</v>
      </c>
    </row>
    <row r="133" customFormat="false" ht="21.75" hidden="false" customHeight="true" outlineLevel="0" collapsed="false">
      <c r="A133" s="64" t="s">
        <v>324</v>
      </c>
      <c r="B133" s="64" t="s">
        <v>326</v>
      </c>
      <c r="C133" s="64" t="s">
        <v>556</v>
      </c>
      <c r="D133" s="64" t="s">
        <v>345</v>
      </c>
      <c r="E133" s="88" t="n">
        <v>0</v>
      </c>
      <c r="F133" s="88" t="n">
        <v>0</v>
      </c>
      <c r="G133" s="88" t="n">
        <v>0</v>
      </c>
      <c r="H133" s="88" t="n">
        <v>0</v>
      </c>
      <c r="I133" s="88" t="n">
        <v>0</v>
      </c>
    </row>
    <row r="134" customFormat="false" ht="21.75" hidden="false" customHeight="true" outlineLevel="0" collapsed="false">
      <c r="A134" s="64" t="s">
        <v>324</v>
      </c>
      <c r="B134" s="64" t="s">
        <v>326</v>
      </c>
      <c r="C134" s="64" t="s">
        <v>556</v>
      </c>
      <c r="D134" s="64" t="s">
        <v>146</v>
      </c>
      <c r="E134" s="88" t="n">
        <v>3.07</v>
      </c>
      <c r="F134" s="88" t="n">
        <v>0</v>
      </c>
      <c r="G134" s="88" t="n">
        <v>16.0073</v>
      </c>
      <c r="H134" s="88" t="n">
        <v>0</v>
      </c>
      <c r="I134" s="88" t="n">
        <v>11.6759</v>
      </c>
    </row>
    <row r="135" customFormat="false" ht="21.75" hidden="false" customHeight="true" outlineLevel="0" collapsed="false">
      <c r="A135" s="64" t="s">
        <v>324</v>
      </c>
      <c r="B135" s="64" t="s">
        <v>326</v>
      </c>
      <c r="C135" s="64" t="s">
        <v>556</v>
      </c>
      <c r="D135" s="64" t="s">
        <v>346</v>
      </c>
      <c r="E135" s="88" t="n">
        <v>4.47</v>
      </c>
      <c r="F135" s="88" t="n">
        <v>0</v>
      </c>
      <c r="G135" s="88" t="n">
        <v>16.1394</v>
      </c>
      <c r="H135" s="88" t="n">
        <v>0</v>
      </c>
      <c r="I135" s="88" t="n">
        <v>51.514</v>
      </c>
    </row>
    <row r="136" customFormat="false" ht="21.75" hidden="false" customHeight="true" outlineLevel="0" collapsed="false">
      <c r="A136" s="64" t="s">
        <v>324</v>
      </c>
      <c r="B136" s="64" t="s">
        <v>326</v>
      </c>
      <c r="C136" s="64" t="s">
        <v>556</v>
      </c>
      <c r="D136" s="64" t="s">
        <v>347</v>
      </c>
      <c r="E136" s="88" t="n">
        <v>4.725</v>
      </c>
      <c r="F136" s="88" t="n">
        <v>0</v>
      </c>
      <c r="G136" s="88" t="n">
        <v>16.025</v>
      </c>
      <c r="H136" s="88" t="n">
        <v>0</v>
      </c>
      <c r="I136" s="88" t="n">
        <v>73.1067</v>
      </c>
    </row>
    <row r="137" customFormat="false" ht="21.75" hidden="false" customHeight="true" outlineLevel="0" collapsed="false">
      <c r="A137" s="64" t="s">
        <v>324</v>
      </c>
      <c r="B137" s="64" t="s">
        <v>326</v>
      </c>
      <c r="C137" s="64" t="s">
        <v>556</v>
      </c>
      <c r="D137" s="64" t="s">
        <v>155</v>
      </c>
      <c r="E137" s="88" t="n">
        <v>5.635</v>
      </c>
      <c r="F137" s="88" t="n">
        <v>0</v>
      </c>
      <c r="G137" s="88" t="n">
        <v>16.0169</v>
      </c>
      <c r="H137" s="88" t="n">
        <v>0</v>
      </c>
      <c r="I137" s="88" t="n">
        <v>79.4773</v>
      </c>
    </row>
    <row r="138" customFormat="false" ht="21.75" hidden="false" customHeight="true" outlineLevel="0" collapsed="false">
      <c r="A138" s="64" t="s">
        <v>324</v>
      </c>
      <c r="B138" s="64" t="s">
        <v>326</v>
      </c>
      <c r="C138" s="64" t="s">
        <v>556</v>
      </c>
      <c r="D138" s="64" t="s">
        <v>159</v>
      </c>
      <c r="E138" s="88" t="n">
        <v>5.44</v>
      </c>
      <c r="F138" s="88" t="n">
        <v>0</v>
      </c>
      <c r="G138" s="88" t="n">
        <v>16.093</v>
      </c>
      <c r="H138" s="88" t="n">
        <v>0</v>
      </c>
      <c r="I138" s="88" t="n">
        <v>86.9208</v>
      </c>
    </row>
    <row r="139" customFormat="false" ht="21.75" hidden="false" customHeight="true" outlineLevel="0" collapsed="false">
      <c r="A139" s="64" t="s">
        <v>324</v>
      </c>
      <c r="B139" s="64" t="s">
        <v>326</v>
      </c>
      <c r="C139" s="64" t="s">
        <v>556</v>
      </c>
      <c r="D139" s="64" t="s">
        <v>162</v>
      </c>
      <c r="E139" s="88" t="n">
        <v>4.5</v>
      </c>
      <c r="F139" s="88" t="n">
        <v>0</v>
      </c>
      <c r="G139" s="88" t="n">
        <v>16.0555</v>
      </c>
      <c r="H139" s="88" t="n">
        <v>0</v>
      </c>
      <c r="I139" s="88" t="n">
        <v>84.173</v>
      </c>
    </row>
    <row r="140" customFormat="false" ht="21.75" hidden="false" customHeight="true" outlineLevel="0" collapsed="false">
      <c r="A140" s="64" t="s">
        <v>324</v>
      </c>
      <c r="B140" s="64" t="s">
        <v>326</v>
      </c>
      <c r="C140" s="64" t="s">
        <v>556</v>
      </c>
      <c r="D140" s="64" t="s">
        <v>147</v>
      </c>
      <c r="E140" s="88" t="n">
        <v>4.99</v>
      </c>
      <c r="F140" s="88" t="n">
        <v>0</v>
      </c>
      <c r="G140" s="88" t="n">
        <v>16.0477</v>
      </c>
      <c r="H140" s="88" t="n">
        <v>0</v>
      </c>
      <c r="I140" s="88" t="n">
        <v>74.5739</v>
      </c>
    </row>
    <row r="141" customFormat="false" ht="21.75" hidden="false" customHeight="true" outlineLevel="0" collapsed="false">
      <c r="A141" s="64" t="s">
        <v>324</v>
      </c>
      <c r="B141" s="64" t="s">
        <v>326</v>
      </c>
      <c r="C141" s="64" t="s">
        <v>556</v>
      </c>
      <c r="D141" s="64" t="s">
        <v>348</v>
      </c>
      <c r="E141" s="88" t="n">
        <v>7.395</v>
      </c>
      <c r="F141" s="88" t="n">
        <v>0</v>
      </c>
      <c r="G141" s="88" t="n">
        <v>15.9736</v>
      </c>
      <c r="H141" s="88" t="n">
        <v>0</v>
      </c>
      <c r="I141" s="88" t="n">
        <v>91.1072</v>
      </c>
    </row>
    <row r="142" customFormat="false" ht="21.75" hidden="false" customHeight="true" outlineLevel="0" collapsed="false">
      <c r="A142" s="64" t="s">
        <v>324</v>
      </c>
      <c r="B142" s="64" t="s">
        <v>326</v>
      </c>
      <c r="C142" s="64" t="s">
        <v>556</v>
      </c>
      <c r="D142" s="64" t="s">
        <v>349</v>
      </c>
      <c r="E142" s="88" t="n">
        <v>7.605</v>
      </c>
      <c r="F142" s="88" t="n">
        <v>0</v>
      </c>
      <c r="G142" s="88" t="n">
        <v>16.0511</v>
      </c>
      <c r="H142" s="88" t="n">
        <v>0</v>
      </c>
      <c r="I142" s="88" t="n">
        <v>117.1498</v>
      </c>
    </row>
    <row r="143" customFormat="false" ht="21.75" hidden="false" customHeight="true" outlineLevel="0" collapsed="false">
      <c r="A143" s="64" t="s">
        <v>324</v>
      </c>
      <c r="B143" s="64" t="s">
        <v>326</v>
      </c>
      <c r="C143" s="64" t="s">
        <v>556</v>
      </c>
      <c r="D143" s="64" t="s">
        <v>156</v>
      </c>
      <c r="E143" s="88" t="n">
        <v>5.755</v>
      </c>
      <c r="F143" s="88" t="n">
        <v>0</v>
      </c>
      <c r="G143" s="88" t="n">
        <v>15.9911</v>
      </c>
      <c r="H143" s="88" t="n">
        <v>0</v>
      </c>
      <c r="I143" s="88" t="n">
        <v>113.2962</v>
      </c>
    </row>
    <row r="144" customFormat="false" ht="21.75" hidden="false" customHeight="true" outlineLevel="0" collapsed="false">
      <c r="A144" s="64" t="s">
        <v>324</v>
      </c>
      <c r="B144" s="64" t="s">
        <v>326</v>
      </c>
      <c r="C144" s="64" t="s">
        <v>556</v>
      </c>
      <c r="D144" s="64" t="s">
        <v>160</v>
      </c>
      <c r="E144" s="88" t="n">
        <v>3.93</v>
      </c>
      <c r="F144" s="88" t="n">
        <v>0</v>
      </c>
      <c r="G144" s="88" t="n">
        <v>15.987</v>
      </c>
      <c r="H144" s="88" t="n">
        <v>0</v>
      </c>
      <c r="I144" s="88" t="n">
        <v>87.4645</v>
      </c>
    </row>
    <row r="145" customFormat="false" ht="21.75" hidden="false" customHeight="true" outlineLevel="0" collapsed="false">
      <c r="A145" s="64" t="s">
        <v>324</v>
      </c>
      <c r="B145" s="64" t="s">
        <v>326</v>
      </c>
      <c r="C145" s="64" t="s">
        <v>556</v>
      </c>
      <c r="D145" s="64" t="s">
        <v>163</v>
      </c>
      <c r="E145" s="88" t="n">
        <v>2.06</v>
      </c>
      <c r="F145" s="88" t="n">
        <v>0</v>
      </c>
      <c r="G145" s="88" t="n">
        <v>15.9408</v>
      </c>
      <c r="H145" s="88" t="n">
        <v>0</v>
      </c>
      <c r="I145" s="88" t="n">
        <v>56.2858</v>
      </c>
    </row>
    <row r="146" customFormat="false" ht="21.75" hidden="false" customHeight="true" outlineLevel="0" collapsed="false">
      <c r="A146" s="64" t="s">
        <v>324</v>
      </c>
      <c r="B146" s="64" t="s">
        <v>326</v>
      </c>
      <c r="C146" s="64" t="s">
        <v>556</v>
      </c>
      <c r="D146" s="64" t="s">
        <v>150</v>
      </c>
      <c r="E146" s="88" t="n">
        <v>0.29</v>
      </c>
      <c r="F146" s="88" t="n">
        <v>0</v>
      </c>
      <c r="G146" s="88" t="n">
        <v>15.9064</v>
      </c>
      <c r="H146" s="88" t="n">
        <v>0</v>
      </c>
      <c r="I146" s="88" t="n">
        <v>27.4256</v>
      </c>
    </row>
    <row r="147" customFormat="false" ht="21.75" hidden="false" customHeight="true" outlineLevel="0" collapsed="false">
      <c r="A147" s="64" t="s">
        <v>324</v>
      </c>
      <c r="B147" s="64" t="s">
        <v>326</v>
      </c>
      <c r="C147" s="64" t="s">
        <v>556</v>
      </c>
      <c r="D147" s="64" t="s">
        <v>350</v>
      </c>
      <c r="E147" s="88" t="n">
        <v>0</v>
      </c>
      <c r="F147" s="88" t="n">
        <v>0</v>
      </c>
      <c r="G147" s="88" t="n">
        <v>0</v>
      </c>
      <c r="H147" s="88" t="n">
        <v>0</v>
      </c>
      <c r="I147" s="88" t="n">
        <v>5.4633</v>
      </c>
    </row>
    <row r="148" customFormat="false" ht="21.75" hidden="false" customHeight="true" outlineLevel="0" collapsed="false">
      <c r="A148" s="64" t="s">
        <v>324</v>
      </c>
      <c r="B148" s="64" t="s">
        <v>326</v>
      </c>
      <c r="C148" s="64" t="s">
        <v>556</v>
      </c>
      <c r="D148" s="64" t="s">
        <v>351</v>
      </c>
      <c r="E148" s="88" t="n">
        <v>0</v>
      </c>
      <c r="F148" s="88" t="n">
        <v>0</v>
      </c>
      <c r="G148" s="88" t="n">
        <v>0</v>
      </c>
      <c r="H148" s="88" t="n">
        <v>0</v>
      </c>
      <c r="I148" s="88" t="n">
        <v>0</v>
      </c>
    </row>
    <row r="149" customFormat="false" ht="21.75" hidden="false" customHeight="true" outlineLevel="0" collapsed="false">
      <c r="A149" s="64" t="s">
        <v>324</v>
      </c>
      <c r="B149" s="64" t="s">
        <v>326</v>
      </c>
      <c r="C149" s="64" t="s">
        <v>308</v>
      </c>
      <c r="D149" s="64" t="s">
        <v>343</v>
      </c>
      <c r="E149" s="88" t="n">
        <v>0</v>
      </c>
      <c r="F149" s="88" t="n">
        <v>0</v>
      </c>
      <c r="G149" s="88" t="n">
        <v>0</v>
      </c>
      <c r="H149" s="88" t="n">
        <v>0</v>
      </c>
      <c r="I149" s="88" t="n">
        <v>0</v>
      </c>
    </row>
    <row r="150" customFormat="false" ht="21.75" hidden="false" customHeight="true" outlineLevel="0" collapsed="false">
      <c r="A150" s="64" t="s">
        <v>324</v>
      </c>
      <c r="B150" s="64" t="s">
        <v>326</v>
      </c>
      <c r="C150" s="64" t="s">
        <v>308</v>
      </c>
      <c r="D150" s="64" t="s">
        <v>344</v>
      </c>
      <c r="E150" s="88" t="n">
        <v>0</v>
      </c>
      <c r="F150" s="88" t="n">
        <v>0</v>
      </c>
      <c r="G150" s="88" t="n">
        <v>0</v>
      </c>
      <c r="H150" s="88" t="n">
        <v>0</v>
      </c>
      <c r="I150" s="88" t="n">
        <v>0</v>
      </c>
    </row>
    <row r="151" customFormat="false" ht="21.75" hidden="false" customHeight="true" outlineLevel="0" collapsed="false">
      <c r="A151" s="64" t="s">
        <v>324</v>
      </c>
      <c r="B151" s="64" t="s">
        <v>326</v>
      </c>
      <c r="C151" s="64" t="s">
        <v>308</v>
      </c>
      <c r="D151" s="64" t="s">
        <v>345</v>
      </c>
      <c r="E151" s="88" t="n">
        <v>0</v>
      </c>
      <c r="F151" s="88" t="n">
        <v>0</v>
      </c>
      <c r="G151" s="88" t="n">
        <v>0</v>
      </c>
      <c r="H151" s="88" t="n">
        <v>0</v>
      </c>
      <c r="I151" s="88" t="n">
        <v>0</v>
      </c>
    </row>
    <row r="152" customFormat="false" ht="21.75" hidden="false" customHeight="true" outlineLevel="0" collapsed="false">
      <c r="A152" s="64" t="s">
        <v>324</v>
      </c>
      <c r="B152" s="64" t="s">
        <v>326</v>
      </c>
      <c r="C152" s="64" t="s">
        <v>308</v>
      </c>
      <c r="D152" s="64" t="s">
        <v>146</v>
      </c>
      <c r="E152" s="88" t="n">
        <v>0</v>
      </c>
      <c r="F152" s="88" t="n">
        <v>0</v>
      </c>
      <c r="G152" s="88" t="n">
        <v>0</v>
      </c>
      <c r="H152" s="88" t="n">
        <v>0</v>
      </c>
      <c r="I152" s="88" t="n">
        <v>0</v>
      </c>
    </row>
    <row r="153" customFormat="false" ht="21.75" hidden="false" customHeight="true" outlineLevel="0" collapsed="false">
      <c r="A153" s="64" t="s">
        <v>324</v>
      </c>
      <c r="B153" s="64" t="s">
        <v>326</v>
      </c>
      <c r="C153" s="64" t="s">
        <v>308</v>
      </c>
      <c r="D153" s="64" t="s">
        <v>346</v>
      </c>
      <c r="E153" s="88" t="n">
        <v>0.7</v>
      </c>
      <c r="F153" s="88" t="n">
        <v>0</v>
      </c>
      <c r="G153" s="88" t="n">
        <v>1.4817</v>
      </c>
      <c r="H153" s="88" t="n">
        <v>0</v>
      </c>
      <c r="I153" s="88" t="n">
        <v>0.6959</v>
      </c>
    </row>
    <row r="154" customFormat="false" ht="21.75" hidden="false" customHeight="true" outlineLevel="0" collapsed="false">
      <c r="A154" s="64" t="s">
        <v>324</v>
      </c>
      <c r="B154" s="64" t="s">
        <v>326</v>
      </c>
      <c r="C154" s="64" t="s">
        <v>308</v>
      </c>
      <c r="D154" s="64" t="s">
        <v>347</v>
      </c>
      <c r="E154" s="88" t="n">
        <v>4.005</v>
      </c>
      <c r="F154" s="88" t="n">
        <v>0</v>
      </c>
      <c r="G154" s="88" t="n">
        <v>1.5087</v>
      </c>
      <c r="H154" s="88" t="n">
        <v>0</v>
      </c>
      <c r="I154" s="88" t="n">
        <v>5.8883</v>
      </c>
    </row>
    <row r="155" customFormat="false" ht="21.75" hidden="false" customHeight="true" outlineLevel="0" collapsed="false">
      <c r="A155" s="64" t="s">
        <v>324</v>
      </c>
      <c r="B155" s="64" t="s">
        <v>326</v>
      </c>
      <c r="C155" s="64" t="s">
        <v>308</v>
      </c>
      <c r="D155" s="64" t="s">
        <v>155</v>
      </c>
      <c r="E155" s="88" t="n">
        <v>4.78</v>
      </c>
      <c r="F155" s="88" t="n">
        <v>0</v>
      </c>
      <c r="G155" s="88" t="n">
        <v>1.5064</v>
      </c>
      <c r="H155" s="88" t="n">
        <v>0</v>
      </c>
      <c r="I155" s="88" t="n">
        <v>7.1131</v>
      </c>
    </row>
    <row r="156" customFormat="false" ht="21.75" hidden="false" customHeight="true" outlineLevel="0" collapsed="false">
      <c r="A156" s="64" t="s">
        <v>324</v>
      </c>
      <c r="B156" s="64" t="s">
        <v>326</v>
      </c>
      <c r="C156" s="64" t="s">
        <v>308</v>
      </c>
      <c r="D156" s="64" t="s">
        <v>159</v>
      </c>
      <c r="E156" s="88" t="n">
        <v>4.89</v>
      </c>
      <c r="F156" s="88" t="n">
        <v>0</v>
      </c>
      <c r="G156" s="88" t="n">
        <v>1.5069</v>
      </c>
      <c r="H156" s="88" t="n">
        <v>0</v>
      </c>
      <c r="I156" s="88" t="n">
        <v>7.3023</v>
      </c>
    </row>
    <row r="157" customFormat="false" ht="21.75" hidden="false" customHeight="true" outlineLevel="0" collapsed="false">
      <c r="A157" s="64" t="s">
        <v>324</v>
      </c>
      <c r="B157" s="64" t="s">
        <v>326</v>
      </c>
      <c r="C157" s="64" t="s">
        <v>308</v>
      </c>
      <c r="D157" s="64" t="s">
        <v>162</v>
      </c>
      <c r="E157" s="88" t="n">
        <v>5.55</v>
      </c>
      <c r="F157" s="88" t="n">
        <v>0</v>
      </c>
      <c r="G157" s="88" t="n">
        <v>1.499</v>
      </c>
      <c r="H157" s="88" t="n">
        <v>0</v>
      </c>
      <c r="I157" s="88" t="n">
        <v>8.3722</v>
      </c>
    </row>
    <row r="158" customFormat="false" ht="21.75" hidden="false" customHeight="true" outlineLevel="0" collapsed="false">
      <c r="A158" s="64" t="s">
        <v>324</v>
      </c>
      <c r="B158" s="64" t="s">
        <v>326</v>
      </c>
      <c r="C158" s="64" t="s">
        <v>308</v>
      </c>
      <c r="D158" s="64" t="s">
        <v>147</v>
      </c>
      <c r="E158" s="88" t="n">
        <v>5.215</v>
      </c>
      <c r="F158" s="88" t="n">
        <v>0</v>
      </c>
      <c r="G158" s="88" t="n">
        <v>1.4976</v>
      </c>
      <c r="H158" s="88" t="n">
        <v>0</v>
      </c>
      <c r="I158" s="88" t="n">
        <v>7.9467</v>
      </c>
    </row>
    <row r="159" customFormat="false" ht="21.75" hidden="false" customHeight="true" outlineLevel="0" collapsed="false">
      <c r="A159" s="64" t="s">
        <v>324</v>
      </c>
      <c r="B159" s="64" t="s">
        <v>326</v>
      </c>
      <c r="C159" s="64" t="s">
        <v>308</v>
      </c>
      <c r="D159" s="64" t="s">
        <v>348</v>
      </c>
      <c r="E159" s="88" t="n">
        <v>4.415</v>
      </c>
      <c r="F159" s="88" t="n">
        <v>0</v>
      </c>
      <c r="G159" s="88" t="n">
        <v>1.4924</v>
      </c>
      <c r="H159" s="88" t="n">
        <v>0</v>
      </c>
      <c r="I159" s="88" t="n">
        <v>6.5004</v>
      </c>
    </row>
    <row r="160" customFormat="false" ht="21.75" hidden="false" customHeight="true" outlineLevel="0" collapsed="false">
      <c r="A160" s="64" t="s">
        <v>324</v>
      </c>
      <c r="B160" s="64" t="s">
        <v>326</v>
      </c>
      <c r="C160" s="64" t="s">
        <v>308</v>
      </c>
      <c r="D160" s="64" t="s">
        <v>349</v>
      </c>
      <c r="E160" s="88" t="n">
        <v>6.125</v>
      </c>
      <c r="F160" s="88" t="n">
        <v>0</v>
      </c>
      <c r="G160" s="88" t="n">
        <v>1.4966</v>
      </c>
      <c r="H160" s="88" t="n">
        <v>0</v>
      </c>
      <c r="I160" s="88" t="n">
        <v>8.9522</v>
      </c>
    </row>
    <row r="161" customFormat="false" ht="21.75" hidden="false" customHeight="true" outlineLevel="0" collapsed="false">
      <c r="A161" s="64" t="s">
        <v>324</v>
      </c>
      <c r="B161" s="64" t="s">
        <v>326</v>
      </c>
      <c r="C161" s="64" t="s">
        <v>308</v>
      </c>
      <c r="D161" s="64" t="s">
        <v>156</v>
      </c>
      <c r="E161" s="88" t="n">
        <v>7.55</v>
      </c>
      <c r="F161" s="88" t="n">
        <v>0</v>
      </c>
      <c r="G161" s="88" t="n">
        <v>1.4918</v>
      </c>
      <c r="H161" s="88" t="n">
        <v>0</v>
      </c>
      <c r="I161" s="88" t="n">
        <v>11.199</v>
      </c>
    </row>
    <row r="162" customFormat="false" ht="21.75" hidden="false" customHeight="true" outlineLevel="0" collapsed="false">
      <c r="A162" s="64" t="s">
        <v>324</v>
      </c>
      <c r="B162" s="64" t="s">
        <v>326</v>
      </c>
      <c r="C162" s="64" t="s">
        <v>308</v>
      </c>
      <c r="D162" s="64" t="s">
        <v>160</v>
      </c>
      <c r="E162" s="88" t="n">
        <v>7.04</v>
      </c>
      <c r="F162" s="88" t="n">
        <v>0</v>
      </c>
      <c r="G162" s="88" t="n">
        <v>1.4865</v>
      </c>
      <c r="H162" s="88" t="n">
        <v>0</v>
      </c>
      <c r="I162" s="88" t="n">
        <v>10.5821</v>
      </c>
    </row>
    <row r="163" customFormat="false" ht="21.75" hidden="false" customHeight="true" outlineLevel="0" collapsed="false">
      <c r="A163" s="64" t="s">
        <v>324</v>
      </c>
      <c r="B163" s="64" t="s">
        <v>326</v>
      </c>
      <c r="C163" s="64" t="s">
        <v>308</v>
      </c>
      <c r="D163" s="64" t="s">
        <v>163</v>
      </c>
      <c r="E163" s="88" t="n">
        <v>5.075</v>
      </c>
      <c r="F163" s="88" t="n">
        <v>0</v>
      </c>
      <c r="G163" s="88" t="n">
        <v>1.5003</v>
      </c>
      <c r="H163" s="88" t="n">
        <v>0</v>
      </c>
      <c r="I163" s="88" t="n">
        <v>7.8359</v>
      </c>
    </row>
    <row r="164" customFormat="false" ht="21.75" hidden="false" customHeight="true" outlineLevel="0" collapsed="false">
      <c r="A164" s="64" t="s">
        <v>324</v>
      </c>
      <c r="B164" s="64" t="s">
        <v>326</v>
      </c>
      <c r="C164" s="64" t="s">
        <v>308</v>
      </c>
      <c r="D164" s="64" t="s">
        <v>150</v>
      </c>
      <c r="E164" s="88" t="n">
        <v>3.105</v>
      </c>
      <c r="F164" s="88" t="n">
        <v>0</v>
      </c>
      <c r="G164" s="88" t="n">
        <v>1.4852</v>
      </c>
      <c r="H164" s="88" t="n">
        <v>0</v>
      </c>
      <c r="I164" s="88" t="n">
        <v>4.8354</v>
      </c>
    </row>
    <row r="165" customFormat="false" ht="21.75" hidden="false" customHeight="true" outlineLevel="0" collapsed="false">
      <c r="A165" s="64" t="s">
        <v>324</v>
      </c>
      <c r="B165" s="64" t="s">
        <v>326</v>
      </c>
      <c r="C165" s="64" t="s">
        <v>308</v>
      </c>
      <c r="D165" s="64" t="s">
        <v>350</v>
      </c>
      <c r="E165" s="88" t="n">
        <v>1.415</v>
      </c>
      <c r="F165" s="88" t="n">
        <v>0</v>
      </c>
      <c r="G165" s="88" t="n">
        <v>1.5052</v>
      </c>
      <c r="H165" s="88" t="n">
        <v>0</v>
      </c>
      <c r="I165" s="88" t="n">
        <v>2.3616</v>
      </c>
    </row>
    <row r="166" customFormat="false" ht="21.75" hidden="false" customHeight="true" outlineLevel="0" collapsed="false">
      <c r="A166" s="64" t="s">
        <v>324</v>
      </c>
      <c r="B166" s="64" t="s">
        <v>326</v>
      </c>
      <c r="C166" s="64" t="s">
        <v>308</v>
      </c>
      <c r="D166" s="64" t="s">
        <v>351</v>
      </c>
      <c r="E166" s="88" t="n">
        <v>0</v>
      </c>
      <c r="F166" s="88" t="n">
        <v>0</v>
      </c>
      <c r="G166" s="88" t="n">
        <v>0</v>
      </c>
      <c r="H166" s="88" t="n">
        <v>0</v>
      </c>
      <c r="I166" s="88" t="n">
        <v>0.0312</v>
      </c>
    </row>
    <row r="167" customFormat="false" ht="21.75" hidden="false" customHeight="true" outlineLevel="0" collapsed="false">
      <c r="A167" s="64" t="s">
        <v>324</v>
      </c>
      <c r="B167" s="64" t="s">
        <v>326</v>
      </c>
      <c r="C167" s="64" t="s">
        <v>311</v>
      </c>
      <c r="D167" s="64" t="s">
        <v>343</v>
      </c>
      <c r="E167" s="88" t="n">
        <v>0</v>
      </c>
      <c r="F167" s="88" t="n">
        <v>0</v>
      </c>
      <c r="G167" s="88" t="n">
        <v>0</v>
      </c>
      <c r="H167" s="88" t="n">
        <v>0</v>
      </c>
      <c r="I167" s="88" t="n">
        <v>0</v>
      </c>
    </row>
    <row r="168" customFormat="false" ht="21.75" hidden="false" customHeight="true" outlineLevel="0" collapsed="false">
      <c r="A168" s="64" t="s">
        <v>324</v>
      </c>
      <c r="B168" s="64" t="s">
        <v>326</v>
      </c>
      <c r="C168" s="64" t="s">
        <v>311</v>
      </c>
      <c r="D168" s="64" t="s">
        <v>344</v>
      </c>
      <c r="E168" s="88" t="n">
        <v>0</v>
      </c>
      <c r="F168" s="88" t="n">
        <v>0</v>
      </c>
      <c r="G168" s="88" t="n">
        <v>0</v>
      </c>
      <c r="H168" s="88" t="n">
        <v>0</v>
      </c>
      <c r="I168" s="88" t="n">
        <v>0</v>
      </c>
    </row>
    <row r="169" customFormat="false" ht="21.75" hidden="false" customHeight="true" outlineLevel="0" collapsed="false">
      <c r="A169" s="64" t="s">
        <v>324</v>
      </c>
      <c r="B169" s="64" t="s">
        <v>326</v>
      </c>
      <c r="C169" s="64" t="s">
        <v>311</v>
      </c>
      <c r="D169" s="64" t="s">
        <v>345</v>
      </c>
      <c r="E169" s="88" t="n">
        <v>0</v>
      </c>
      <c r="F169" s="88" t="n">
        <v>0</v>
      </c>
      <c r="G169" s="88" t="n">
        <v>0</v>
      </c>
      <c r="H169" s="88" t="n">
        <v>0</v>
      </c>
      <c r="I169" s="88" t="n">
        <v>0</v>
      </c>
    </row>
    <row r="170" customFormat="false" ht="21.75" hidden="false" customHeight="true" outlineLevel="0" collapsed="false">
      <c r="A170" s="64" t="s">
        <v>324</v>
      </c>
      <c r="B170" s="64" t="s">
        <v>326</v>
      </c>
      <c r="C170" s="64" t="s">
        <v>311</v>
      </c>
      <c r="D170" s="64" t="s">
        <v>146</v>
      </c>
      <c r="E170" s="88" t="n">
        <v>3.88</v>
      </c>
      <c r="F170" s="88" t="n">
        <v>0</v>
      </c>
      <c r="G170" s="88" t="n">
        <v>19.6409</v>
      </c>
      <c r="H170" s="88" t="n">
        <v>0</v>
      </c>
      <c r="I170" s="88" t="n">
        <v>18.9765</v>
      </c>
    </row>
    <row r="171" customFormat="false" ht="21.75" hidden="false" customHeight="true" outlineLevel="0" collapsed="false">
      <c r="A171" s="64" t="s">
        <v>324</v>
      </c>
      <c r="B171" s="64" t="s">
        <v>326</v>
      </c>
      <c r="C171" s="64" t="s">
        <v>311</v>
      </c>
      <c r="D171" s="64" t="s">
        <v>346</v>
      </c>
      <c r="E171" s="88" t="n">
        <v>4.64</v>
      </c>
      <c r="F171" s="88" t="n">
        <v>0</v>
      </c>
      <c r="G171" s="88" t="n">
        <v>19.7513</v>
      </c>
      <c r="H171" s="88" t="n">
        <v>0</v>
      </c>
      <c r="I171" s="88" t="n">
        <v>61.8597</v>
      </c>
    </row>
    <row r="172" customFormat="false" ht="21.75" hidden="false" customHeight="true" outlineLevel="0" collapsed="false">
      <c r="A172" s="64" t="s">
        <v>324</v>
      </c>
      <c r="B172" s="64" t="s">
        <v>326</v>
      </c>
      <c r="C172" s="64" t="s">
        <v>311</v>
      </c>
      <c r="D172" s="64" t="s">
        <v>347</v>
      </c>
      <c r="E172" s="88" t="n">
        <v>4.78</v>
      </c>
      <c r="F172" s="88" t="n">
        <v>0</v>
      </c>
      <c r="G172" s="88" t="n">
        <v>19.6685</v>
      </c>
      <c r="H172" s="88" t="n">
        <v>0</v>
      </c>
      <c r="I172" s="88" t="n">
        <v>89.1915</v>
      </c>
    </row>
    <row r="173" customFormat="false" ht="21.75" hidden="false" customHeight="true" outlineLevel="0" collapsed="false">
      <c r="A173" s="64" t="s">
        <v>324</v>
      </c>
      <c r="B173" s="64" t="s">
        <v>326</v>
      </c>
      <c r="C173" s="64" t="s">
        <v>311</v>
      </c>
      <c r="D173" s="64" t="s">
        <v>155</v>
      </c>
      <c r="E173" s="88" t="n">
        <v>5.73</v>
      </c>
      <c r="F173" s="88" t="n">
        <v>0</v>
      </c>
      <c r="G173" s="88" t="n">
        <v>19.6541</v>
      </c>
      <c r="H173" s="88" t="n">
        <v>0</v>
      </c>
      <c r="I173" s="88" t="n">
        <v>98.6402</v>
      </c>
    </row>
    <row r="174" customFormat="false" ht="21.75" hidden="false" customHeight="true" outlineLevel="0" collapsed="false">
      <c r="A174" s="64" t="s">
        <v>324</v>
      </c>
      <c r="B174" s="64" t="s">
        <v>326</v>
      </c>
      <c r="C174" s="64" t="s">
        <v>311</v>
      </c>
      <c r="D174" s="64" t="s">
        <v>159</v>
      </c>
      <c r="E174" s="88" t="n">
        <v>5.36</v>
      </c>
      <c r="F174" s="88" t="n">
        <v>0</v>
      </c>
      <c r="G174" s="88" t="n">
        <v>19.744</v>
      </c>
      <c r="H174" s="88" t="n">
        <v>0</v>
      </c>
      <c r="I174" s="88" t="n">
        <v>105.8951</v>
      </c>
    </row>
    <row r="175" customFormat="false" ht="21.75" hidden="false" customHeight="true" outlineLevel="0" collapsed="false">
      <c r="A175" s="64" t="s">
        <v>324</v>
      </c>
      <c r="B175" s="64" t="s">
        <v>326</v>
      </c>
      <c r="C175" s="64" t="s">
        <v>311</v>
      </c>
      <c r="D175" s="64" t="s">
        <v>162</v>
      </c>
      <c r="E175" s="88" t="n">
        <v>4.375</v>
      </c>
      <c r="F175" s="88" t="n">
        <v>0</v>
      </c>
      <c r="G175" s="88" t="n">
        <v>19.6792</v>
      </c>
      <c r="H175" s="88" t="n">
        <v>0</v>
      </c>
      <c r="I175" s="88" t="n">
        <v>101.8995</v>
      </c>
    </row>
    <row r="176" customFormat="false" ht="21.75" hidden="false" customHeight="true" outlineLevel="0" collapsed="false">
      <c r="A176" s="64" t="s">
        <v>324</v>
      </c>
      <c r="B176" s="64" t="s">
        <v>326</v>
      </c>
      <c r="C176" s="64" t="s">
        <v>311</v>
      </c>
      <c r="D176" s="64" t="s">
        <v>147</v>
      </c>
      <c r="E176" s="88" t="n">
        <v>5.67</v>
      </c>
      <c r="F176" s="88" t="n">
        <v>0</v>
      </c>
      <c r="G176" s="88" t="n">
        <v>19.6539</v>
      </c>
      <c r="H176" s="88" t="n">
        <v>0</v>
      </c>
      <c r="I176" s="88" t="n">
        <v>93.8852</v>
      </c>
    </row>
    <row r="177" customFormat="false" ht="21.75" hidden="false" customHeight="true" outlineLevel="0" collapsed="false">
      <c r="A177" s="64" t="s">
        <v>324</v>
      </c>
      <c r="B177" s="64" t="s">
        <v>326</v>
      </c>
      <c r="C177" s="64" t="s">
        <v>311</v>
      </c>
      <c r="D177" s="64" t="s">
        <v>348</v>
      </c>
      <c r="E177" s="88" t="n">
        <v>7.435</v>
      </c>
      <c r="F177" s="88" t="n">
        <v>0</v>
      </c>
      <c r="G177" s="88" t="n">
        <v>19.6625</v>
      </c>
      <c r="H177" s="88" t="n">
        <v>0</v>
      </c>
      <c r="I177" s="88" t="n">
        <v>113.8455</v>
      </c>
    </row>
    <row r="178" customFormat="false" ht="21.75" hidden="false" customHeight="true" outlineLevel="0" collapsed="false">
      <c r="A178" s="64" t="s">
        <v>324</v>
      </c>
      <c r="B178" s="64" t="s">
        <v>326</v>
      </c>
      <c r="C178" s="64" t="s">
        <v>311</v>
      </c>
      <c r="D178" s="64" t="s">
        <v>349</v>
      </c>
      <c r="E178" s="88" t="n">
        <v>7.35</v>
      </c>
      <c r="F178" s="88" t="n">
        <v>0</v>
      </c>
      <c r="G178" s="88" t="n">
        <v>19.6373</v>
      </c>
      <c r="H178" s="88" t="n">
        <v>0</v>
      </c>
      <c r="I178" s="88" t="n">
        <v>141.9044</v>
      </c>
    </row>
    <row r="179" customFormat="false" ht="21.75" hidden="false" customHeight="true" outlineLevel="0" collapsed="false">
      <c r="A179" s="64" t="s">
        <v>324</v>
      </c>
      <c r="B179" s="64" t="s">
        <v>326</v>
      </c>
      <c r="C179" s="64" t="s">
        <v>311</v>
      </c>
      <c r="D179" s="64" t="s">
        <v>156</v>
      </c>
      <c r="E179" s="88" t="n">
        <v>5.32</v>
      </c>
      <c r="F179" s="88" t="n">
        <v>0</v>
      </c>
      <c r="G179" s="88" t="n">
        <v>19.5774</v>
      </c>
      <c r="H179" s="88" t="n">
        <v>0</v>
      </c>
      <c r="I179" s="88" t="n">
        <v>136.2155</v>
      </c>
    </row>
    <row r="180" customFormat="false" ht="21.75" hidden="false" customHeight="true" outlineLevel="0" collapsed="false">
      <c r="A180" s="64" t="s">
        <v>324</v>
      </c>
      <c r="B180" s="64" t="s">
        <v>326</v>
      </c>
      <c r="C180" s="64" t="s">
        <v>311</v>
      </c>
      <c r="D180" s="64" t="s">
        <v>160</v>
      </c>
      <c r="E180" s="88" t="n">
        <v>3.5</v>
      </c>
      <c r="F180" s="88" t="n">
        <v>0</v>
      </c>
      <c r="G180" s="88" t="n">
        <v>19.628</v>
      </c>
      <c r="H180" s="88" t="n">
        <v>0</v>
      </c>
      <c r="I180" s="88" t="n">
        <v>105.9439</v>
      </c>
    </row>
    <row r="181" customFormat="false" ht="21.75" hidden="false" customHeight="true" outlineLevel="0" collapsed="false">
      <c r="A181" s="64" t="s">
        <v>324</v>
      </c>
      <c r="B181" s="64" t="s">
        <v>326</v>
      </c>
      <c r="C181" s="64" t="s">
        <v>311</v>
      </c>
      <c r="D181" s="64" t="s">
        <v>163</v>
      </c>
      <c r="E181" s="88" t="n">
        <v>1.825</v>
      </c>
      <c r="F181" s="88" t="n">
        <v>0</v>
      </c>
      <c r="G181" s="88" t="n">
        <v>19.5229</v>
      </c>
      <c r="H181" s="88" t="n">
        <v>0</v>
      </c>
      <c r="I181" s="88" t="n">
        <v>68.1935</v>
      </c>
    </row>
    <row r="182" customFormat="false" ht="21.75" hidden="false" customHeight="true" outlineLevel="0" collapsed="false">
      <c r="A182" s="64" t="s">
        <v>324</v>
      </c>
      <c r="B182" s="64" t="s">
        <v>326</v>
      </c>
      <c r="C182" s="64" t="s">
        <v>311</v>
      </c>
      <c r="D182" s="64" t="s">
        <v>150</v>
      </c>
      <c r="E182" s="88" t="n">
        <v>0</v>
      </c>
      <c r="F182" s="88" t="n">
        <v>0</v>
      </c>
      <c r="G182" s="88" t="n">
        <v>0</v>
      </c>
      <c r="H182" s="88" t="n">
        <v>0</v>
      </c>
      <c r="I182" s="88" t="n">
        <v>32.5459</v>
      </c>
    </row>
    <row r="183" customFormat="false" ht="21.75" hidden="false" customHeight="true" outlineLevel="0" collapsed="false">
      <c r="A183" s="64" t="s">
        <v>324</v>
      </c>
      <c r="B183" s="64" t="s">
        <v>326</v>
      </c>
      <c r="C183" s="64" t="s">
        <v>311</v>
      </c>
      <c r="D183" s="64" t="s">
        <v>350</v>
      </c>
      <c r="E183" s="88" t="n">
        <v>0</v>
      </c>
      <c r="F183" s="88" t="n">
        <v>0</v>
      </c>
      <c r="G183" s="88" t="n">
        <v>0</v>
      </c>
      <c r="H183" s="88" t="n">
        <v>0</v>
      </c>
      <c r="I183" s="88" t="n">
        <v>7.8249</v>
      </c>
    </row>
    <row r="184" customFormat="false" ht="21.75" hidden="false" customHeight="true" outlineLevel="0" collapsed="false">
      <c r="A184" s="64" t="s">
        <v>324</v>
      </c>
      <c r="B184" s="64" t="s">
        <v>326</v>
      </c>
      <c r="C184" s="64" t="s">
        <v>311</v>
      </c>
      <c r="D184" s="64" t="s">
        <v>351</v>
      </c>
      <c r="E184" s="88" t="n">
        <v>0</v>
      </c>
      <c r="F184" s="88" t="n">
        <v>0</v>
      </c>
      <c r="G184" s="88" t="n">
        <v>0</v>
      </c>
      <c r="H184" s="88" t="n">
        <v>0</v>
      </c>
      <c r="I184" s="88" t="n">
        <v>0.0312</v>
      </c>
    </row>
    <row r="185" customFormat="false" ht="21.75" hidden="false" customHeight="true" outlineLevel="0" collapsed="false">
      <c r="A185" s="64" t="s">
        <v>327</v>
      </c>
      <c r="B185" s="64" t="s">
        <v>325</v>
      </c>
      <c r="C185" s="64" t="s">
        <v>300</v>
      </c>
      <c r="D185" s="64" t="s">
        <v>343</v>
      </c>
      <c r="E185" s="88" t="n">
        <v>0</v>
      </c>
      <c r="F185" s="88" t="n">
        <v>0</v>
      </c>
      <c r="G185" s="88" t="n">
        <v>0</v>
      </c>
      <c r="H185" s="88" t="n">
        <v>0</v>
      </c>
      <c r="I185" s="88" t="n">
        <v>0</v>
      </c>
    </row>
    <row r="186" customFormat="false" ht="21.75" hidden="false" customHeight="true" outlineLevel="0" collapsed="false">
      <c r="A186" s="64" t="s">
        <v>327</v>
      </c>
      <c r="B186" s="64" t="s">
        <v>325</v>
      </c>
      <c r="C186" s="64" t="s">
        <v>300</v>
      </c>
      <c r="D186" s="64" t="s">
        <v>344</v>
      </c>
      <c r="E186" s="88" t="n">
        <v>0</v>
      </c>
      <c r="F186" s="88" t="n">
        <v>0</v>
      </c>
      <c r="G186" s="88" t="n">
        <v>0</v>
      </c>
      <c r="H186" s="88" t="n">
        <v>0</v>
      </c>
      <c r="I186" s="88" t="n">
        <v>0</v>
      </c>
    </row>
    <row r="187" customFormat="false" ht="21.75" hidden="false" customHeight="true" outlineLevel="0" collapsed="false">
      <c r="A187" s="64" t="s">
        <v>327</v>
      </c>
      <c r="B187" s="64" t="s">
        <v>325</v>
      </c>
      <c r="C187" s="64" t="s">
        <v>300</v>
      </c>
      <c r="D187" s="64" t="s">
        <v>345</v>
      </c>
      <c r="E187" s="88" t="n">
        <v>0</v>
      </c>
      <c r="F187" s="88" t="n">
        <v>0</v>
      </c>
      <c r="G187" s="88" t="n">
        <v>0</v>
      </c>
      <c r="H187" s="88" t="n">
        <v>0</v>
      </c>
      <c r="I187" s="88" t="n">
        <v>0</v>
      </c>
    </row>
    <row r="188" customFormat="false" ht="21.75" hidden="false" customHeight="true" outlineLevel="0" collapsed="false">
      <c r="A188" s="64" t="s">
        <v>327</v>
      </c>
      <c r="B188" s="64" t="s">
        <v>325</v>
      </c>
      <c r="C188" s="64" t="s">
        <v>300</v>
      </c>
      <c r="D188" s="64" t="s">
        <v>146</v>
      </c>
      <c r="E188" s="88" t="n">
        <v>14.52</v>
      </c>
      <c r="F188" s="88" t="n">
        <v>0.0195</v>
      </c>
      <c r="G188" s="88" t="n">
        <v>0.0335</v>
      </c>
      <c r="H188" s="88" t="n">
        <v>0.2811</v>
      </c>
      <c r="I188" s="88" t="n">
        <v>0.4835</v>
      </c>
    </row>
    <row r="189" customFormat="false" ht="21.75" hidden="false" customHeight="true" outlineLevel="0" collapsed="false">
      <c r="A189" s="64" t="s">
        <v>327</v>
      </c>
      <c r="B189" s="64" t="s">
        <v>325</v>
      </c>
      <c r="C189" s="64" t="s">
        <v>300</v>
      </c>
      <c r="D189" s="64" t="s">
        <v>346</v>
      </c>
      <c r="E189" s="88" t="n">
        <v>18.77</v>
      </c>
      <c r="F189" s="88" t="n">
        <v>0.0272</v>
      </c>
      <c r="G189" s="88" t="n">
        <v>0.0333</v>
      </c>
      <c r="H189" s="88" t="n">
        <v>0.5063</v>
      </c>
      <c r="I189" s="88" t="n">
        <v>0.6245</v>
      </c>
    </row>
    <row r="190" customFormat="false" ht="21.75" hidden="false" customHeight="true" outlineLevel="0" collapsed="false">
      <c r="A190" s="64" t="s">
        <v>327</v>
      </c>
      <c r="B190" s="64" t="s">
        <v>325</v>
      </c>
      <c r="C190" s="64" t="s">
        <v>300</v>
      </c>
      <c r="D190" s="64" t="s">
        <v>347</v>
      </c>
      <c r="E190" s="88" t="n">
        <v>18.595</v>
      </c>
      <c r="F190" s="88" t="n">
        <v>0.0368</v>
      </c>
      <c r="G190" s="88" t="n">
        <v>0.0334</v>
      </c>
      <c r="H190" s="88" t="n">
        <v>0.689</v>
      </c>
      <c r="I190" s="88" t="n">
        <v>0.6234</v>
      </c>
    </row>
    <row r="191" customFormat="false" ht="21.75" hidden="false" customHeight="true" outlineLevel="0" collapsed="false">
      <c r="A191" s="64" t="s">
        <v>327</v>
      </c>
      <c r="B191" s="64" t="s">
        <v>325</v>
      </c>
      <c r="C191" s="64" t="s">
        <v>300</v>
      </c>
      <c r="D191" s="64" t="s">
        <v>155</v>
      </c>
      <c r="E191" s="88" t="n">
        <v>21.645</v>
      </c>
      <c r="F191" s="88" t="n">
        <v>0.0558</v>
      </c>
      <c r="G191" s="88" t="n">
        <v>0.0335</v>
      </c>
      <c r="H191" s="88" t="n">
        <v>1.2025</v>
      </c>
      <c r="I191" s="88" t="n">
        <v>0.721</v>
      </c>
    </row>
    <row r="192" customFormat="false" ht="21.75" hidden="false" customHeight="true" outlineLevel="0" collapsed="false">
      <c r="A192" s="64" t="s">
        <v>327</v>
      </c>
      <c r="B192" s="64" t="s">
        <v>325</v>
      </c>
      <c r="C192" s="64" t="s">
        <v>300</v>
      </c>
      <c r="D192" s="64" t="s">
        <v>159</v>
      </c>
      <c r="E192" s="88" t="n">
        <v>18.74</v>
      </c>
      <c r="F192" s="88" t="n">
        <v>0.0348</v>
      </c>
      <c r="G192" s="88" t="n">
        <v>0.0333</v>
      </c>
      <c r="H192" s="88" t="n">
        <v>0.6563</v>
      </c>
      <c r="I192" s="88" t="n">
        <v>0.6269</v>
      </c>
    </row>
    <row r="193" customFormat="false" ht="21.75" hidden="false" customHeight="true" outlineLevel="0" collapsed="false">
      <c r="A193" s="64" t="s">
        <v>327</v>
      </c>
      <c r="B193" s="64" t="s">
        <v>325</v>
      </c>
      <c r="C193" s="64" t="s">
        <v>300</v>
      </c>
      <c r="D193" s="64" t="s">
        <v>162</v>
      </c>
      <c r="E193" s="88" t="n">
        <v>15.905</v>
      </c>
      <c r="F193" s="88" t="n">
        <v>0.0212</v>
      </c>
      <c r="G193" s="88" t="n">
        <v>0.0333</v>
      </c>
      <c r="H193" s="88" t="n">
        <v>0.3399</v>
      </c>
      <c r="I193" s="88" t="n">
        <v>0.5325</v>
      </c>
    </row>
    <row r="194" customFormat="false" ht="21.75" hidden="false" customHeight="true" outlineLevel="0" collapsed="false">
      <c r="A194" s="64" t="s">
        <v>327</v>
      </c>
      <c r="B194" s="64" t="s">
        <v>325</v>
      </c>
      <c r="C194" s="64" t="s">
        <v>300</v>
      </c>
      <c r="D194" s="64" t="s">
        <v>147</v>
      </c>
      <c r="E194" s="88" t="n">
        <v>21.265</v>
      </c>
      <c r="F194" s="88" t="n">
        <v>0.0638</v>
      </c>
      <c r="G194" s="88" t="n">
        <v>0.0332</v>
      </c>
      <c r="H194" s="88" t="n">
        <v>1.3422</v>
      </c>
      <c r="I194" s="88" t="n">
        <v>0.6993</v>
      </c>
    </row>
    <row r="195" customFormat="false" ht="21.75" hidden="false" customHeight="true" outlineLevel="0" collapsed="false">
      <c r="A195" s="64" t="s">
        <v>327</v>
      </c>
      <c r="B195" s="64" t="s">
        <v>325</v>
      </c>
      <c r="C195" s="64" t="s">
        <v>300</v>
      </c>
      <c r="D195" s="64" t="s">
        <v>348</v>
      </c>
      <c r="E195" s="88" t="n">
        <v>21.375</v>
      </c>
      <c r="F195" s="88" t="n">
        <v>0.0696</v>
      </c>
      <c r="G195" s="88" t="n">
        <v>0.0334</v>
      </c>
      <c r="H195" s="88" t="n">
        <v>1.4947</v>
      </c>
      <c r="I195" s="88" t="n">
        <v>0.7149</v>
      </c>
    </row>
    <row r="196" customFormat="false" ht="21.75" hidden="false" customHeight="true" outlineLevel="0" collapsed="false">
      <c r="A196" s="64" t="s">
        <v>327</v>
      </c>
      <c r="B196" s="64" t="s">
        <v>325</v>
      </c>
      <c r="C196" s="64" t="s">
        <v>300</v>
      </c>
      <c r="D196" s="64" t="s">
        <v>349</v>
      </c>
      <c r="E196" s="88" t="n">
        <v>19.635</v>
      </c>
      <c r="F196" s="88" t="n">
        <v>0.0562</v>
      </c>
      <c r="G196" s="88" t="n">
        <v>0.0333</v>
      </c>
      <c r="H196" s="88" t="n">
        <v>1.1085</v>
      </c>
      <c r="I196" s="88" t="n">
        <v>0.6568</v>
      </c>
    </row>
    <row r="197" customFormat="false" ht="21.75" hidden="false" customHeight="true" outlineLevel="0" collapsed="false">
      <c r="A197" s="64" t="s">
        <v>327</v>
      </c>
      <c r="B197" s="64" t="s">
        <v>325</v>
      </c>
      <c r="C197" s="64" t="s">
        <v>300</v>
      </c>
      <c r="D197" s="64" t="s">
        <v>156</v>
      </c>
      <c r="E197" s="88" t="n">
        <v>17.935</v>
      </c>
      <c r="F197" s="88" t="n">
        <v>0.0342</v>
      </c>
      <c r="G197" s="88" t="n">
        <v>0.0335</v>
      </c>
      <c r="H197" s="88" t="n">
        <v>0.6151</v>
      </c>
      <c r="I197" s="88" t="n">
        <v>0.601</v>
      </c>
    </row>
    <row r="198" customFormat="false" ht="21.75" hidden="false" customHeight="true" outlineLevel="0" collapsed="false">
      <c r="A198" s="64" t="s">
        <v>327</v>
      </c>
      <c r="B198" s="64" t="s">
        <v>325</v>
      </c>
      <c r="C198" s="64" t="s">
        <v>300</v>
      </c>
      <c r="D198" s="64" t="s">
        <v>160</v>
      </c>
      <c r="E198" s="88" t="n">
        <v>14.28</v>
      </c>
      <c r="F198" s="88" t="n">
        <v>0.0179</v>
      </c>
      <c r="G198" s="88" t="n">
        <v>0.0335</v>
      </c>
      <c r="H198" s="88" t="n">
        <v>0.2556</v>
      </c>
      <c r="I198" s="88" t="n">
        <v>0.4792</v>
      </c>
    </row>
    <row r="199" customFormat="false" ht="21.75" hidden="false" customHeight="true" outlineLevel="0" collapsed="false">
      <c r="A199" s="64" t="s">
        <v>327</v>
      </c>
      <c r="B199" s="64" t="s">
        <v>325</v>
      </c>
      <c r="C199" s="64" t="s">
        <v>300</v>
      </c>
      <c r="D199" s="64" t="s">
        <v>163</v>
      </c>
      <c r="E199" s="88" t="n">
        <v>7.17</v>
      </c>
      <c r="F199" s="88" t="n">
        <v>0.0059</v>
      </c>
      <c r="G199" s="88" t="n">
        <v>0.0336</v>
      </c>
      <c r="H199" s="88" t="n">
        <v>0.0423</v>
      </c>
      <c r="I199" s="88" t="n">
        <v>0.2414</v>
      </c>
    </row>
    <row r="200" customFormat="false" ht="21.75" hidden="false" customHeight="true" outlineLevel="0" collapsed="false">
      <c r="A200" s="64" t="s">
        <v>327</v>
      </c>
      <c r="B200" s="64" t="s">
        <v>325</v>
      </c>
      <c r="C200" s="64" t="s">
        <v>300</v>
      </c>
      <c r="D200" s="64" t="s">
        <v>150</v>
      </c>
      <c r="E200" s="88" t="n">
        <v>0</v>
      </c>
      <c r="F200" s="88" t="n">
        <v>0</v>
      </c>
      <c r="G200" s="88" t="n">
        <v>0</v>
      </c>
      <c r="H200" s="88" t="n">
        <v>0</v>
      </c>
      <c r="I200" s="88" t="n">
        <v>0.0002</v>
      </c>
    </row>
    <row r="201" customFormat="false" ht="21.75" hidden="false" customHeight="true" outlineLevel="0" collapsed="false">
      <c r="A201" s="64" t="s">
        <v>327</v>
      </c>
      <c r="B201" s="64" t="s">
        <v>325</v>
      </c>
      <c r="C201" s="64" t="s">
        <v>300</v>
      </c>
      <c r="D201" s="64" t="s">
        <v>350</v>
      </c>
      <c r="E201" s="88" t="n">
        <v>0</v>
      </c>
      <c r="F201" s="88" t="n">
        <v>0</v>
      </c>
      <c r="G201" s="88" t="n">
        <v>0</v>
      </c>
      <c r="H201" s="88" t="n">
        <v>0</v>
      </c>
      <c r="I201" s="88" t="n">
        <v>0</v>
      </c>
    </row>
    <row r="202" customFormat="false" ht="21.75" hidden="false" customHeight="true" outlineLevel="0" collapsed="false">
      <c r="A202" s="64" t="s">
        <v>327</v>
      </c>
      <c r="B202" s="64" t="s">
        <v>325</v>
      </c>
      <c r="C202" s="64" t="s">
        <v>300</v>
      </c>
      <c r="D202" s="64" t="s">
        <v>351</v>
      </c>
      <c r="E202" s="88" t="n">
        <v>0</v>
      </c>
      <c r="F202" s="88" t="n">
        <v>0</v>
      </c>
      <c r="G202" s="88" t="n">
        <v>0</v>
      </c>
      <c r="H202" s="88" t="n">
        <v>0</v>
      </c>
      <c r="I202" s="88" t="n">
        <v>0</v>
      </c>
    </row>
    <row r="203" customFormat="false" ht="21.75" hidden="false" customHeight="true" outlineLevel="0" collapsed="false">
      <c r="A203" s="64" t="s">
        <v>327</v>
      </c>
      <c r="B203" s="64" t="s">
        <v>325</v>
      </c>
      <c r="C203" s="64" t="s">
        <v>555</v>
      </c>
      <c r="D203" s="64" t="s">
        <v>343</v>
      </c>
      <c r="E203" s="88" t="n">
        <v>0</v>
      </c>
      <c r="F203" s="88" t="n">
        <v>0</v>
      </c>
      <c r="G203" s="88" t="n">
        <v>0</v>
      </c>
      <c r="H203" s="88" t="n">
        <v>0</v>
      </c>
      <c r="I203" s="88" t="n">
        <v>0</v>
      </c>
    </row>
    <row r="204" customFormat="false" ht="21.75" hidden="false" customHeight="true" outlineLevel="0" collapsed="false">
      <c r="A204" s="64" t="s">
        <v>327</v>
      </c>
      <c r="B204" s="64" t="s">
        <v>325</v>
      </c>
      <c r="C204" s="64" t="s">
        <v>555</v>
      </c>
      <c r="D204" s="64" t="s">
        <v>344</v>
      </c>
      <c r="E204" s="88" t="n">
        <v>0</v>
      </c>
      <c r="F204" s="88" t="n">
        <v>0</v>
      </c>
      <c r="G204" s="88" t="n">
        <v>0</v>
      </c>
      <c r="H204" s="88" t="n">
        <v>0</v>
      </c>
      <c r="I204" s="88" t="n">
        <v>0</v>
      </c>
    </row>
    <row r="205" customFormat="false" ht="21.75" hidden="false" customHeight="true" outlineLevel="0" collapsed="false">
      <c r="A205" s="64" t="s">
        <v>327</v>
      </c>
      <c r="B205" s="64" t="s">
        <v>325</v>
      </c>
      <c r="C205" s="64" t="s">
        <v>555</v>
      </c>
      <c r="D205" s="64" t="s">
        <v>345</v>
      </c>
      <c r="E205" s="88" t="n">
        <v>0</v>
      </c>
      <c r="F205" s="88" t="n">
        <v>0</v>
      </c>
      <c r="G205" s="88" t="n">
        <v>0</v>
      </c>
      <c r="H205" s="88" t="n">
        <v>0</v>
      </c>
      <c r="I205" s="88" t="n">
        <v>0</v>
      </c>
    </row>
    <row r="206" customFormat="false" ht="21.75" hidden="false" customHeight="true" outlineLevel="0" collapsed="false">
      <c r="A206" s="64" t="s">
        <v>327</v>
      </c>
      <c r="B206" s="64" t="s">
        <v>325</v>
      </c>
      <c r="C206" s="64" t="s">
        <v>555</v>
      </c>
      <c r="D206" s="64" t="s">
        <v>146</v>
      </c>
      <c r="E206" s="88" t="n">
        <v>13.485</v>
      </c>
      <c r="F206" s="88" t="n">
        <v>0.0857</v>
      </c>
      <c r="G206" s="88" t="n">
        <v>0.1019</v>
      </c>
      <c r="H206" s="88" t="n">
        <v>1.1129</v>
      </c>
      <c r="I206" s="88" t="n">
        <v>1.3304</v>
      </c>
    </row>
    <row r="207" customFormat="false" ht="21.75" hidden="false" customHeight="true" outlineLevel="0" collapsed="false">
      <c r="A207" s="64" t="s">
        <v>327</v>
      </c>
      <c r="B207" s="64" t="s">
        <v>325</v>
      </c>
      <c r="C207" s="64" t="s">
        <v>555</v>
      </c>
      <c r="D207" s="64" t="s">
        <v>346</v>
      </c>
      <c r="E207" s="88" t="n">
        <v>18.49</v>
      </c>
      <c r="F207" s="88" t="n">
        <v>0.2595</v>
      </c>
      <c r="G207" s="88" t="n">
        <v>0.1004</v>
      </c>
      <c r="H207" s="88" t="n">
        <v>4.575</v>
      </c>
      <c r="I207" s="88" t="n">
        <v>1.8141</v>
      </c>
    </row>
    <row r="208" customFormat="false" ht="21.75" hidden="false" customHeight="true" outlineLevel="0" collapsed="false">
      <c r="A208" s="64" t="s">
        <v>327</v>
      </c>
      <c r="B208" s="64" t="s">
        <v>325</v>
      </c>
      <c r="C208" s="64" t="s">
        <v>555</v>
      </c>
      <c r="D208" s="64" t="s">
        <v>347</v>
      </c>
      <c r="E208" s="88" t="n">
        <v>18.78</v>
      </c>
      <c r="F208" s="88" t="n">
        <v>0.5683</v>
      </c>
      <c r="G208" s="88" t="n">
        <v>0.1011</v>
      </c>
      <c r="H208" s="88" t="n">
        <v>10.4922</v>
      </c>
      <c r="I208" s="88" t="n">
        <v>1.8877</v>
      </c>
    </row>
    <row r="209" customFormat="false" ht="21.75" hidden="false" customHeight="true" outlineLevel="0" collapsed="false">
      <c r="A209" s="64" t="s">
        <v>327</v>
      </c>
      <c r="B209" s="64" t="s">
        <v>325</v>
      </c>
      <c r="C209" s="64" t="s">
        <v>555</v>
      </c>
      <c r="D209" s="64" t="s">
        <v>155</v>
      </c>
      <c r="E209" s="88" t="n">
        <v>21.315</v>
      </c>
      <c r="F209" s="88" t="n">
        <v>0.9543</v>
      </c>
      <c r="G209" s="88" t="n">
        <v>0.0997</v>
      </c>
      <c r="H209" s="88" t="n">
        <v>18.8872</v>
      </c>
      <c r="I209" s="88" t="n">
        <v>1.9736</v>
      </c>
    </row>
    <row r="210" customFormat="false" ht="21.75" hidden="false" customHeight="true" outlineLevel="0" collapsed="false">
      <c r="A210" s="64" t="s">
        <v>327</v>
      </c>
      <c r="B210" s="64" t="s">
        <v>325</v>
      </c>
      <c r="C210" s="64" t="s">
        <v>555</v>
      </c>
      <c r="D210" s="64" t="s">
        <v>159</v>
      </c>
      <c r="E210" s="88" t="n">
        <v>19.125</v>
      </c>
      <c r="F210" s="88" t="n">
        <v>1.1538</v>
      </c>
      <c r="G210" s="88" t="n">
        <v>0.0986</v>
      </c>
      <c r="H210" s="88" t="n">
        <v>21.1498</v>
      </c>
      <c r="I210" s="88" t="n">
        <v>1.9486</v>
      </c>
    </row>
    <row r="211" customFormat="false" ht="21.75" hidden="false" customHeight="true" outlineLevel="0" collapsed="false">
      <c r="A211" s="64" t="s">
        <v>327</v>
      </c>
      <c r="B211" s="64" t="s">
        <v>325</v>
      </c>
      <c r="C211" s="64" t="s">
        <v>555</v>
      </c>
      <c r="D211" s="64" t="s">
        <v>162</v>
      </c>
      <c r="E211" s="88" t="n">
        <v>16.135</v>
      </c>
      <c r="F211" s="88" t="n">
        <v>0.8903</v>
      </c>
      <c r="G211" s="88" t="n">
        <v>0.1004</v>
      </c>
      <c r="H211" s="88" t="n">
        <v>16.7096</v>
      </c>
      <c r="I211" s="88" t="n">
        <v>1.7057</v>
      </c>
    </row>
    <row r="212" customFormat="false" ht="21.75" hidden="false" customHeight="true" outlineLevel="0" collapsed="false">
      <c r="A212" s="64" t="s">
        <v>327</v>
      </c>
      <c r="B212" s="64" t="s">
        <v>325</v>
      </c>
      <c r="C212" s="64" t="s">
        <v>555</v>
      </c>
      <c r="D212" s="64" t="s">
        <v>147</v>
      </c>
      <c r="E212" s="88" t="n">
        <v>20.57</v>
      </c>
      <c r="F212" s="88" t="n">
        <v>0.6329</v>
      </c>
      <c r="G212" s="88" t="n">
        <v>0.1</v>
      </c>
      <c r="H212" s="88" t="n">
        <v>11.3914</v>
      </c>
      <c r="I212" s="88" t="n">
        <v>1.8659</v>
      </c>
    </row>
    <row r="213" customFormat="false" ht="21.75" hidden="false" customHeight="true" outlineLevel="0" collapsed="false">
      <c r="A213" s="64" t="s">
        <v>327</v>
      </c>
      <c r="B213" s="64" t="s">
        <v>325</v>
      </c>
      <c r="C213" s="64" t="s">
        <v>555</v>
      </c>
      <c r="D213" s="64" t="s">
        <v>348</v>
      </c>
      <c r="E213" s="88" t="n">
        <v>21.425</v>
      </c>
      <c r="F213" s="88" t="n">
        <v>1.8116</v>
      </c>
      <c r="G213" s="88" t="n">
        <v>0.0994</v>
      </c>
      <c r="H213" s="88" t="n">
        <v>36.3816</v>
      </c>
      <c r="I213" s="88" t="n">
        <v>2</v>
      </c>
    </row>
    <row r="214" customFormat="false" ht="21.75" hidden="false" customHeight="true" outlineLevel="0" collapsed="false">
      <c r="A214" s="64" t="s">
        <v>327</v>
      </c>
      <c r="B214" s="64" t="s">
        <v>325</v>
      </c>
      <c r="C214" s="64" t="s">
        <v>555</v>
      </c>
      <c r="D214" s="64" t="s">
        <v>349</v>
      </c>
      <c r="E214" s="88" t="n">
        <v>19.955</v>
      </c>
      <c r="F214" s="88" t="n">
        <v>2.1938</v>
      </c>
      <c r="G214" s="88" t="n">
        <v>0.1006</v>
      </c>
      <c r="H214" s="88" t="n">
        <v>43.5311</v>
      </c>
      <c r="I214" s="88" t="n">
        <v>2</v>
      </c>
    </row>
    <row r="215" customFormat="false" ht="21.75" hidden="false" customHeight="true" outlineLevel="0" collapsed="false">
      <c r="A215" s="64" t="s">
        <v>327</v>
      </c>
      <c r="B215" s="64" t="s">
        <v>325</v>
      </c>
      <c r="C215" s="64" t="s">
        <v>555</v>
      </c>
      <c r="D215" s="64" t="s">
        <v>156</v>
      </c>
      <c r="E215" s="88" t="n">
        <v>18.14</v>
      </c>
      <c r="F215" s="88" t="n">
        <v>1.9222</v>
      </c>
      <c r="G215" s="88" t="n">
        <v>0.0996</v>
      </c>
      <c r="H215" s="88" t="n">
        <v>34.7681</v>
      </c>
      <c r="I215" s="88" t="n">
        <v>1.8988</v>
      </c>
    </row>
    <row r="216" customFormat="false" ht="21.75" hidden="false" customHeight="true" outlineLevel="0" collapsed="false">
      <c r="A216" s="64" t="s">
        <v>327</v>
      </c>
      <c r="B216" s="64" t="s">
        <v>325</v>
      </c>
      <c r="C216" s="64" t="s">
        <v>555</v>
      </c>
      <c r="D216" s="64" t="s">
        <v>160</v>
      </c>
      <c r="E216" s="88" t="n">
        <v>14.65</v>
      </c>
      <c r="F216" s="88" t="n">
        <v>1.0969</v>
      </c>
      <c r="G216" s="88" t="n">
        <v>0.1019</v>
      </c>
      <c r="H216" s="88" t="n">
        <v>20.3581</v>
      </c>
      <c r="I216" s="88" t="n">
        <v>1.7729</v>
      </c>
    </row>
    <row r="217" customFormat="false" ht="21.75" hidden="false" customHeight="true" outlineLevel="0" collapsed="false">
      <c r="A217" s="64" t="s">
        <v>327</v>
      </c>
      <c r="B217" s="64" t="s">
        <v>325</v>
      </c>
      <c r="C217" s="64" t="s">
        <v>555</v>
      </c>
      <c r="D217" s="64" t="s">
        <v>163</v>
      </c>
      <c r="E217" s="88" t="n">
        <v>7.49</v>
      </c>
      <c r="F217" s="88" t="n">
        <v>0.0843</v>
      </c>
      <c r="G217" s="88" t="n">
        <v>0.0991</v>
      </c>
      <c r="H217" s="88" t="n">
        <v>1.2219</v>
      </c>
      <c r="I217" s="88" t="n">
        <v>0.7963</v>
      </c>
    </row>
    <row r="218" customFormat="false" ht="21.75" hidden="false" customHeight="true" outlineLevel="0" collapsed="false">
      <c r="A218" s="64" t="s">
        <v>327</v>
      </c>
      <c r="B218" s="64" t="s">
        <v>325</v>
      </c>
      <c r="C218" s="64" t="s">
        <v>555</v>
      </c>
      <c r="D218" s="64" t="s">
        <v>150</v>
      </c>
      <c r="E218" s="88" t="n">
        <v>0.275</v>
      </c>
      <c r="F218" s="88" t="n">
        <v>0.0029</v>
      </c>
      <c r="G218" s="88" t="n">
        <v>0.0997</v>
      </c>
      <c r="H218" s="88" t="n">
        <v>0.0008</v>
      </c>
      <c r="I218" s="88" t="n">
        <v>0.0296</v>
      </c>
    </row>
    <row r="219" customFormat="false" ht="21.75" hidden="false" customHeight="true" outlineLevel="0" collapsed="false">
      <c r="A219" s="64" t="s">
        <v>327</v>
      </c>
      <c r="B219" s="64" t="s">
        <v>325</v>
      </c>
      <c r="C219" s="64" t="s">
        <v>555</v>
      </c>
      <c r="D219" s="64" t="s">
        <v>350</v>
      </c>
      <c r="E219" s="88" t="n">
        <v>0</v>
      </c>
      <c r="F219" s="88" t="n">
        <v>0</v>
      </c>
      <c r="G219" s="88" t="n">
        <v>0</v>
      </c>
      <c r="H219" s="88" t="n">
        <v>0</v>
      </c>
      <c r="I219" s="88" t="n">
        <v>0</v>
      </c>
    </row>
    <row r="220" customFormat="false" ht="21.75" hidden="false" customHeight="true" outlineLevel="0" collapsed="false">
      <c r="A220" s="64" t="s">
        <v>327</v>
      </c>
      <c r="B220" s="64" t="s">
        <v>325</v>
      </c>
      <c r="C220" s="64" t="s">
        <v>555</v>
      </c>
      <c r="D220" s="64" t="s">
        <v>351</v>
      </c>
      <c r="E220" s="88" t="n">
        <v>0</v>
      </c>
      <c r="F220" s="88" t="n">
        <v>0</v>
      </c>
      <c r="G220" s="88" t="n">
        <v>0</v>
      </c>
      <c r="H220" s="88" t="n">
        <v>0</v>
      </c>
      <c r="I220" s="88" t="n">
        <v>0</v>
      </c>
    </row>
    <row r="221" customFormat="false" ht="21.75" hidden="false" customHeight="true" outlineLevel="0" collapsed="false">
      <c r="A221" s="64" t="s">
        <v>327</v>
      </c>
      <c r="B221" s="64" t="s">
        <v>325</v>
      </c>
      <c r="C221" s="64" t="s">
        <v>556</v>
      </c>
      <c r="D221" s="64" t="s">
        <v>343</v>
      </c>
      <c r="E221" s="88" t="n">
        <v>0</v>
      </c>
      <c r="F221" s="88" t="n">
        <v>0</v>
      </c>
      <c r="G221" s="88" t="n">
        <v>0</v>
      </c>
      <c r="H221" s="88" t="n">
        <v>0</v>
      </c>
      <c r="I221" s="88" t="n">
        <v>0</v>
      </c>
    </row>
    <row r="222" customFormat="false" ht="21.75" hidden="false" customHeight="true" outlineLevel="0" collapsed="false">
      <c r="A222" s="64" t="s">
        <v>327</v>
      </c>
      <c r="B222" s="64" t="s">
        <v>325</v>
      </c>
      <c r="C222" s="64" t="s">
        <v>556</v>
      </c>
      <c r="D222" s="64" t="s">
        <v>344</v>
      </c>
      <c r="E222" s="88" t="n">
        <v>0</v>
      </c>
      <c r="F222" s="88" t="n">
        <v>0</v>
      </c>
      <c r="G222" s="88" t="n">
        <v>0</v>
      </c>
      <c r="H222" s="88" t="n">
        <v>0</v>
      </c>
      <c r="I222" s="88" t="n">
        <v>0</v>
      </c>
    </row>
    <row r="223" customFormat="false" ht="21.75" hidden="false" customHeight="true" outlineLevel="0" collapsed="false">
      <c r="A223" s="64" t="s">
        <v>327</v>
      </c>
      <c r="B223" s="64" t="s">
        <v>325</v>
      </c>
      <c r="C223" s="64" t="s">
        <v>556</v>
      </c>
      <c r="D223" s="64" t="s">
        <v>345</v>
      </c>
      <c r="E223" s="88" t="n">
        <v>0</v>
      </c>
      <c r="F223" s="88" t="n">
        <v>0</v>
      </c>
      <c r="G223" s="88" t="n">
        <v>0</v>
      </c>
      <c r="H223" s="88" t="n">
        <v>0</v>
      </c>
      <c r="I223" s="88" t="n">
        <v>0</v>
      </c>
    </row>
    <row r="224" customFormat="false" ht="21.75" hidden="false" customHeight="true" outlineLevel="0" collapsed="false">
      <c r="A224" s="64" t="s">
        <v>327</v>
      </c>
      <c r="B224" s="64" t="s">
        <v>325</v>
      </c>
      <c r="C224" s="64" t="s">
        <v>556</v>
      </c>
      <c r="D224" s="64" t="s">
        <v>146</v>
      </c>
      <c r="E224" s="88" t="n">
        <v>10.825</v>
      </c>
      <c r="F224" s="88" t="n">
        <v>0</v>
      </c>
      <c r="G224" s="88" t="n">
        <v>16.0199</v>
      </c>
      <c r="H224" s="88" t="n">
        <v>0</v>
      </c>
      <c r="I224" s="88" t="n">
        <v>39.0209</v>
      </c>
    </row>
    <row r="225" customFormat="false" ht="21.75" hidden="false" customHeight="true" outlineLevel="0" collapsed="false">
      <c r="A225" s="64" t="s">
        <v>327</v>
      </c>
      <c r="B225" s="64" t="s">
        <v>325</v>
      </c>
      <c r="C225" s="64" t="s">
        <v>556</v>
      </c>
      <c r="D225" s="64" t="s">
        <v>346</v>
      </c>
      <c r="E225" s="88" t="n">
        <v>17.58</v>
      </c>
      <c r="F225" s="88" t="n">
        <v>0</v>
      </c>
      <c r="G225" s="88" t="n">
        <v>15.9978</v>
      </c>
      <c r="H225" s="88" t="n">
        <v>0</v>
      </c>
      <c r="I225" s="88" t="n">
        <v>190.3209</v>
      </c>
    </row>
    <row r="226" customFormat="false" ht="21.75" hidden="false" customHeight="true" outlineLevel="0" collapsed="false">
      <c r="A226" s="64" t="s">
        <v>327</v>
      </c>
      <c r="B226" s="64" t="s">
        <v>325</v>
      </c>
      <c r="C226" s="64" t="s">
        <v>556</v>
      </c>
      <c r="D226" s="64" t="s">
        <v>347</v>
      </c>
      <c r="E226" s="88" t="n">
        <v>18.665</v>
      </c>
      <c r="F226" s="88" t="n">
        <v>0</v>
      </c>
      <c r="G226" s="88" t="n">
        <v>15.9362</v>
      </c>
      <c r="H226" s="88" t="n">
        <v>0</v>
      </c>
      <c r="I226" s="88" t="n">
        <v>283.9398</v>
      </c>
    </row>
    <row r="227" customFormat="false" ht="21.75" hidden="false" customHeight="true" outlineLevel="0" collapsed="false">
      <c r="A227" s="64" t="s">
        <v>327</v>
      </c>
      <c r="B227" s="64" t="s">
        <v>325</v>
      </c>
      <c r="C227" s="64" t="s">
        <v>556</v>
      </c>
      <c r="D227" s="64" t="s">
        <v>155</v>
      </c>
      <c r="E227" s="88" t="n">
        <v>19.585</v>
      </c>
      <c r="F227" s="88" t="n">
        <v>0</v>
      </c>
      <c r="G227" s="88" t="n">
        <v>16.0116</v>
      </c>
      <c r="H227" s="88" t="n">
        <v>0</v>
      </c>
      <c r="I227" s="88" t="n">
        <v>300.7771</v>
      </c>
    </row>
    <row r="228" customFormat="false" ht="21.75" hidden="false" customHeight="true" outlineLevel="0" collapsed="false">
      <c r="A228" s="64" t="s">
        <v>327</v>
      </c>
      <c r="B228" s="64" t="s">
        <v>325</v>
      </c>
      <c r="C228" s="64" t="s">
        <v>556</v>
      </c>
      <c r="D228" s="64" t="s">
        <v>159</v>
      </c>
      <c r="E228" s="88" t="n">
        <v>20.06</v>
      </c>
      <c r="F228" s="88" t="n">
        <v>0</v>
      </c>
      <c r="G228" s="88" t="n">
        <v>15.9993</v>
      </c>
      <c r="H228" s="88" t="n">
        <v>0</v>
      </c>
      <c r="I228" s="88" t="n">
        <v>314.2579</v>
      </c>
    </row>
    <row r="229" customFormat="false" ht="21.75" hidden="false" customHeight="true" outlineLevel="0" collapsed="false">
      <c r="A229" s="64" t="s">
        <v>327</v>
      </c>
      <c r="B229" s="64" t="s">
        <v>325</v>
      </c>
      <c r="C229" s="64" t="s">
        <v>556</v>
      </c>
      <c r="D229" s="64" t="s">
        <v>162</v>
      </c>
      <c r="E229" s="88" t="n">
        <v>17.005</v>
      </c>
      <c r="F229" s="88" t="n">
        <v>0</v>
      </c>
      <c r="G229" s="88" t="n">
        <v>15.9854</v>
      </c>
      <c r="H229" s="88" t="n">
        <v>0</v>
      </c>
      <c r="I229" s="88" t="n">
        <v>305.2166</v>
      </c>
    </row>
    <row r="230" customFormat="false" ht="21.75" hidden="false" customHeight="true" outlineLevel="0" collapsed="false">
      <c r="A230" s="64" t="s">
        <v>327</v>
      </c>
      <c r="B230" s="64" t="s">
        <v>325</v>
      </c>
      <c r="C230" s="64" t="s">
        <v>556</v>
      </c>
      <c r="D230" s="64" t="s">
        <v>147</v>
      </c>
      <c r="E230" s="88" t="n">
        <v>18.45</v>
      </c>
      <c r="F230" s="88" t="n">
        <v>0</v>
      </c>
      <c r="G230" s="88" t="n">
        <v>15.9971</v>
      </c>
      <c r="H230" s="88" t="n">
        <v>0</v>
      </c>
      <c r="I230" s="88" t="n">
        <v>282.8207</v>
      </c>
    </row>
    <row r="231" customFormat="false" ht="21.75" hidden="false" customHeight="true" outlineLevel="0" collapsed="false">
      <c r="A231" s="64" t="s">
        <v>327</v>
      </c>
      <c r="B231" s="64" t="s">
        <v>325</v>
      </c>
      <c r="C231" s="64" t="s">
        <v>556</v>
      </c>
      <c r="D231" s="64" t="s">
        <v>348</v>
      </c>
      <c r="E231" s="88" t="n">
        <v>19.95</v>
      </c>
      <c r="F231" s="88" t="n">
        <v>0</v>
      </c>
      <c r="G231" s="88" t="n">
        <v>15.9842</v>
      </c>
      <c r="H231" s="88" t="n">
        <v>0</v>
      </c>
      <c r="I231" s="88" t="n">
        <v>301.1059</v>
      </c>
    </row>
    <row r="232" customFormat="false" ht="21.75" hidden="false" customHeight="true" outlineLevel="0" collapsed="false">
      <c r="A232" s="64" t="s">
        <v>327</v>
      </c>
      <c r="B232" s="64" t="s">
        <v>325</v>
      </c>
      <c r="C232" s="64" t="s">
        <v>556</v>
      </c>
      <c r="D232" s="64" t="s">
        <v>349</v>
      </c>
      <c r="E232" s="88" t="n">
        <v>20.095</v>
      </c>
      <c r="F232" s="88" t="n">
        <v>0</v>
      </c>
      <c r="G232" s="88" t="n">
        <v>16.0029</v>
      </c>
      <c r="H232" s="88" t="n">
        <v>0</v>
      </c>
      <c r="I232" s="88" t="n">
        <v>318.6735</v>
      </c>
    </row>
    <row r="233" customFormat="false" ht="21.75" hidden="false" customHeight="true" outlineLevel="0" collapsed="false">
      <c r="A233" s="64" t="s">
        <v>327</v>
      </c>
      <c r="B233" s="64" t="s">
        <v>325</v>
      </c>
      <c r="C233" s="64" t="s">
        <v>556</v>
      </c>
      <c r="D233" s="64" t="s">
        <v>156</v>
      </c>
      <c r="E233" s="88" t="n">
        <v>19.33</v>
      </c>
      <c r="F233" s="88" t="n">
        <v>0</v>
      </c>
      <c r="G233" s="88" t="n">
        <v>15.9952</v>
      </c>
      <c r="H233" s="88" t="n">
        <v>0</v>
      </c>
      <c r="I233" s="88" t="n">
        <v>318.7396</v>
      </c>
    </row>
    <row r="234" customFormat="false" ht="21.75" hidden="false" customHeight="true" outlineLevel="0" collapsed="false">
      <c r="A234" s="64" t="s">
        <v>327</v>
      </c>
      <c r="B234" s="64" t="s">
        <v>325</v>
      </c>
      <c r="C234" s="64" t="s">
        <v>556</v>
      </c>
      <c r="D234" s="64" t="s">
        <v>160</v>
      </c>
      <c r="E234" s="88" t="n">
        <v>17.96</v>
      </c>
      <c r="F234" s="88" t="n">
        <v>0</v>
      </c>
      <c r="G234" s="88" t="n">
        <v>16.0196</v>
      </c>
      <c r="H234" s="88" t="n">
        <v>0</v>
      </c>
      <c r="I234" s="88" t="n">
        <v>304.1344</v>
      </c>
    </row>
    <row r="235" customFormat="false" ht="21.75" hidden="false" customHeight="true" outlineLevel="0" collapsed="false">
      <c r="A235" s="64" t="s">
        <v>327</v>
      </c>
      <c r="B235" s="64" t="s">
        <v>325</v>
      </c>
      <c r="C235" s="64" t="s">
        <v>556</v>
      </c>
      <c r="D235" s="64" t="s">
        <v>163</v>
      </c>
      <c r="E235" s="88" t="n">
        <v>9.295</v>
      </c>
      <c r="F235" s="88" t="n">
        <v>0</v>
      </c>
      <c r="G235" s="88" t="n">
        <v>16.0034</v>
      </c>
      <c r="H235" s="88" t="n">
        <v>0</v>
      </c>
      <c r="I235" s="88" t="n">
        <v>252.7972</v>
      </c>
    </row>
    <row r="236" customFormat="false" ht="21.75" hidden="false" customHeight="true" outlineLevel="0" collapsed="false">
      <c r="A236" s="64" t="s">
        <v>327</v>
      </c>
      <c r="B236" s="64" t="s">
        <v>325</v>
      </c>
      <c r="C236" s="64" t="s">
        <v>556</v>
      </c>
      <c r="D236" s="64" t="s">
        <v>150</v>
      </c>
      <c r="E236" s="88" t="n">
        <v>1.035</v>
      </c>
      <c r="F236" s="88" t="n">
        <v>0</v>
      </c>
      <c r="G236" s="88" t="n">
        <v>15.9964</v>
      </c>
      <c r="H236" s="88" t="n">
        <v>0</v>
      </c>
      <c r="I236" s="88" t="n">
        <v>124.3471</v>
      </c>
    </row>
    <row r="237" customFormat="false" ht="21.75" hidden="false" customHeight="true" outlineLevel="0" collapsed="false">
      <c r="A237" s="64" t="s">
        <v>327</v>
      </c>
      <c r="B237" s="64" t="s">
        <v>325</v>
      </c>
      <c r="C237" s="64" t="s">
        <v>556</v>
      </c>
      <c r="D237" s="64" t="s">
        <v>350</v>
      </c>
      <c r="E237" s="88" t="n">
        <v>0</v>
      </c>
      <c r="F237" s="88" t="n">
        <v>0</v>
      </c>
      <c r="G237" s="88" t="n">
        <v>0</v>
      </c>
      <c r="H237" s="88" t="n">
        <v>0</v>
      </c>
      <c r="I237" s="88" t="n">
        <v>20.1343</v>
      </c>
    </row>
    <row r="238" customFormat="false" ht="21.75" hidden="false" customHeight="true" outlineLevel="0" collapsed="false">
      <c r="A238" s="64" t="s">
        <v>327</v>
      </c>
      <c r="B238" s="64" t="s">
        <v>325</v>
      </c>
      <c r="C238" s="64" t="s">
        <v>556</v>
      </c>
      <c r="D238" s="64" t="s">
        <v>351</v>
      </c>
      <c r="E238" s="88" t="n">
        <v>0</v>
      </c>
      <c r="F238" s="88" t="n">
        <v>0</v>
      </c>
      <c r="G238" s="88" t="n">
        <v>0</v>
      </c>
      <c r="H238" s="88" t="n">
        <v>0</v>
      </c>
      <c r="I238" s="88" t="n">
        <v>0.0005</v>
      </c>
    </row>
    <row r="239" customFormat="false" ht="21.75" hidden="false" customHeight="true" outlineLevel="0" collapsed="false">
      <c r="A239" s="64" t="s">
        <v>327</v>
      </c>
      <c r="B239" s="64" t="s">
        <v>325</v>
      </c>
      <c r="C239" s="64" t="s">
        <v>308</v>
      </c>
      <c r="D239" s="64" t="s">
        <v>343</v>
      </c>
      <c r="E239" s="88" t="n">
        <v>0</v>
      </c>
      <c r="F239" s="88" t="n">
        <v>0</v>
      </c>
      <c r="G239" s="88" t="n">
        <v>0</v>
      </c>
      <c r="H239" s="88" t="n">
        <v>0</v>
      </c>
      <c r="I239" s="88" t="n">
        <v>0</v>
      </c>
    </row>
    <row r="240" customFormat="false" ht="21.75" hidden="false" customHeight="true" outlineLevel="0" collapsed="false">
      <c r="A240" s="64" t="s">
        <v>327</v>
      </c>
      <c r="B240" s="64" t="s">
        <v>325</v>
      </c>
      <c r="C240" s="64" t="s">
        <v>308</v>
      </c>
      <c r="D240" s="64" t="s">
        <v>344</v>
      </c>
      <c r="E240" s="88" t="n">
        <v>0</v>
      </c>
      <c r="F240" s="88" t="n">
        <v>0</v>
      </c>
      <c r="G240" s="88" t="n">
        <v>0</v>
      </c>
      <c r="H240" s="88" t="n">
        <v>0</v>
      </c>
      <c r="I240" s="88" t="n">
        <v>0</v>
      </c>
    </row>
    <row r="241" customFormat="false" ht="21.75" hidden="false" customHeight="true" outlineLevel="0" collapsed="false">
      <c r="A241" s="64" t="s">
        <v>327</v>
      </c>
      <c r="B241" s="64" t="s">
        <v>325</v>
      </c>
      <c r="C241" s="64" t="s">
        <v>308</v>
      </c>
      <c r="D241" s="64" t="s">
        <v>345</v>
      </c>
      <c r="E241" s="88" t="n">
        <v>0</v>
      </c>
      <c r="F241" s="88" t="n">
        <v>0</v>
      </c>
      <c r="G241" s="88" t="n">
        <v>0</v>
      </c>
      <c r="H241" s="88" t="n">
        <v>0</v>
      </c>
      <c r="I241" s="88" t="n">
        <v>0</v>
      </c>
    </row>
    <row r="242" customFormat="false" ht="21.75" hidden="false" customHeight="true" outlineLevel="0" collapsed="false">
      <c r="A242" s="64" t="s">
        <v>327</v>
      </c>
      <c r="B242" s="64" t="s">
        <v>325</v>
      </c>
      <c r="C242" s="64" t="s">
        <v>308</v>
      </c>
      <c r="D242" s="64" t="s">
        <v>146</v>
      </c>
      <c r="E242" s="88" t="n">
        <v>0</v>
      </c>
      <c r="F242" s="88" t="n">
        <v>0</v>
      </c>
      <c r="G242" s="88" t="n">
        <v>0</v>
      </c>
      <c r="H242" s="88" t="n">
        <v>0</v>
      </c>
      <c r="I242" s="88" t="n">
        <v>0</v>
      </c>
    </row>
    <row r="243" customFormat="false" ht="21.75" hidden="false" customHeight="true" outlineLevel="0" collapsed="false">
      <c r="A243" s="64" t="s">
        <v>327</v>
      </c>
      <c r="B243" s="64" t="s">
        <v>325</v>
      </c>
      <c r="C243" s="64" t="s">
        <v>308</v>
      </c>
      <c r="D243" s="64" t="s">
        <v>346</v>
      </c>
      <c r="E243" s="88" t="n">
        <v>2.105</v>
      </c>
      <c r="F243" s="88" t="n">
        <v>0</v>
      </c>
      <c r="G243" s="88" t="n">
        <v>1.4924</v>
      </c>
      <c r="H243" s="88" t="n">
        <v>0</v>
      </c>
      <c r="I243" s="88" t="n">
        <v>1.9653</v>
      </c>
    </row>
    <row r="244" customFormat="false" ht="21.75" hidden="false" customHeight="true" outlineLevel="0" collapsed="false">
      <c r="A244" s="64" t="s">
        <v>327</v>
      </c>
      <c r="B244" s="64" t="s">
        <v>325</v>
      </c>
      <c r="C244" s="64" t="s">
        <v>308</v>
      </c>
      <c r="D244" s="64" t="s">
        <v>347</v>
      </c>
      <c r="E244" s="88" t="n">
        <v>15.405</v>
      </c>
      <c r="F244" s="88" t="n">
        <v>0</v>
      </c>
      <c r="G244" s="88" t="n">
        <v>1.502</v>
      </c>
      <c r="H244" s="88" t="n">
        <v>0</v>
      </c>
      <c r="I244" s="88" t="n">
        <v>22.2104</v>
      </c>
    </row>
    <row r="245" customFormat="false" ht="21.75" hidden="false" customHeight="true" outlineLevel="0" collapsed="false">
      <c r="A245" s="64" t="s">
        <v>327</v>
      </c>
      <c r="B245" s="64" t="s">
        <v>325</v>
      </c>
      <c r="C245" s="64" t="s">
        <v>308</v>
      </c>
      <c r="D245" s="64" t="s">
        <v>155</v>
      </c>
      <c r="E245" s="88" t="n">
        <v>18.475</v>
      </c>
      <c r="F245" s="88" t="n">
        <v>0</v>
      </c>
      <c r="G245" s="88" t="n">
        <v>1.5084</v>
      </c>
      <c r="H245" s="88" t="n">
        <v>0</v>
      </c>
      <c r="I245" s="88" t="n">
        <v>27.8242</v>
      </c>
    </row>
    <row r="246" customFormat="false" ht="21.75" hidden="false" customHeight="true" outlineLevel="0" collapsed="false">
      <c r="A246" s="64" t="s">
        <v>327</v>
      </c>
      <c r="B246" s="64" t="s">
        <v>325</v>
      </c>
      <c r="C246" s="64" t="s">
        <v>308</v>
      </c>
      <c r="D246" s="64" t="s">
        <v>159</v>
      </c>
      <c r="E246" s="88" t="n">
        <v>18.41</v>
      </c>
      <c r="F246" s="88" t="n">
        <v>0</v>
      </c>
      <c r="G246" s="88" t="n">
        <v>1.4886</v>
      </c>
      <c r="H246" s="88" t="n">
        <v>0</v>
      </c>
      <c r="I246" s="88" t="n">
        <v>27.4815</v>
      </c>
    </row>
    <row r="247" customFormat="false" ht="21.75" hidden="false" customHeight="true" outlineLevel="0" collapsed="false">
      <c r="A247" s="64" t="s">
        <v>327</v>
      </c>
      <c r="B247" s="64" t="s">
        <v>325</v>
      </c>
      <c r="C247" s="64" t="s">
        <v>308</v>
      </c>
      <c r="D247" s="64" t="s">
        <v>162</v>
      </c>
      <c r="E247" s="88" t="n">
        <v>20.245</v>
      </c>
      <c r="F247" s="88" t="n">
        <v>0</v>
      </c>
      <c r="G247" s="88" t="n">
        <v>1.4973</v>
      </c>
      <c r="H247" s="88" t="n">
        <v>0</v>
      </c>
      <c r="I247" s="88" t="n">
        <v>30.2178</v>
      </c>
    </row>
    <row r="248" customFormat="false" ht="21.75" hidden="false" customHeight="true" outlineLevel="0" collapsed="false">
      <c r="A248" s="64" t="s">
        <v>327</v>
      </c>
      <c r="B248" s="64" t="s">
        <v>325</v>
      </c>
      <c r="C248" s="64" t="s">
        <v>308</v>
      </c>
      <c r="D248" s="64" t="s">
        <v>147</v>
      </c>
      <c r="E248" s="88" t="n">
        <v>18.84</v>
      </c>
      <c r="F248" s="88" t="n">
        <v>0</v>
      </c>
      <c r="G248" s="88" t="n">
        <v>1.5029</v>
      </c>
      <c r="H248" s="88" t="n">
        <v>0</v>
      </c>
      <c r="I248" s="88" t="n">
        <v>28.5522</v>
      </c>
    </row>
    <row r="249" customFormat="false" ht="21.75" hidden="false" customHeight="true" outlineLevel="0" collapsed="false">
      <c r="A249" s="64" t="s">
        <v>327</v>
      </c>
      <c r="B249" s="64" t="s">
        <v>325</v>
      </c>
      <c r="C249" s="64" t="s">
        <v>308</v>
      </c>
      <c r="D249" s="64" t="s">
        <v>348</v>
      </c>
      <c r="E249" s="88" t="n">
        <v>17.395</v>
      </c>
      <c r="F249" s="88" t="n">
        <v>0</v>
      </c>
      <c r="G249" s="88" t="n">
        <v>1.4961</v>
      </c>
      <c r="H249" s="88" t="n">
        <v>0</v>
      </c>
      <c r="I249" s="88" t="n">
        <v>25.8729</v>
      </c>
    </row>
    <row r="250" customFormat="false" ht="21.75" hidden="false" customHeight="true" outlineLevel="0" collapsed="false">
      <c r="A250" s="64" t="s">
        <v>327</v>
      </c>
      <c r="B250" s="64" t="s">
        <v>325</v>
      </c>
      <c r="C250" s="64" t="s">
        <v>308</v>
      </c>
      <c r="D250" s="64" t="s">
        <v>349</v>
      </c>
      <c r="E250" s="88" t="n">
        <v>19.295</v>
      </c>
      <c r="F250" s="88" t="n">
        <v>0</v>
      </c>
      <c r="G250" s="88" t="n">
        <v>1.4954</v>
      </c>
      <c r="H250" s="88" t="n">
        <v>0</v>
      </c>
      <c r="I250" s="88" t="n">
        <v>28.5951</v>
      </c>
    </row>
    <row r="251" customFormat="false" ht="21.75" hidden="false" customHeight="true" outlineLevel="0" collapsed="false">
      <c r="A251" s="64" t="s">
        <v>327</v>
      </c>
      <c r="B251" s="64" t="s">
        <v>325</v>
      </c>
      <c r="C251" s="64" t="s">
        <v>308</v>
      </c>
      <c r="D251" s="64" t="s">
        <v>156</v>
      </c>
      <c r="E251" s="88" t="n">
        <v>19.995</v>
      </c>
      <c r="F251" s="88" t="n">
        <v>0</v>
      </c>
      <c r="G251" s="88" t="n">
        <v>1.5009</v>
      </c>
      <c r="H251" s="88" t="n">
        <v>0</v>
      </c>
      <c r="I251" s="88" t="n">
        <v>30.0682</v>
      </c>
    </row>
    <row r="252" customFormat="false" ht="21.75" hidden="false" customHeight="true" outlineLevel="0" collapsed="false">
      <c r="A252" s="64" t="s">
        <v>327</v>
      </c>
      <c r="B252" s="64" t="s">
        <v>325</v>
      </c>
      <c r="C252" s="64" t="s">
        <v>308</v>
      </c>
      <c r="D252" s="64" t="s">
        <v>160</v>
      </c>
      <c r="E252" s="88" t="n">
        <v>19.835</v>
      </c>
      <c r="F252" s="88" t="n">
        <v>0</v>
      </c>
      <c r="G252" s="88" t="n">
        <v>1.4971</v>
      </c>
      <c r="H252" s="88" t="n">
        <v>0</v>
      </c>
      <c r="I252" s="88" t="n">
        <v>29.8499</v>
      </c>
    </row>
    <row r="253" customFormat="false" ht="21.75" hidden="false" customHeight="true" outlineLevel="0" collapsed="false">
      <c r="A253" s="64" t="s">
        <v>327</v>
      </c>
      <c r="B253" s="64" t="s">
        <v>325</v>
      </c>
      <c r="C253" s="64" t="s">
        <v>308</v>
      </c>
      <c r="D253" s="64" t="s">
        <v>163</v>
      </c>
      <c r="E253" s="88" t="n">
        <v>18.74</v>
      </c>
      <c r="F253" s="88" t="n">
        <v>0</v>
      </c>
      <c r="G253" s="88" t="n">
        <v>1.4981</v>
      </c>
      <c r="H253" s="88" t="n">
        <v>0</v>
      </c>
      <c r="I253" s="88" t="n">
        <v>27.9861</v>
      </c>
    </row>
    <row r="254" customFormat="false" ht="21.75" hidden="false" customHeight="true" outlineLevel="0" collapsed="false">
      <c r="A254" s="64" t="s">
        <v>327</v>
      </c>
      <c r="B254" s="64" t="s">
        <v>325</v>
      </c>
      <c r="C254" s="64" t="s">
        <v>308</v>
      </c>
      <c r="D254" s="64" t="s">
        <v>150</v>
      </c>
      <c r="E254" s="88" t="n">
        <v>15.37</v>
      </c>
      <c r="F254" s="88" t="n">
        <v>0</v>
      </c>
      <c r="G254" s="88" t="n">
        <v>1.5009</v>
      </c>
      <c r="H254" s="88" t="n">
        <v>0</v>
      </c>
      <c r="I254" s="88" t="n">
        <v>24.2393</v>
      </c>
    </row>
    <row r="255" customFormat="false" ht="21.75" hidden="false" customHeight="true" outlineLevel="0" collapsed="false">
      <c r="A255" s="64" t="s">
        <v>327</v>
      </c>
      <c r="B255" s="64" t="s">
        <v>325</v>
      </c>
      <c r="C255" s="64" t="s">
        <v>308</v>
      </c>
      <c r="D255" s="64" t="s">
        <v>350</v>
      </c>
      <c r="E255" s="88" t="n">
        <v>5.72</v>
      </c>
      <c r="F255" s="88" t="n">
        <v>0</v>
      </c>
      <c r="G255" s="88" t="n">
        <v>1.4941</v>
      </c>
      <c r="H255" s="88" t="n">
        <v>0</v>
      </c>
      <c r="I255" s="88" t="n">
        <v>9.5205</v>
      </c>
    </row>
    <row r="256" customFormat="false" ht="21.75" hidden="false" customHeight="true" outlineLevel="0" collapsed="false">
      <c r="A256" s="64" t="s">
        <v>327</v>
      </c>
      <c r="B256" s="64" t="s">
        <v>325</v>
      </c>
      <c r="C256" s="64" t="s">
        <v>308</v>
      </c>
      <c r="D256" s="64" t="s">
        <v>351</v>
      </c>
      <c r="E256" s="88" t="n">
        <v>0.005</v>
      </c>
      <c r="F256" s="88" t="n">
        <v>0</v>
      </c>
      <c r="G256" s="88" t="n">
        <v>1.9408</v>
      </c>
      <c r="H256" s="88" t="n">
        <v>0</v>
      </c>
      <c r="I256" s="88" t="n">
        <v>0.0775</v>
      </c>
    </row>
    <row r="257" customFormat="false" ht="21.75" hidden="false" customHeight="true" outlineLevel="0" collapsed="false">
      <c r="A257" s="64" t="s">
        <v>327</v>
      </c>
      <c r="B257" s="64" t="s">
        <v>325</v>
      </c>
      <c r="C257" s="64" t="s">
        <v>311</v>
      </c>
      <c r="D257" s="64" t="s">
        <v>343</v>
      </c>
      <c r="E257" s="88" t="n">
        <v>0</v>
      </c>
      <c r="F257" s="88" t="n">
        <v>0</v>
      </c>
      <c r="G257" s="88" t="n">
        <v>0</v>
      </c>
      <c r="H257" s="88" t="n">
        <v>0</v>
      </c>
      <c r="I257" s="88" t="n">
        <v>0</v>
      </c>
    </row>
    <row r="258" customFormat="false" ht="21.75" hidden="false" customHeight="true" outlineLevel="0" collapsed="false">
      <c r="A258" s="64" t="s">
        <v>327</v>
      </c>
      <c r="B258" s="64" t="s">
        <v>325</v>
      </c>
      <c r="C258" s="64" t="s">
        <v>311</v>
      </c>
      <c r="D258" s="64" t="s">
        <v>344</v>
      </c>
      <c r="E258" s="88" t="n">
        <v>0</v>
      </c>
      <c r="F258" s="88" t="n">
        <v>0</v>
      </c>
      <c r="G258" s="88" t="n">
        <v>0</v>
      </c>
      <c r="H258" s="88" t="n">
        <v>0</v>
      </c>
      <c r="I258" s="88" t="n">
        <v>0</v>
      </c>
    </row>
    <row r="259" customFormat="false" ht="21.75" hidden="false" customHeight="true" outlineLevel="0" collapsed="false">
      <c r="A259" s="64" t="s">
        <v>327</v>
      </c>
      <c r="B259" s="64" t="s">
        <v>325</v>
      </c>
      <c r="C259" s="64" t="s">
        <v>311</v>
      </c>
      <c r="D259" s="64" t="s">
        <v>345</v>
      </c>
      <c r="E259" s="88" t="n">
        <v>0</v>
      </c>
      <c r="F259" s="88" t="n">
        <v>0</v>
      </c>
      <c r="G259" s="88" t="n">
        <v>0</v>
      </c>
      <c r="H259" s="88" t="n">
        <v>0</v>
      </c>
      <c r="I259" s="88" t="n">
        <v>0</v>
      </c>
    </row>
    <row r="260" customFormat="false" ht="21.75" hidden="false" customHeight="true" outlineLevel="0" collapsed="false">
      <c r="A260" s="64" t="s">
        <v>327</v>
      </c>
      <c r="B260" s="64" t="s">
        <v>325</v>
      </c>
      <c r="C260" s="64" t="s">
        <v>311</v>
      </c>
      <c r="D260" s="64" t="s">
        <v>146</v>
      </c>
      <c r="E260" s="88" t="n">
        <v>14.52</v>
      </c>
      <c r="F260" s="88" t="n">
        <v>0</v>
      </c>
      <c r="G260" s="88" t="n">
        <v>19.7479</v>
      </c>
      <c r="H260" s="88" t="n">
        <v>0</v>
      </c>
      <c r="I260" s="88" t="n">
        <v>66.9728</v>
      </c>
    </row>
    <row r="261" customFormat="false" ht="21.75" hidden="false" customHeight="true" outlineLevel="0" collapsed="false">
      <c r="A261" s="64" t="s">
        <v>327</v>
      </c>
      <c r="B261" s="64" t="s">
        <v>325</v>
      </c>
      <c r="C261" s="64" t="s">
        <v>311</v>
      </c>
      <c r="D261" s="64" t="s">
        <v>346</v>
      </c>
      <c r="E261" s="88" t="n">
        <v>18.77</v>
      </c>
      <c r="F261" s="88" t="n">
        <v>0</v>
      </c>
      <c r="G261" s="88" t="n">
        <v>19.9237</v>
      </c>
      <c r="H261" s="88" t="n">
        <v>0</v>
      </c>
      <c r="I261" s="88" t="n">
        <v>235.861</v>
      </c>
    </row>
    <row r="262" customFormat="false" ht="21.75" hidden="false" customHeight="true" outlineLevel="0" collapsed="false">
      <c r="A262" s="64" t="s">
        <v>327</v>
      </c>
      <c r="B262" s="64" t="s">
        <v>325</v>
      </c>
      <c r="C262" s="64" t="s">
        <v>311</v>
      </c>
      <c r="D262" s="64" t="s">
        <v>347</v>
      </c>
      <c r="E262" s="88" t="n">
        <v>18.595</v>
      </c>
      <c r="F262" s="88" t="n">
        <v>0</v>
      </c>
      <c r="G262" s="88" t="n">
        <v>20.1778</v>
      </c>
      <c r="H262" s="88" t="n">
        <v>0</v>
      </c>
      <c r="I262" s="88" t="n">
        <v>356.943</v>
      </c>
    </row>
    <row r="263" customFormat="false" ht="21.75" hidden="false" customHeight="true" outlineLevel="0" collapsed="false">
      <c r="A263" s="64" t="s">
        <v>327</v>
      </c>
      <c r="B263" s="64" t="s">
        <v>325</v>
      </c>
      <c r="C263" s="64" t="s">
        <v>311</v>
      </c>
      <c r="D263" s="64" t="s">
        <v>155</v>
      </c>
      <c r="E263" s="88" t="n">
        <v>21.645</v>
      </c>
      <c r="F263" s="88" t="n">
        <v>0</v>
      </c>
      <c r="G263" s="88" t="n">
        <v>20.6771</v>
      </c>
      <c r="H263" s="88" t="n">
        <v>0</v>
      </c>
      <c r="I263" s="88" t="n">
        <v>391.6819</v>
      </c>
    </row>
    <row r="264" customFormat="false" ht="21.75" hidden="false" customHeight="true" outlineLevel="0" collapsed="false">
      <c r="A264" s="64" t="s">
        <v>327</v>
      </c>
      <c r="B264" s="64" t="s">
        <v>325</v>
      </c>
      <c r="C264" s="64" t="s">
        <v>311</v>
      </c>
      <c r="D264" s="64" t="s">
        <v>159</v>
      </c>
      <c r="E264" s="88" t="n">
        <v>18.74</v>
      </c>
      <c r="F264" s="88" t="n">
        <v>0</v>
      </c>
      <c r="G264" s="88" t="n">
        <v>20.7982</v>
      </c>
      <c r="H264" s="88" t="n">
        <v>0</v>
      </c>
      <c r="I264" s="88" t="n">
        <v>405.2623</v>
      </c>
    </row>
    <row r="265" customFormat="false" ht="21.75" hidden="false" customHeight="true" outlineLevel="0" collapsed="false">
      <c r="A265" s="64" t="s">
        <v>327</v>
      </c>
      <c r="B265" s="64" t="s">
        <v>325</v>
      </c>
      <c r="C265" s="64" t="s">
        <v>311</v>
      </c>
      <c r="D265" s="64" t="s">
        <v>162</v>
      </c>
      <c r="E265" s="88" t="n">
        <v>15.905</v>
      </c>
      <c r="F265" s="88" t="n">
        <v>0</v>
      </c>
      <c r="G265" s="88" t="n">
        <v>20.5059</v>
      </c>
      <c r="H265" s="88" t="n">
        <v>0</v>
      </c>
      <c r="I265" s="88" t="n">
        <v>388.0646</v>
      </c>
    </row>
    <row r="266" customFormat="false" ht="21.75" hidden="false" customHeight="true" outlineLevel="0" collapsed="false">
      <c r="A266" s="64" t="s">
        <v>327</v>
      </c>
      <c r="B266" s="64" t="s">
        <v>325</v>
      </c>
      <c r="C266" s="64" t="s">
        <v>311</v>
      </c>
      <c r="D266" s="64" t="s">
        <v>147</v>
      </c>
      <c r="E266" s="88" t="n">
        <v>21.265</v>
      </c>
      <c r="F266" s="88" t="n">
        <v>0</v>
      </c>
      <c r="G266" s="88" t="n">
        <v>20.384</v>
      </c>
      <c r="H266" s="88" t="n">
        <v>0</v>
      </c>
      <c r="I266" s="88" t="n">
        <v>364.9465</v>
      </c>
    </row>
    <row r="267" customFormat="false" ht="21.75" hidden="false" customHeight="true" outlineLevel="0" collapsed="false">
      <c r="A267" s="64" t="s">
        <v>327</v>
      </c>
      <c r="B267" s="64" t="s">
        <v>325</v>
      </c>
      <c r="C267" s="64" t="s">
        <v>311</v>
      </c>
      <c r="D267" s="64" t="s">
        <v>348</v>
      </c>
      <c r="E267" s="88" t="n">
        <v>21.375</v>
      </c>
      <c r="F267" s="88" t="n">
        <v>0</v>
      </c>
      <c r="G267" s="88" t="n">
        <v>21.5438</v>
      </c>
      <c r="H267" s="88" t="n">
        <v>0</v>
      </c>
      <c r="I267" s="88" t="n">
        <v>408.3374</v>
      </c>
    </row>
    <row r="268" customFormat="false" ht="21.75" hidden="false" customHeight="true" outlineLevel="0" collapsed="false">
      <c r="A268" s="64" t="s">
        <v>327</v>
      </c>
      <c r="B268" s="64" t="s">
        <v>325</v>
      </c>
      <c r="C268" s="64" t="s">
        <v>311</v>
      </c>
      <c r="D268" s="64" t="s">
        <v>349</v>
      </c>
      <c r="E268" s="88" t="n">
        <v>19.635</v>
      </c>
      <c r="F268" s="88" t="n">
        <v>0</v>
      </c>
      <c r="G268" s="88" t="n">
        <v>21.8568</v>
      </c>
      <c r="H268" s="88" t="n">
        <v>0</v>
      </c>
      <c r="I268" s="88" t="n">
        <v>434.1949</v>
      </c>
    </row>
    <row r="269" customFormat="false" ht="21.75" hidden="false" customHeight="true" outlineLevel="0" collapsed="false">
      <c r="A269" s="64" t="s">
        <v>327</v>
      </c>
      <c r="B269" s="64" t="s">
        <v>325</v>
      </c>
      <c r="C269" s="64" t="s">
        <v>311</v>
      </c>
      <c r="D269" s="64" t="s">
        <v>156</v>
      </c>
      <c r="E269" s="88" t="n">
        <v>17.935</v>
      </c>
      <c r="F269" s="88" t="n">
        <v>0</v>
      </c>
      <c r="G269" s="88" t="n">
        <v>21.5662</v>
      </c>
      <c r="H269" s="88" t="n">
        <v>0</v>
      </c>
      <c r="I269" s="88" t="n">
        <v>424.3494</v>
      </c>
    </row>
    <row r="270" customFormat="false" ht="21.75" hidden="false" customHeight="true" outlineLevel="0" collapsed="false">
      <c r="A270" s="64" t="s">
        <v>327</v>
      </c>
      <c r="B270" s="64" t="s">
        <v>325</v>
      </c>
      <c r="C270" s="64" t="s">
        <v>311</v>
      </c>
      <c r="D270" s="64" t="s">
        <v>160</v>
      </c>
      <c r="E270" s="88" t="n">
        <v>14.28</v>
      </c>
      <c r="F270" s="88" t="n">
        <v>0</v>
      </c>
      <c r="G270" s="88" t="n">
        <v>20.692</v>
      </c>
      <c r="H270" s="88" t="n">
        <v>0</v>
      </c>
      <c r="I270" s="88" t="n">
        <v>390.2984</v>
      </c>
    </row>
    <row r="271" customFormat="false" ht="21.75" hidden="false" customHeight="true" outlineLevel="0" collapsed="false">
      <c r="A271" s="64" t="s">
        <v>327</v>
      </c>
      <c r="B271" s="64" t="s">
        <v>325</v>
      </c>
      <c r="C271" s="64" t="s">
        <v>311</v>
      </c>
      <c r="D271" s="64" t="s">
        <v>163</v>
      </c>
      <c r="E271" s="88" t="n">
        <v>7.17</v>
      </c>
      <c r="F271" s="88" t="n">
        <v>0</v>
      </c>
      <c r="G271" s="88" t="n">
        <v>19.6855</v>
      </c>
      <c r="H271" s="88" t="n">
        <v>0</v>
      </c>
      <c r="I271" s="88" t="n">
        <v>299.6216</v>
      </c>
    </row>
    <row r="272" customFormat="false" ht="21.75" hidden="false" customHeight="true" outlineLevel="0" collapsed="false">
      <c r="A272" s="64" t="s">
        <v>327</v>
      </c>
      <c r="B272" s="64" t="s">
        <v>325</v>
      </c>
      <c r="C272" s="64" t="s">
        <v>311</v>
      </c>
      <c r="D272" s="64" t="s">
        <v>150</v>
      </c>
      <c r="E272" s="88" t="n">
        <v>0</v>
      </c>
      <c r="F272" s="88" t="n">
        <v>0</v>
      </c>
      <c r="G272" s="88" t="n">
        <v>0</v>
      </c>
      <c r="H272" s="88" t="n">
        <v>0</v>
      </c>
      <c r="I272" s="88" t="n">
        <v>149.6443</v>
      </c>
    </row>
    <row r="273" customFormat="false" ht="21.75" hidden="false" customHeight="true" outlineLevel="0" collapsed="false">
      <c r="A273" s="64" t="s">
        <v>327</v>
      </c>
      <c r="B273" s="64" t="s">
        <v>325</v>
      </c>
      <c r="C273" s="64" t="s">
        <v>311</v>
      </c>
      <c r="D273" s="64" t="s">
        <v>350</v>
      </c>
      <c r="E273" s="88" t="n">
        <v>0</v>
      </c>
      <c r="F273" s="88" t="n">
        <v>0</v>
      </c>
      <c r="G273" s="88" t="n">
        <v>0</v>
      </c>
      <c r="H273" s="88" t="n">
        <v>0</v>
      </c>
      <c r="I273" s="88" t="n">
        <v>29.6547</v>
      </c>
    </row>
    <row r="274" customFormat="false" ht="21.75" hidden="false" customHeight="true" outlineLevel="0" collapsed="false">
      <c r="A274" s="64" t="s">
        <v>327</v>
      </c>
      <c r="B274" s="64" t="s">
        <v>325</v>
      </c>
      <c r="C274" s="64" t="s">
        <v>311</v>
      </c>
      <c r="D274" s="64" t="s">
        <v>351</v>
      </c>
      <c r="E274" s="88" t="n">
        <v>0</v>
      </c>
      <c r="F274" s="88" t="n">
        <v>0</v>
      </c>
      <c r="G274" s="88" t="n">
        <v>0</v>
      </c>
      <c r="H274" s="88" t="n">
        <v>0</v>
      </c>
      <c r="I274" s="88" t="n">
        <v>0.078</v>
      </c>
    </row>
    <row r="275" customFormat="false" ht="21.75" hidden="false" customHeight="true" outlineLevel="0" collapsed="false">
      <c r="A275" s="64" t="s">
        <v>327</v>
      </c>
      <c r="B275" s="64" t="s">
        <v>326</v>
      </c>
      <c r="C275" s="64" t="s">
        <v>300</v>
      </c>
      <c r="D275" s="64" t="s">
        <v>343</v>
      </c>
      <c r="E275" s="88" t="n">
        <v>0</v>
      </c>
      <c r="F275" s="88" t="n">
        <v>0</v>
      </c>
      <c r="G275" s="88" t="n">
        <v>0</v>
      </c>
      <c r="H275" s="88" t="n">
        <v>0</v>
      </c>
      <c r="I275" s="88" t="n">
        <v>0</v>
      </c>
    </row>
    <row r="276" customFormat="false" ht="21.75" hidden="false" customHeight="true" outlineLevel="0" collapsed="false">
      <c r="A276" s="64" t="s">
        <v>327</v>
      </c>
      <c r="B276" s="64" t="s">
        <v>326</v>
      </c>
      <c r="C276" s="64" t="s">
        <v>300</v>
      </c>
      <c r="D276" s="64" t="s">
        <v>344</v>
      </c>
      <c r="E276" s="88" t="n">
        <v>0</v>
      </c>
      <c r="F276" s="88" t="n">
        <v>0</v>
      </c>
      <c r="G276" s="88" t="n">
        <v>0</v>
      </c>
      <c r="H276" s="88" t="n">
        <v>0</v>
      </c>
      <c r="I276" s="88" t="n">
        <v>0</v>
      </c>
    </row>
    <row r="277" customFormat="false" ht="21.75" hidden="false" customHeight="true" outlineLevel="0" collapsed="false">
      <c r="A277" s="64" t="s">
        <v>327</v>
      </c>
      <c r="B277" s="64" t="s">
        <v>326</v>
      </c>
      <c r="C277" s="64" t="s">
        <v>300</v>
      </c>
      <c r="D277" s="64" t="s">
        <v>345</v>
      </c>
      <c r="E277" s="88" t="n">
        <v>0</v>
      </c>
      <c r="F277" s="88" t="n">
        <v>0</v>
      </c>
      <c r="G277" s="88" t="n">
        <v>0</v>
      </c>
      <c r="H277" s="88" t="n">
        <v>0</v>
      </c>
      <c r="I277" s="88" t="n">
        <v>0</v>
      </c>
    </row>
    <row r="278" customFormat="false" ht="21.75" hidden="false" customHeight="true" outlineLevel="0" collapsed="false">
      <c r="A278" s="64" t="s">
        <v>327</v>
      </c>
      <c r="B278" s="64" t="s">
        <v>326</v>
      </c>
      <c r="C278" s="64" t="s">
        <v>300</v>
      </c>
      <c r="D278" s="64" t="s">
        <v>146</v>
      </c>
      <c r="E278" s="88" t="n">
        <v>3.88</v>
      </c>
      <c r="F278" s="88" t="n">
        <v>0.003</v>
      </c>
      <c r="G278" s="88" t="n">
        <v>0.0333</v>
      </c>
      <c r="H278" s="88" t="n">
        <v>0.0117</v>
      </c>
      <c r="I278" s="88" t="n">
        <v>0.1293</v>
      </c>
    </row>
    <row r="279" customFormat="false" ht="21.75" hidden="false" customHeight="true" outlineLevel="0" collapsed="false">
      <c r="A279" s="64" t="s">
        <v>327</v>
      </c>
      <c r="B279" s="64" t="s">
        <v>326</v>
      </c>
      <c r="C279" s="64" t="s">
        <v>300</v>
      </c>
      <c r="D279" s="64" t="s">
        <v>346</v>
      </c>
      <c r="E279" s="88" t="n">
        <v>4.64</v>
      </c>
      <c r="F279" s="88" t="n">
        <v>0.003</v>
      </c>
      <c r="G279" s="88" t="n">
        <v>0.0334</v>
      </c>
      <c r="H279" s="88" t="n">
        <v>0.0138</v>
      </c>
      <c r="I279" s="88" t="n">
        <v>0.1551</v>
      </c>
    </row>
    <row r="280" customFormat="false" ht="21.75" hidden="false" customHeight="true" outlineLevel="0" collapsed="false">
      <c r="A280" s="64" t="s">
        <v>327</v>
      </c>
      <c r="B280" s="64" t="s">
        <v>326</v>
      </c>
      <c r="C280" s="64" t="s">
        <v>300</v>
      </c>
      <c r="D280" s="64" t="s">
        <v>347</v>
      </c>
      <c r="E280" s="88" t="n">
        <v>4.995</v>
      </c>
      <c r="F280" s="88" t="n">
        <v>0.0044</v>
      </c>
      <c r="G280" s="88" t="n">
        <v>0.0338</v>
      </c>
      <c r="H280" s="88" t="n">
        <v>0.0221</v>
      </c>
      <c r="I280" s="88" t="n">
        <v>0.1688</v>
      </c>
    </row>
    <row r="281" customFormat="false" ht="21.75" hidden="false" customHeight="true" outlineLevel="0" collapsed="false">
      <c r="A281" s="64" t="s">
        <v>327</v>
      </c>
      <c r="B281" s="64" t="s">
        <v>326</v>
      </c>
      <c r="C281" s="64" t="s">
        <v>300</v>
      </c>
      <c r="D281" s="64" t="s">
        <v>155</v>
      </c>
      <c r="E281" s="88" t="n">
        <v>6.985</v>
      </c>
      <c r="F281" s="88" t="n">
        <v>0.008</v>
      </c>
      <c r="G281" s="88" t="n">
        <v>0.0335</v>
      </c>
      <c r="H281" s="88" t="n">
        <v>0.0555</v>
      </c>
      <c r="I281" s="88" t="n">
        <v>0.2336</v>
      </c>
    </row>
    <row r="282" customFormat="false" ht="21.75" hidden="false" customHeight="true" outlineLevel="0" collapsed="false">
      <c r="A282" s="64" t="s">
        <v>327</v>
      </c>
      <c r="B282" s="64" t="s">
        <v>326</v>
      </c>
      <c r="C282" s="64" t="s">
        <v>300</v>
      </c>
      <c r="D282" s="64" t="s">
        <v>159</v>
      </c>
      <c r="E282" s="88" t="n">
        <v>6.885</v>
      </c>
      <c r="F282" s="88" t="n">
        <v>0.0086</v>
      </c>
      <c r="G282" s="88" t="n">
        <v>0.0336</v>
      </c>
      <c r="H282" s="88" t="n">
        <v>0.0589</v>
      </c>
      <c r="I282" s="88" t="n">
        <v>0.2319</v>
      </c>
    </row>
    <row r="283" customFormat="false" ht="21.75" hidden="false" customHeight="true" outlineLevel="0" collapsed="false">
      <c r="A283" s="64" t="s">
        <v>327</v>
      </c>
      <c r="B283" s="64" t="s">
        <v>326</v>
      </c>
      <c r="C283" s="64" t="s">
        <v>300</v>
      </c>
      <c r="D283" s="64" t="s">
        <v>162</v>
      </c>
      <c r="E283" s="88" t="n">
        <v>5.445</v>
      </c>
      <c r="F283" s="88" t="n">
        <v>0.0075</v>
      </c>
      <c r="G283" s="88" t="n">
        <v>0.0332</v>
      </c>
      <c r="H283" s="88" t="n">
        <v>0.0411</v>
      </c>
      <c r="I283" s="88" t="n">
        <v>0.1809</v>
      </c>
    </row>
    <row r="284" customFormat="false" ht="21.75" hidden="false" customHeight="true" outlineLevel="0" collapsed="false">
      <c r="A284" s="64" t="s">
        <v>327</v>
      </c>
      <c r="B284" s="64" t="s">
        <v>326</v>
      </c>
      <c r="C284" s="64" t="s">
        <v>300</v>
      </c>
      <c r="D284" s="64" t="s">
        <v>147</v>
      </c>
      <c r="E284" s="88" t="n">
        <v>6.82</v>
      </c>
      <c r="F284" s="88" t="n">
        <v>0.0105</v>
      </c>
      <c r="G284" s="88" t="n">
        <v>0.0332</v>
      </c>
      <c r="H284" s="88" t="n">
        <v>0.0701</v>
      </c>
      <c r="I284" s="88" t="n">
        <v>0.2241</v>
      </c>
    </row>
    <row r="285" customFormat="false" ht="21.75" hidden="false" customHeight="true" outlineLevel="0" collapsed="false">
      <c r="A285" s="64" t="s">
        <v>327</v>
      </c>
      <c r="B285" s="64" t="s">
        <v>326</v>
      </c>
      <c r="C285" s="64" t="s">
        <v>300</v>
      </c>
      <c r="D285" s="64" t="s">
        <v>348</v>
      </c>
      <c r="E285" s="88" t="n">
        <v>15.575</v>
      </c>
      <c r="F285" s="88" t="n">
        <v>0.0262</v>
      </c>
      <c r="G285" s="88" t="n">
        <v>0.033</v>
      </c>
      <c r="H285" s="88" t="n">
        <v>0.4087</v>
      </c>
      <c r="I285" s="88" t="n">
        <v>0.515</v>
      </c>
    </row>
    <row r="286" customFormat="false" ht="21.75" hidden="false" customHeight="true" outlineLevel="0" collapsed="false">
      <c r="A286" s="64" t="s">
        <v>327</v>
      </c>
      <c r="B286" s="64" t="s">
        <v>326</v>
      </c>
      <c r="C286" s="64" t="s">
        <v>300</v>
      </c>
      <c r="D286" s="64" t="s">
        <v>349</v>
      </c>
      <c r="E286" s="88" t="n">
        <v>16.015</v>
      </c>
      <c r="F286" s="88" t="n">
        <v>0.0349</v>
      </c>
      <c r="G286" s="88" t="n">
        <v>0.0334</v>
      </c>
      <c r="H286" s="88" t="n">
        <v>0.5589</v>
      </c>
      <c r="I286" s="88" t="n">
        <v>0.5363</v>
      </c>
    </row>
    <row r="287" customFormat="false" ht="21.75" hidden="false" customHeight="true" outlineLevel="0" collapsed="false">
      <c r="A287" s="64" t="s">
        <v>327</v>
      </c>
      <c r="B287" s="64" t="s">
        <v>326</v>
      </c>
      <c r="C287" s="64" t="s">
        <v>300</v>
      </c>
      <c r="D287" s="64" t="s">
        <v>156</v>
      </c>
      <c r="E287" s="88" t="n">
        <v>9.065</v>
      </c>
      <c r="F287" s="88" t="n">
        <v>0.0148</v>
      </c>
      <c r="G287" s="88" t="n">
        <v>0.0335</v>
      </c>
      <c r="H287" s="88" t="n">
        <v>0.1323</v>
      </c>
      <c r="I287" s="88" t="n">
        <v>0.3033</v>
      </c>
    </row>
    <row r="288" customFormat="false" ht="21.75" hidden="false" customHeight="true" outlineLevel="0" collapsed="false">
      <c r="A288" s="64" t="s">
        <v>327</v>
      </c>
      <c r="B288" s="64" t="s">
        <v>326</v>
      </c>
      <c r="C288" s="64" t="s">
        <v>300</v>
      </c>
      <c r="D288" s="64" t="s">
        <v>160</v>
      </c>
      <c r="E288" s="88" t="n">
        <v>3.83</v>
      </c>
      <c r="F288" s="88" t="n">
        <v>0.0041</v>
      </c>
      <c r="G288" s="88" t="n">
        <v>0.0334</v>
      </c>
      <c r="H288" s="88" t="n">
        <v>0.0185</v>
      </c>
      <c r="I288" s="88" t="n">
        <v>0.1291</v>
      </c>
    </row>
    <row r="289" customFormat="false" ht="21.75" hidden="false" customHeight="true" outlineLevel="0" collapsed="false">
      <c r="A289" s="64" t="s">
        <v>327</v>
      </c>
      <c r="B289" s="64" t="s">
        <v>326</v>
      </c>
      <c r="C289" s="64" t="s">
        <v>300</v>
      </c>
      <c r="D289" s="64" t="s">
        <v>163</v>
      </c>
      <c r="E289" s="88" t="n">
        <v>1.825</v>
      </c>
      <c r="F289" s="88" t="n">
        <v>0.001</v>
      </c>
      <c r="G289" s="88" t="n">
        <v>0.0325</v>
      </c>
      <c r="H289" s="88" t="n">
        <v>0.0018</v>
      </c>
      <c r="I289" s="88" t="n">
        <v>0.0594</v>
      </c>
    </row>
    <row r="290" customFormat="false" ht="21.75" hidden="false" customHeight="true" outlineLevel="0" collapsed="false">
      <c r="A290" s="64" t="s">
        <v>327</v>
      </c>
      <c r="B290" s="64" t="s">
        <v>326</v>
      </c>
      <c r="C290" s="64" t="s">
        <v>300</v>
      </c>
      <c r="D290" s="64" t="s">
        <v>150</v>
      </c>
      <c r="E290" s="88" t="n">
        <v>0</v>
      </c>
      <c r="F290" s="88" t="n">
        <v>0</v>
      </c>
      <c r="G290" s="88" t="n">
        <v>0</v>
      </c>
      <c r="H290" s="88" t="n">
        <v>0</v>
      </c>
      <c r="I290" s="88" t="n">
        <v>0.0001</v>
      </c>
    </row>
    <row r="291" customFormat="false" ht="21.75" hidden="false" customHeight="true" outlineLevel="0" collapsed="false">
      <c r="A291" s="64" t="s">
        <v>327</v>
      </c>
      <c r="B291" s="64" t="s">
        <v>326</v>
      </c>
      <c r="C291" s="64" t="s">
        <v>300</v>
      </c>
      <c r="D291" s="64" t="s">
        <v>350</v>
      </c>
      <c r="E291" s="88" t="n">
        <v>0</v>
      </c>
      <c r="F291" s="88" t="n">
        <v>0</v>
      </c>
      <c r="G291" s="88" t="n">
        <v>0</v>
      </c>
      <c r="H291" s="88" t="n">
        <v>0</v>
      </c>
      <c r="I291" s="88" t="n">
        <v>0</v>
      </c>
    </row>
    <row r="292" customFormat="false" ht="21.75" hidden="false" customHeight="true" outlineLevel="0" collapsed="false">
      <c r="A292" s="64" t="s">
        <v>327</v>
      </c>
      <c r="B292" s="64" t="s">
        <v>326</v>
      </c>
      <c r="C292" s="64" t="s">
        <v>300</v>
      </c>
      <c r="D292" s="64" t="s">
        <v>351</v>
      </c>
      <c r="E292" s="88" t="n">
        <v>0</v>
      </c>
      <c r="F292" s="88" t="n">
        <v>0</v>
      </c>
      <c r="G292" s="88" t="n">
        <v>0</v>
      </c>
      <c r="H292" s="88" t="n">
        <v>0</v>
      </c>
      <c r="I292" s="88" t="n">
        <v>0</v>
      </c>
    </row>
    <row r="293" customFormat="false" ht="21.75" hidden="false" customHeight="true" outlineLevel="0" collapsed="false">
      <c r="A293" s="64" t="s">
        <v>327</v>
      </c>
      <c r="B293" s="64" t="s">
        <v>326</v>
      </c>
      <c r="C293" s="64" t="s">
        <v>555</v>
      </c>
      <c r="D293" s="64" t="s">
        <v>343</v>
      </c>
      <c r="E293" s="88" t="n">
        <v>0</v>
      </c>
      <c r="F293" s="88" t="n">
        <v>0</v>
      </c>
      <c r="G293" s="88" t="n">
        <v>0</v>
      </c>
      <c r="H293" s="88" t="n">
        <v>0</v>
      </c>
      <c r="I293" s="88" t="n">
        <v>0</v>
      </c>
    </row>
    <row r="294" customFormat="false" ht="21.75" hidden="false" customHeight="true" outlineLevel="0" collapsed="false">
      <c r="A294" s="64" t="s">
        <v>327</v>
      </c>
      <c r="B294" s="64" t="s">
        <v>326</v>
      </c>
      <c r="C294" s="64" t="s">
        <v>555</v>
      </c>
      <c r="D294" s="64" t="s">
        <v>344</v>
      </c>
      <c r="E294" s="88" t="n">
        <v>0</v>
      </c>
      <c r="F294" s="88" t="n">
        <v>0</v>
      </c>
      <c r="G294" s="88" t="n">
        <v>0</v>
      </c>
      <c r="H294" s="88" t="n">
        <v>0</v>
      </c>
      <c r="I294" s="88" t="n">
        <v>0</v>
      </c>
    </row>
    <row r="295" customFormat="false" ht="21.75" hidden="false" customHeight="true" outlineLevel="0" collapsed="false">
      <c r="A295" s="64" t="s">
        <v>327</v>
      </c>
      <c r="B295" s="64" t="s">
        <v>326</v>
      </c>
      <c r="C295" s="64" t="s">
        <v>555</v>
      </c>
      <c r="D295" s="64" t="s">
        <v>345</v>
      </c>
      <c r="E295" s="88" t="n">
        <v>0</v>
      </c>
      <c r="F295" s="88" t="n">
        <v>0</v>
      </c>
      <c r="G295" s="88" t="n">
        <v>0</v>
      </c>
      <c r="H295" s="88" t="n">
        <v>0</v>
      </c>
      <c r="I295" s="88" t="n">
        <v>0</v>
      </c>
    </row>
    <row r="296" customFormat="false" ht="21.75" hidden="false" customHeight="true" outlineLevel="0" collapsed="false">
      <c r="A296" s="64" t="s">
        <v>327</v>
      </c>
      <c r="B296" s="64" t="s">
        <v>326</v>
      </c>
      <c r="C296" s="64" t="s">
        <v>555</v>
      </c>
      <c r="D296" s="64" t="s">
        <v>146</v>
      </c>
      <c r="E296" s="88" t="n">
        <v>3.655</v>
      </c>
      <c r="F296" s="88" t="n">
        <v>0.0021</v>
      </c>
      <c r="G296" s="88" t="n">
        <v>0.0953</v>
      </c>
      <c r="H296" s="88" t="n">
        <v>0.0077</v>
      </c>
      <c r="I296" s="88" t="n">
        <v>0.3471</v>
      </c>
    </row>
    <row r="297" customFormat="false" ht="21.75" hidden="false" customHeight="true" outlineLevel="0" collapsed="false">
      <c r="A297" s="64" t="s">
        <v>327</v>
      </c>
      <c r="B297" s="64" t="s">
        <v>326</v>
      </c>
      <c r="C297" s="64" t="s">
        <v>555</v>
      </c>
      <c r="D297" s="64" t="s">
        <v>346</v>
      </c>
      <c r="E297" s="88" t="n">
        <v>4.545</v>
      </c>
      <c r="F297" s="88" t="n">
        <v>0.0034</v>
      </c>
      <c r="G297" s="88" t="n">
        <v>0.0984</v>
      </c>
      <c r="H297" s="88" t="n">
        <v>0.0154</v>
      </c>
      <c r="I297" s="88" t="n">
        <v>0.447</v>
      </c>
    </row>
    <row r="298" customFormat="false" ht="21.75" hidden="false" customHeight="true" outlineLevel="0" collapsed="false">
      <c r="A298" s="64" t="s">
        <v>327</v>
      </c>
      <c r="B298" s="64" t="s">
        <v>326</v>
      </c>
      <c r="C298" s="64" t="s">
        <v>555</v>
      </c>
      <c r="D298" s="64" t="s">
        <v>347</v>
      </c>
      <c r="E298" s="88" t="n">
        <v>5.02</v>
      </c>
      <c r="F298" s="88" t="n">
        <v>0.0067</v>
      </c>
      <c r="G298" s="88" t="n">
        <v>0.1007</v>
      </c>
      <c r="H298" s="88" t="n">
        <v>0.0341</v>
      </c>
      <c r="I298" s="88" t="n">
        <v>0.5025</v>
      </c>
    </row>
    <row r="299" customFormat="false" ht="21.75" hidden="false" customHeight="true" outlineLevel="0" collapsed="false">
      <c r="A299" s="64" t="s">
        <v>327</v>
      </c>
      <c r="B299" s="64" t="s">
        <v>326</v>
      </c>
      <c r="C299" s="64" t="s">
        <v>555</v>
      </c>
      <c r="D299" s="64" t="s">
        <v>155</v>
      </c>
      <c r="E299" s="88" t="n">
        <v>6.9</v>
      </c>
      <c r="F299" s="88" t="n">
        <v>0.0294</v>
      </c>
      <c r="G299" s="88" t="n">
        <v>0.101</v>
      </c>
      <c r="H299" s="88" t="n">
        <v>0.2026</v>
      </c>
      <c r="I299" s="88" t="n">
        <v>0.6956</v>
      </c>
    </row>
    <row r="300" customFormat="false" ht="21.75" hidden="false" customHeight="true" outlineLevel="0" collapsed="false">
      <c r="A300" s="64" t="s">
        <v>327</v>
      </c>
      <c r="B300" s="64" t="s">
        <v>326</v>
      </c>
      <c r="C300" s="64" t="s">
        <v>555</v>
      </c>
      <c r="D300" s="64" t="s">
        <v>159</v>
      </c>
      <c r="E300" s="88" t="n">
        <v>6.885</v>
      </c>
      <c r="F300" s="88" t="n">
        <v>0.0336</v>
      </c>
      <c r="G300" s="88" t="n">
        <v>0.0989</v>
      </c>
      <c r="H300" s="88" t="n">
        <v>0.2312</v>
      </c>
      <c r="I300" s="88" t="n">
        <v>0.6791</v>
      </c>
    </row>
    <row r="301" customFormat="false" ht="21.75" hidden="false" customHeight="true" outlineLevel="0" collapsed="false">
      <c r="A301" s="64" t="s">
        <v>327</v>
      </c>
      <c r="B301" s="64" t="s">
        <v>326</v>
      </c>
      <c r="C301" s="64" t="s">
        <v>555</v>
      </c>
      <c r="D301" s="64" t="s">
        <v>162</v>
      </c>
      <c r="E301" s="88" t="n">
        <v>5.52</v>
      </c>
      <c r="F301" s="88" t="n">
        <v>0.0203</v>
      </c>
      <c r="G301" s="88" t="n">
        <v>0.0979</v>
      </c>
      <c r="H301" s="88" t="n">
        <v>0.1123</v>
      </c>
      <c r="I301" s="88" t="n">
        <v>0.5452</v>
      </c>
    </row>
    <row r="302" customFormat="false" ht="21.75" hidden="false" customHeight="true" outlineLevel="0" collapsed="false">
      <c r="A302" s="64" t="s">
        <v>327</v>
      </c>
      <c r="B302" s="64" t="s">
        <v>326</v>
      </c>
      <c r="C302" s="64" t="s">
        <v>555</v>
      </c>
      <c r="D302" s="64" t="s">
        <v>147</v>
      </c>
      <c r="E302" s="88" t="n">
        <v>6.155</v>
      </c>
      <c r="F302" s="88" t="n">
        <v>0.0309</v>
      </c>
      <c r="G302" s="88" t="n">
        <v>0.1006</v>
      </c>
      <c r="H302" s="88" t="n">
        <v>0.1436</v>
      </c>
      <c r="I302" s="88" t="n">
        <v>0.5935</v>
      </c>
    </row>
    <row r="303" customFormat="false" ht="21.75" hidden="false" customHeight="true" outlineLevel="0" collapsed="false">
      <c r="A303" s="64" t="s">
        <v>327</v>
      </c>
      <c r="B303" s="64" t="s">
        <v>326</v>
      </c>
      <c r="C303" s="64" t="s">
        <v>555</v>
      </c>
      <c r="D303" s="64" t="s">
        <v>348</v>
      </c>
      <c r="E303" s="88" t="n">
        <v>15.64</v>
      </c>
      <c r="F303" s="88" t="n">
        <v>0.1334</v>
      </c>
      <c r="G303" s="88" t="n">
        <v>0.0994</v>
      </c>
      <c r="H303" s="88" t="n">
        <v>2.0936</v>
      </c>
      <c r="I303" s="88" t="n">
        <v>1.5503</v>
      </c>
    </row>
    <row r="304" customFormat="false" ht="21.75" hidden="false" customHeight="true" outlineLevel="0" collapsed="false">
      <c r="A304" s="64" t="s">
        <v>327</v>
      </c>
      <c r="B304" s="64" t="s">
        <v>326</v>
      </c>
      <c r="C304" s="64" t="s">
        <v>555</v>
      </c>
      <c r="D304" s="64" t="s">
        <v>349</v>
      </c>
      <c r="E304" s="88" t="n">
        <v>15.9</v>
      </c>
      <c r="F304" s="88" t="n">
        <v>0.1552</v>
      </c>
      <c r="G304" s="88" t="n">
        <v>0.0992</v>
      </c>
      <c r="H304" s="88" t="n">
        <v>2.4765</v>
      </c>
      <c r="I304" s="88" t="n">
        <v>1.5762</v>
      </c>
    </row>
    <row r="305" customFormat="false" ht="21.75" hidden="false" customHeight="true" outlineLevel="0" collapsed="false">
      <c r="A305" s="64" t="s">
        <v>327</v>
      </c>
      <c r="B305" s="64" t="s">
        <v>326</v>
      </c>
      <c r="C305" s="64" t="s">
        <v>555</v>
      </c>
      <c r="D305" s="64" t="s">
        <v>156</v>
      </c>
      <c r="E305" s="88" t="n">
        <v>9.67</v>
      </c>
      <c r="F305" s="88" t="n">
        <v>0.0851</v>
      </c>
      <c r="G305" s="88" t="n">
        <v>0.0992</v>
      </c>
      <c r="H305" s="88" t="n">
        <v>0.8525</v>
      </c>
      <c r="I305" s="88" t="n">
        <v>0.989</v>
      </c>
    </row>
    <row r="306" customFormat="false" ht="21.75" hidden="false" customHeight="true" outlineLevel="0" collapsed="false">
      <c r="A306" s="64" t="s">
        <v>327</v>
      </c>
      <c r="B306" s="64" t="s">
        <v>326</v>
      </c>
      <c r="C306" s="64" t="s">
        <v>555</v>
      </c>
      <c r="D306" s="64" t="s">
        <v>160</v>
      </c>
      <c r="E306" s="88" t="n">
        <v>4.1</v>
      </c>
      <c r="F306" s="88" t="n">
        <v>0.0111</v>
      </c>
      <c r="G306" s="88" t="n">
        <v>0.1</v>
      </c>
      <c r="H306" s="88" t="n">
        <v>0.0464</v>
      </c>
      <c r="I306" s="88" t="n">
        <v>0.4144</v>
      </c>
    </row>
    <row r="307" customFormat="false" ht="21.75" hidden="false" customHeight="true" outlineLevel="0" collapsed="false">
      <c r="A307" s="64" t="s">
        <v>327</v>
      </c>
      <c r="B307" s="64" t="s">
        <v>326</v>
      </c>
      <c r="C307" s="64" t="s">
        <v>555</v>
      </c>
      <c r="D307" s="64" t="s">
        <v>163</v>
      </c>
      <c r="E307" s="88" t="n">
        <v>1.895</v>
      </c>
      <c r="F307" s="88" t="n">
        <v>0.0004</v>
      </c>
      <c r="G307" s="88" t="n">
        <v>0.0956</v>
      </c>
      <c r="H307" s="88" t="n">
        <v>0.0008</v>
      </c>
      <c r="I307" s="88" t="n">
        <v>0.1819</v>
      </c>
    </row>
    <row r="308" customFormat="false" ht="21.75" hidden="false" customHeight="true" outlineLevel="0" collapsed="false">
      <c r="A308" s="64" t="s">
        <v>327</v>
      </c>
      <c r="B308" s="64" t="s">
        <v>326</v>
      </c>
      <c r="C308" s="64" t="s">
        <v>555</v>
      </c>
      <c r="D308" s="64" t="s">
        <v>150</v>
      </c>
      <c r="E308" s="88" t="n">
        <v>0.075</v>
      </c>
      <c r="F308" s="88" t="n">
        <v>0</v>
      </c>
      <c r="G308" s="88" t="n">
        <v>0.1062</v>
      </c>
      <c r="H308" s="88" t="n">
        <v>0</v>
      </c>
      <c r="I308" s="88" t="n">
        <v>0.008</v>
      </c>
    </row>
    <row r="309" customFormat="false" ht="21.75" hidden="false" customHeight="true" outlineLevel="0" collapsed="false">
      <c r="A309" s="64" t="s">
        <v>327</v>
      </c>
      <c r="B309" s="64" t="s">
        <v>326</v>
      </c>
      <c r="C309" s="64" t="s">
        <v>555</v>
      </c>
      <c r="D309" s="64" t="s">
        <v>350</v>
      </c>
      <c r="E309" s="88" t="n">
        <v>0</v>
      </c>
      <c r="F309" s="88" t="n">
        <v>0</v>
      </c>
      <c r="G309" s="88" t="n">
        <v>0</v>
      </c>
      <c r="H309" s="88" t="n">
        <v>0</v>
      </c>
      <c r="I309" s="88" t="n">
        <v>0</v>
      </c>
    </row>
    <row r="310" customFormat="false" ht="21.75" hidden="false" customHeight="true" outlineLevel="0" collapsed="false">
      <c r="A310" s="64" t="s">
        <v>327</v>
      </c>
      <c r="B310" s="64" t="s">
        <v>326</v>
      </c>
      <c r="C310" s="64" t="s">
        <v>555</v>
      </c>
      <c r="D310" s="64" t="s">
        <v>351</v>
      </c>
      <c r="E310" s="88" t="n">
        <v>0</v>
      </c>
      <c r="F310" s="88" t="n">
        <v>0</v>
      </c>
      <c r="G310" s="88" t="n">
        <v>0</v>
      </c>
      <c r="H310" s="88" t="n">
        <v>0</v>
      </c>
      <c r="I310" s="88" t="n">
        <v>0</v>
      </c>
    </row>
    <row r="311" customFormat="false" ht="21.75" hidden="false" customHeight="true" outlineLevel="0" collapsed="false">
      <c r="A311" s="64" t="s">
        <v>327</v>
      </c>
      <c r="B311" s="64" t="s">
        <v>326</v>
      </c>
      <c r="C311" s="64" t="s">
        <v>556</v>
      </c>
      <c r="D311" s="64" t="s">
        <v>343</v>
      </c>
      <c r="E311" s="88" t="n">
        <v>0</v>
      </c>
      <c r="F311" s="88" t="n">
        <v>0</v>
      </c>
      <c r="G311" s="88" t="n">
        <v>0</v>
      </c>
      <c r="H311" s="88" t="n">
        <v>0</v>
      </c>
      <c r="I311" s="88" t="n">
        <v>0</v>
      </c>
    </row>
    <row r="312" customFormat="false" ht="21.75" hidden="false" customHeight="true" outlineLevel="0" collapsed="false">
      <c r="A312" s="64" t="s">
        <v>327</v>
      </c>
      <c r="B312" s="64" t="s">
        <v>326</v>
      </c>
      <c r="C312" s="64" t="s">
        <v>556</v>
      </c>
      <c r="D312" s="64" t="s">
        <v>344</v>
      </c>
      <c r="E312" s="88" t="n">
        <v>0</v>
      </c>
      <c r="F312" s="88" t="n">
        <v>0</v>
      </c>
      <c r="G312" s="88" t="n">
        <v>0</v>
      </c>
      <c r="H312" s="88" t="n">
        <v>0</v>
      </c>
      <c r="I312" s="88" t="n">
        <v>0</v>
      </c>
    </row>
    <row r="313" customFormat="false" ht="21.75" hidden="false" customHeight="true" outlineLevel="0" collapsed="false">
      <c r="A313" s="64" t="s">
        <v>327</v>
      </c>
      <c r="B313" s="64" t="s">
        <v>326</v>
      </c>
      <c r="C313" s="64" t="s">
        <v>556</v>
      </c>
      <c r="D313" s="64" t="s">
        <v>345</v>
      </c>
      <c r="E313" s="88" t="n">
        <v>0</v>
      </c>
      <c r="F313" s="88" t="n">
        <v>0</v>
      </c>
      <c r="G313" s="88" t="n">
        <v>0</v>
      </c>
      <c r="H313" s="88" t="n">
        <v>0</v>
      </c>
      <c r="I313" s="88" t="n">
        <v>0</v>
      </c>
    </row>
    <row r="314" customFormat="false" ht="21.75" hidden="false" customHeight="true" outlineLevel="0" collapsed="false">
      <c r="A314" s="64" t="s">
        <v>327</v>
      </c>
      <c r="B314" s="64" t="s">
        <v>326</v>
      </c>
      <c r="C314" s="64" t="s">
        <v>556</v>
      </c>
      <c r="D314" s="64" t="s">
        <v>146</v>
      </c>
      <c r="E314" s="88" t="n">
        <v>3.07</v>
      </c>
      <c r="F314" s="88" t="n">
        <v>0</v>
      </c>
      <c r="G314" s="88" t="n">
        <v>16.0073</v>
      </c>
      <c r="H314" s="88" t="n">
        <v>0</v>
      </c>
      <c r="I314" s="88" t="n">
        <v>11.6759</v>
      </c>
    </row>
    <row r="315" customFormat="false" ht="21.75" hidden="false" customHeight="true" outlineLevel="0" collapsed="false">
      <c r="A315" s="64" t="s">
        <v>327</v>
      </c>
      <c r="B315" s="64" t="s">
        <v>326</v>
      </c>
      <c r="C315" s="64" t="s">
        <v>556</v>
      </c>
      <c r="D315" s="64" t="s">
        <v>346</v>
      </c>
      <c r="E315" s="88" t="n">
        <v>4.47</v>
      </c>
      <c r="F315" s="88" t="n">
        <v>0</v>
      </c>
      <c r="G315" s="88" t="n">
        <v>16.1394</v>
      </c>
      <c r="H315" s="88" t="n">
        <v>0</v>
      </c>
      <c r="I315" s="88" t="n">
        <v>51.514</v>
      </c>
    </row>
    <row r="316" customFormat="false" ht="21.75" hidden="false" customHeight="true" outlineLevel="0" collapsed="false">
      <c r="A316" s="64" t="s">
        <v>327</v>
      </c>
      <c r="B316" s="64" t="s">
        <v>326</v>
      </c>
      <c r="C316" s="64" t="s">
        <v>556</v>
      </c>
      <c r="D316" s="64" t="s">
        <v>347</v>
      </c>
      <c r="E316" s="88" t="n">
        <v>4.935</v>
      </c>
      <c r="F316" s="88" t="n">
        <v>0</v>
      </c>
      <c r="G316" s="88" t="n">
        <v>16.0301</v>
      </c>
      <c r="H316" s="88" t="n">
        <v>0</v>
      </c>
      <c r="I316" s="88" t="n">
        <v>73.5801</v>
      </c>
    </row>
    <row r="317" customFormat="false" ht="21.75" hidden="false" customHeight="true" outlineLevel="0" collapsed="false">
      <c r="A317" s="64" t="s">
        <v>327</v>
      </c>
      <c r="B317" s="64" t="s">
        <v>326</v>
      </c>
      <c r="C317" s="64" t="s">
        <v>556</v>
      </c>
      <c r="D317" s="64" t="s">
        <v>155</v>
      </c>
      <c r="E317" s="88" t="n">
        <v>6.735</v>
      </c>
      <c r="F317" s="88" t="n">
        <v>0</v>
      </c>
      <c r="G317" s="88" t="n">
        <v>16.0375</v>
      </c>
      <c r="H317" s="88" t="n">
        <v>0</v>
      </c>
      <c r="I317" s="88" t="n">
        <v>84.4799</v>
      </c>
    </row>
    <row r="318" customFormat="false" ht="21.75" hidden="false" customHeight="true" outlineLevel="0" collapsed="false">
      <c r="A318" s="64" t="s">
        <v>327</v>
      </c>
      <c r="B318" s="64" t="s">
        <v>326</v>
      </c>
      <c r="C318" s="64" t="s">
        <v>556</v>
      </c>
      <c r="D318" s="64" t="s">
        <v>159</v>
      </c>
      <c r="E318" s="88" t="n">
        <v>6.995</v>
      </c>
      <c r="F318" s="88" t="n">
        <v>0</v>
      </c>
      <c r="G318" s="88" t="n">
        <v>15.998</v>
      </c>
      <c r="H318" s="88" t="n">
        <v>0</v>
      </c>
      <c r="I318" s="88" t="n">
        <v>106.4273</v>
      </c>
    </row>
    <row r="319" customFormat="false" ht="21.75" hidden="false" customHeight="true" outlineLevel="0" collapsed="false">
      <c r="A319" s="64" t="s">
        <v>327</v>
      </c>
      <c r="B319" s="64" t="s">
        <v>326</v>
      </c>
      <c r="C319" s="64" t="s">
        <v>556</v>
      </c>
      <c r="D319" s="64" t="s">
        <v>162</v>
      </c>
      <c r="E319" s="88" t="n">
        <v>5.735</v>
      </c>
      <c r="F319" s="88" t="n">
        <v>0</v>
      </c>
      <c r="G319" s="88" t="n">
        <v>16.0033</v>
      </c>
      <c r="H319" s="88" t="n">
        <v>0</v>
      </c>
      <c r="I319" s="88" t="n">
        <v>108.2554</v>
      </c>
    </row>
    <row r="320" customFormat="false" ht="21.75" hidden="false" customHeight="true" outlineLevel="0" collapsed="false">
      <c r="A320" s="64" t="s">
        <v>327</v>
      </c>
      <c r="B320" s="64" t="s">
        <v>326</v>
      </c>
      <c r="C320" s="64" t="s">
        <v>556</v>
      </c>
      <c r="D320" s="64" t="s">
        <v>147</v>
      </c>
      <c r="E320" s="88" t="n">
        <v>5.025</v>
      </c>
      <c r="F320" s="88" t="n">
        <v>0</v>
      </c>
      <c r="G320" s="88" t="n">
        <v>16.0136</v>
      </c>
      <c r="H320" s="88" t="n">
        <v>0</v>
      </c>
      <c r="I320" s="88" t="n">
        <v>88.0719</v>
      </c>
    </row>
    <row r="321" customFormat="false" ht="21.75" hidden="false" customHeight="true" outlineLevel="0" collapsed="false">
      <c r="A321" s="64" t="s">
        <v>327</v>
      </c>
      <c r="B321" s="64" t="s">
        <v>326</v>
      </c>
      <c r="C321" s="64" t="s">
        <v>556</v>
      </c>
      <c r="D321" s="64" t="s">
        <v>348</v>
      </c>
      <c r="E321" s="88" t="n">
        <v>14.7</v>
      </c>
      <c r="F321" s="88" t="n">
        <v>0</v>
      </c>
      <c r="G321" s="88" t="n">
        <v>15.9675</v>
      </c>
      <c r="H321" s="88" t="n">
        <v>0</v>
      </c>
      <c r="I321" s="88" t="n">
        <v>125.5027</v>
      </c>
    </row>
    <row r="322" customFormat="false" ht="21.75" hidden="false" customHeight="true" outlineLevel="0" collapsed="false">
      <c r="A322" s="64" t="s">
        <v>327</v>
      </c>
      <c r="B322" s="64" t="s">
        <v>326</v>
      </c>
      <c r="C322" s="64" t="s">
        <v>556</v>
      </c>
      <c r="D322" s="64" t="s">
        <v>349</v>
      </c>
      <c r="E322" s="88" t="n">
        <v>15.91</v>
      </c>
      <c r="F322" s="88" t="n">
        <v>0</v>
      </c>
      <c r="G322" s="88" t="n">
        <v>16.0084</v>
      </c>
      <c r="H322" s="88" t="n">
        <v>0</v>
      </c>
      <c r="I322" s="88" t="n">
        <v>227.9217</v>
      </c>
    </row>
    <row r="323" customFormat="false" ht="21.75" hidden="false" customHeight="true" outlineLevel="0" collapsed="false">
      <c r="A323" s="64" t="s">
        <v>327</v>
      </c>
      <c r="B323" s="64" t="s">
        <v>326</v>
      </c>
      <c r="C323" s="64" t="s">
        <v>556</v>
      </c>
      <c r="D323" s="64" t="s">
        <v>156</v>
      </c>
      <c r="E323" s="88" t="n">
        <v>11.245</v>
      </c>
      <c r="F323" s="88" t="n">
        <v>0</v>
      </c>
      <c r="G323" s="88" t="n">
        <v>16.0427</v>
      </c>
      <c r="H323" s="88" t="n">
        <v>0</v>
      </c>
      <c r="I323" s="88" t="n">
        <v>240.0205</v>
      </c>
    </row>
    <row r="324" customFormat="false" ht="21.75" hidden="false" customHeight="true" outlineLevel="0" collapsed="false">
      <c r="A324" s="64" t="s">
        <v>327</v>
      </c>
      <c r="B324" s="64" t="s">
        <v>326</v>
      </c>
      <c r="C324" s="64" t="s">
        <v>556</v>
      </c>
      <c r="D324" s="64" t="s">
        <v>160</v>
      </c>
      <c r="E324" s="88" t="n">
        <v>4.78</v>
      </c>
      <c r="F324" s="88" t="n">
        <v>0</v>
      </c>
      <c r="G324" s="88" t="n">
        <v>15.9798</v>
      </c>
      <c r="H324" s="88" t="n">
        <v>0</v>
      </c>
      <c r="I324" s="88" t="n">
        <v>156.7345</v>
      </c>
    </row>
    <row r="325" customFormat="false" ht="21.75" hidden="false" customHeight="true" outlineLevel="0" collapsed="false">
      <c r="A325" s="64" t="s">
        <v>327</v>
      </c>
      <c r="B325" s="64" t="s">
        <v>326</v>
      </c>
      <c r="C325" s="64" t="s">
        <v>556</v>
      </c>
      <c r="D325" s="64" t="s">
        <v>163</v>
      </c>
      <c r="E325" s="88" t="n">
        <v>2.065</v>
      </c>
      <c r="F325" s="88" t="n">
        <v>0</v>
      </c>
      <c r="G325" s="88" t="n">
        <v>15.9586</v>
      </c>
      <c r="H325" s="88" t="n">
        <v>0</v>
      </c>
      <c r="I325" s="88" t="n">
        <v>69.1658</v>
      </c>
    </row>
    <row r="326" customFormat="false" ht="21.75" hidden="false" customHeight="true" outlineLevel="0" collapsed="false">
      <c r="A326" s="64" t="s">
        <v>327</v>
      </c>
      <c r="B326" s="64" t="s">
        <v>326</v>
      </c>
      <c r="C326" s="64" t="s">
        <v>556</v>
      </c>
      <c r="D326" s="64" t="s">
        <v>150</v>
      </c>
      <c r="E326" s="88" t="n">
        <v>0.295</v>
      </c>
      <c r="F326" s="88" t="n">
        <v>0</v>
      </c>
      <c r="G326" s="88" t="n">
        <v>16.1268</v>
      </c>
      <c r="H326" s="88" t="n">
        <v>0</v>
      </c>
      <c r="I326" s="88" t="n">
        <v>27.5484</v>
      </c>
    </row>
    <row r="327" customFormat="false" ht="21.75" hidden="false" customHeight="true" outlineLevel="0" collapsed="false">
      <c r="A327" s="64" t="s">
        <v>327</v>
      </c>
      <c r="B327" s="64" t="s">
        <v>326</v>
      </c>
      <c r="C327" s="64" t="s">
        <v>556</v>
      </c>
      <c r="D327" s="64" t="s">
        <v>350</v>
      </c>
      <c r="E327" s="88" t="n">
        <v>0</v>
      </c>
      <c r="F327" s="88" t="n">
        <v>0</v>
      </c>
      <c r="G327" s="88" t="n">
        <v>0</v>
      </c>
      <c r="H327" s="88" t="n">
        <v>0</v>
      </c>
      <c r="I327" s="88" t="n">
        <v>5.5733</v>
      </c>
    </row>
    <row r="328" customFormat="false" ht="21.75" hidden="false" customHeight="true" outlineLevel="0" collapsed="false">
      <c r="A328" s="64" t="s">
        <v>327</v>
      </c>
      <c r="B328" s="64" t="s">
        <v>326</v>
      </c>
      <c r="C328" s="64" t="s">
        <v>556</v>
      </c>
      <c r="D328" s="64" t="s">
        <v>351</v>
      </c>
      <c r="E328" s="88" t="n">
        <v>0</v>
      </c>
      <c r="F328" s="88" t="n">
        <v>0</v>
      </c>
      <c r="G328" s="88" t="n">
        <v>0</v>
      </c>
      <c r="H328" s="88" t="n">
        <v>0</v>
      </c>
      <c r="I328" s="88" t="n">
        <v>0.0001</v>
      </c>
    </row>
    <row r="329" customFormat="false" ht="21.75" hidden="false" customHeight="true" outlineLevel="0" collapsed="false">
      <c r="A329" s="64" t="s">
        <v>327</v>
      </c>
      <c r="B329" s="64" t="s">
        <v>326</v>
      </c>
      <c r="C329" s="64" t="s">
        <v>308</v>
      </c>
      <c r="D329" s="64" t="s">
        <v>343</v>
      </c>
      <c r="E329" s="88" t="n">
        <v>0</v>
      </c>
      <c r="F329" s="88" t="n">
        <v>0</v>
      </c>
      <c r="G329" s="88" t="n">
        <v>0</v>
      </c>
      <c r="H329" s="88" t="n">
        <v>0</v>
      </c>
      <c r="I329" s="88" t="n">
        <v>0</v>
      </c>
    </row>
    <row r="330" customFormat="false" ht="21.75" hidden="false" customHeight="true" outlineLevel="0" collapsed="false">
      <c r="A330" s="64" t="s">
        <v>327</v>
      </c>
      <c r="B330" s="64" t="s">
        <v>326</v>
      </c>
      <c r="C330" s="64" t="s">
        <v>308</v>
      </c>
      <c r="D330" s="64" t="s">
        <v>344</v>
      </c>
      <c r="E330" s="88" t="n">
        <v>0</v>
      </c>
      <c r="F330" s="88" t="n">
        <v>0</v>
      </c>
      <c r="G330" s="88" t="n">
        <v>0</v>
      </c>
      <c r="H330" s="88" t="n">
        <v>0</v>
      </c>
      <c r="I330" s="88" t="n">
        <v>0</v>
      </c>
    </row>
    <row r="331" customFormat="false" ht="21.75" hidden="false" customHeight="true" outlineLevel="0" collapsed="false">
      <c r="A331" s="64" t="s">
        <v>327</v>
      </c>
      <c r="B331" s="64" t="s">
        <v>326</v>
      </c>
      <c r="C331" s="64" t="s">
        <v>308</v>
      </c>
      <c r="D331" s="64" t="s">
        <v>345</v>
      </c>
      <c r="E331" s="88" t="n">
        <v>0</v>
      </c>
      <c r="F331" s="88" t="n">
        <v>0</v>
      </c>
      <c r="G331" s="88" t="n">
        <v>0</v>
      </c>
      <c r="H331" s="88" t="n">
        <v>0</v>
      </c>
      <c r="I331" s="88" t="n">
        <v>0</v>
      </c>
    </row>
    <row r="332" customFormat="false" ht="21.75" hidden="false" customHeight="true" outlineLevel="0" collapsed="false">
      <c r="A332" s="64" t="s">
        <v>327</v>
      </c>
      <c r="B332" s="64" t="s">
        <v>326</v>
      </c>
      <c r="C332" s="64" t="s">
        <v>308</v>
      </c>
      <c r="D332" s="64" t="s">
        <v>146</v>
      </c>
      <c r="E332" s="88" t="n">
        <v>0</v>
      </c>
      <c r="F332" s="88" t="n">
        <v>0</v>
      </c>
      <c r="G332" s="88" t="n">
        <v>0</v>
      </c>
      <c r="H332" s="88" t="n">
        <v>0</v>
      </c>
      <c r="I332" s="88" t="n">
        <v>0</v>
      </c>
    </row>
    <row r="333" customFormat="false" ht="21.75" hidden="false" customHeight="true" outlineLevel="0" collapsed="false">
      <c r="A333" s="64" t="s">
        <v>327</v>
      </c>
      <c r="B333" s="64" t="s">
        <v>326</v>
      </c>
      <c r="C333" s="64" t="s">
        <v>308</v>
      </c>
      <c r="D333" s="64" t="s">
        <v>346</v>
      </c>
      <c r="E333" s="88" t="n">
        <v>0.7</v>
      </c>
      <c r="F333" s="88" t="n">
        <v>0</v>
      </c>
      <c r="G333" s="88" t="n">
        <v>1.4817</v>
      </c>
      <c r="H333" s="88" t="n">
        <v>0</v>
      </c>
      <c r="I333" s="88" t="n">
        <v>0.6959</v>
      </c>
    </row>
    <row r="334" customFormat="false" ht="21.75" hidden="false" customHeight="true" outlineLevel="0" collapsed="false">
      <c r="A334" s="64" t="s">
        <v>327</v>
      </c>
      <c r="B334" s="64" t="s">
        <v>326</v>
      </c>
      <c r="C334" s="64" t="s">
        <v>308</v>
      </c>
      <c r="D334" s="64" t="s">
        <v>347</v>
      </c>
      <c r="E334" s="88" t="n">
        <v>4.005</v>
      </c>
      <c r="F334" s="88" t="n">
        <v>0</v>
      </c>
      <c r="G334" s="88" t="n">
        <v>1.5087</v>
      </c>
      <c r="H334" s="88" t="n">
        <v>0</v>
      </c>
      <c r="I334" s="88" t="n">
        <v>5.8883</v>
      </c>
    </row>
    <row r="335" customFormat="false" ht="21.75" hidden="false" customHeight="true" outlineLevel="0" collapsed="false">
      <c r="A335" s="64" t="s">
        <v>327</v>
      </c>
      <c r="B335" s="64" t="s">
        <v>326</v>
      </c>
      <c r="C335" s="64" t="s">
        <v>308</v>
      </c>
      <c r="D335" s="64" t="s">
        <v>155</v>
      </c>
      <c r="E335" s="88" t="n">
        <v>4.785</v>
      </c>
      <c r="F335" s="88" t="n">
        <v>0</v>
      </c>
      <c r="G335" s="88" t="n">
        <v>1.5038</v>
      </c>
      <c r="H335" s="88" t="n">
        <v>0</v>
      </c>
      <c r="I335" s="88" t="n">
        <v>7.1102</v>
      </c>
    </row>
    <row r="336" customFormat="false" ht="21.75" hidden="false" customHeight="true" outlineLevel="0" collapsed="false">
      <c r="A336" s="64" t="s">
        <v>327</v>
      </c>
      <c r="B336" s="64" t="s">
        <v>326</v>
      </c>
      <c r="C336" s="64" t="s">
        <v>308</v>
      </c>
      <c r="D336" s="64" t="s">
        <v>159</v>
      </c>
      <c r="E336" s="88" t="n">
        <v>5.15</v>
      </c>
      <c r="F336" s="88" t="n">
        <v>0</v>
      </c>
      <c r="G336" s="88" t="n">
        <v>1.5051</v>
      </c>
      <c r="H336" s="88" t="n">
        <v>0</v>
      </c>
      <c r="I336" s="88" t="n">
        <v>7.6685</v>
      </c>
    </row>
    <row r="337" customFormat="false" ht="21.75" hidden="false" customHeight="true" outlineLevel="0" collapsed="false">
      <c r="A337" s="64" t="s">
        <v>327</v>
      </c>
      <c r="B337" s="64" t="s">
        <v>326</v>
      </c>
      <c r="C337" s="64" t="s">
        <v>308</v>
      </c>
      <c r="D337" s="64" t="s">
        <v>162</v>
      </c>
      <c r="E337" s="88" t="n">
        <v>7.305</v>
      </c>
      <c r="F337" s="88" t="n">
        <v>0</v>
      </c>
      <c r="G337" s="88" t="n">
        <v>1.4956</v>
      </c>
      <c r="H337" s="88" t="n">
        <v>0</v>
      </c>
      <c r="I337" s="88" t="n">
        <v>10.7122</v>
      </c>
    </row>
    <row r="338" customFormat="false" ht="21.75" hidden="false" customHeight="true" outlineLevel="0" collapsed="false">
      <c r="A338" s="64" t="s">
        <v>327</v>
      </c>
      <c r="B338" s="64" t="s">
        <v>326</v>
      </c>
      <c r="C338" s="64" t="s">
        <v>308</v>
      </c>
      <c r="D338" s="64" t="s">
        <v>147</v>
      </c>
      <c r="E338" s="88" t="n">
        <v>6.53</v>
      </c>
      <c r="F338" s="88" t="n">
        <v>0</v>
      </c>
      <c r="G338" s="88" t="n">
        <v>1.5063</v>
      </c>
      <c r="H338" s="88" t="n">
        <v>0</v>
      </c>
      <c r="I338" s="88" t="n">
        <v>10.1192</v>
      </c>
    </row>
    <row r="339" customFormat="false" ht="21.75" hidden="false" customHeight="true" outlineLevel="0" collapsed="false">
      <c r="A339" s="64" t="s">
        <v>327</v>
      </c>
      <c r="B339" s="64" t="s">
        <v>326</v>
      </c>
      <c r="C339" s="64" t="s">
        <v>308</v>
      </c>
      <c r="D339" s="64" t="s">
        <v>348</v>
      </c>
      <c r="E339" s="88" t="n">
        <v>5.16</v>
      </c>
      <c r="F339" s="88" t="n">
        <v>0</v>
      </c>
      <c r="G339" s="88" t="n">
        <v>1.49</v>
      </c>
      <c r="H339" s="88" t="n">
        <v>0</v>
      </c>
      <c r="I339" s="88" t="n">
        <v>7.7893</v>
      </c>
    </row>
    <row r="340" customFormat="false" ht="21.75" hidden="false" customHeight="true" outlineLevel="0" collapsed="false">
      <c r="A340" s="64" t="s">
        <v>327</v>
      </c>
      <c r="B340" s="64" t="s">
        <v>326</v>
      </c>
      <c r="C340" s="64" t="s">
        <v>308</v>
      </c>
      <c r="D340" s="64" t="s">
        <v>349</v>
      </c>
      <c r="E340" s="88" t="n">
        <v>8.595</v>
      </c>
      <c r="F340" s="88" t="n">
        <v>0</v>
      </c>
      <c r="G340" s="88" t="n">
        <v>1.506</v>
      </c>
      <c r="H340" s="88" t="n">
        <v>0</v>
      </c>
      <c r="I340" s="88" t="n">
        <v>11.7662</v>
      </c>
    </row>
    <row r="341" customFormat="false" ht="21.75" hidden="false" customHeight="true" outlineLevel="0" collapsed="false">
      <c r="A341" s="64" t="s">
        <v>327</v>
      </c>
      <c r="B341" s="64" t="s">
        <v>326</v>
      </c>
      <c r="C341" s="64" t="s">
        <v>308</v>
      </c>
      <c r="D341" s="64" t="s">
        <v>156</v>
      </c>
      <c r="E341" s="88" t="n">
        <v>15.835</v>
      </c>
      <c r="F341" s="88" t="n">
        <v>0</v>
      </c>
      <c r="G341" s="88" t="n">
        <v>1.4988</v>
      </c>
      <c r="H341" s="88" t="n">
        <v>0</v>
      </c>
      <c r="I341" s="88" t="n">
        <v>23.5264</v>
      </c>
    </row>
    <row r="342" customFormat="false" ht="21.75" hidden="false" customHeight="true" outlineLevel="0" collapsed="false">
      <c r="A342" s="64" t="s">
        <v>327</v>
      </c>
      <c r="B342" s="64" t="s">
        <v>326</v>
      </c>
      <c r="C342" s="64" t="s">
        <v>308</v>
      </c>
      <c r="D342" s="64" t="s">
        <v>160</v>
      </c>
      <c r="E342" s="88" t="n">
        <v>15.215</v>
      </c>
      <c r="F342" s="88" t="n">
        <v>0</v>
      </c>
      <c r="G342" s="88" t="n">
        <v>1.4944</v>
      </c>
      <c r="H342" s="88" t="n">
        <v>0</v>
      </c>
      <c r="I342" s="88" t="n">
        <v>23.1196</v>
      </c>
    </row>
    <row r="343" customFormat="false" ht="21.75" hidden="false" customHeight="true" outlineLevel="0" collapsed="false">
      <c r="A343" s="64" t="s">
        <v>327</v>
      </c>
      <c r="B343" s="64" t="s">
        <v>326</v>
      </c>
      <c r="C343" s="64" t="s">
        <v>308</v>
      </c>
      <c r="D343" s="64" t="s">
        <v>163</v>
      </c>
      <c r="E343" s="88" t="n">
        <v>8</v>
      </c>
      <c r="F343" s="88" t="n">
        <v>0</v>
      </c>
      <c r="G343" s="88" t="n">
        <v>1.5043</v>
      </c>
      <c r="H343" s="88" t="n">
        <v>0</v>
      </c>
      <c r="I343" s="88" t="n">
        <v>12.9422</v>
      </c>
    </row>
    <row r="344" customFormat="false" ht="21.75" hidden="false" customHeight="true" outlineLevel="0" collapsed="false">
      <c r="A344" s="64" t="s">
        <v>327</v>
      </c>
      <c r="B344" s="64" t="s">
        <v>326</v>
      </c>
      <c r="C344" s="64" t="s">
        <v>308</v>
      </c>
      <c r="D344" s="64" t="s">
        <v>150</v>
      </c>
      <c r="E344" s="88" t="n">
        <v>3.265</v>
      </c>
      <c r="F344" s="88" t="n">
        <v>0</v>
      </c>
      <c r="G344" s="88" t="n">
        <v>1.4979</v>
      </c>
      <c r="H344" s="88" t="n">
        <v>0</v>
      </c>
      <c r="I344" s="88" t="n">
        <v>5.2156</v>
      </c>
    </row>
    <row r="345" customFormat="false" ht="21.75" hidden="false" customHeight="true" outlineLevel="0" collapsed="false">
      <c r="A345" s="64" t="s">
        <v>327</v>
      </c>
      <c r="B345" s="64" t="s">
        <v>326</v>
      </c>
      <c r="C345" s="64" t="s">
        <v>308</v>
      </c>
      <c r="D345" s="64" t="s">
        <v>350</v>
      </c>
      <c r="E345" s="88" t="n">
        <v>1.41</v>
      </c>
      <c r="F345" s="88" t="n">
        <v>0</v>
      </c>
      <c r="G345" s="88" t="n">
        <v>1.4972</v>
      </c>
      <c r="H345" s="88" t="n">
        <v>0</v>
      </c>
      <c r="I345" s="88" t="n">
        <v>2.356</v>
      </c>
    </row>
    <row r="346" customFormat="false" ht="21.75" hidden="false" customHeight="true" outlineLevel="0" collapsed="false">
      <c r="A346" s="64" t="s">
        <v>327</v>
      </c>
      <c r="B346" s="64" t="s">
        <v>326</v>
      </c>
      <c r="C346" s="64" t="s">
        <v>308</v>
      </c>
      <c r="D346" s="64" t="s">
        <v>351</v>
      </c>
      <c r="E346" s="88" t="n">
        <v>0.005</v>
      </c>
      <c r="F346" s="88" t="n">
        <v>0</v>
      </c>
      <c r="G346" s="88" t="n">
        <v>1.6579</v>
      </c>
      <c r="H346" s="88" t="n">
        <v>0</v>
      </c>
      <c r="I346" s="88" t="n">
        <v>0.026</v>
      </c>
    </row>
    <row r="347" customFormat="false" ht="21.75" hidden="false" customHeight="true" outlineLevel="0" collapsed="false">
      <c r="A347" s="64" t="s">
        <v>327</v>
      </c>
      <c r="B347" s="64" t="s">
        <v>326</v>
      </c>
      <c r="C347" s="64" t="s">
        <v>311</v>
      </c>
      <c r="D347" s="64" t="s">
        <v>343</v>
      </c>
      <c r="E347" s="88" t="n">
        <v>0</v>
      </c>
      <c r="F347" s="88" t="n">
        <v>0</v>
      </c>
      <c r="G347" s="88" t="n">
        <v>0</v>
      </c>
      <c r="H347" s="88" t="n">
        <v>0</v>
      </c>
      <c r="I347" s="88" t="n">
        <v>0</v>
      </c>
    </row>
    <row r="348" customFormat="false" ht="21.75" hidden="false" customHeight="true" outlineLevel="0" collapsed="false">
      <c r="A348" s="64" t="s">
        <v>327</v>
      </c>
      <c r="B348" s="64" t="s">
        <v>326</v>
      </c>
      <c r="C348" s="64" t="s">
        <v>311</v>
      </c>
      <c r="D348" s="64" t="s">
        <v>344</v>
      </c>
      <c r="E348" s="88" t="n">
        <v>0</v>
      </c>
      <c r="F348" s="88" t="n">
        <v>0</v>
      </c>
      <c r="G348" s="88" t="n">
        <v>0</v>
      </c>
      <c r="H348" s="88" t="n">
        <v>0</v>
      </c>
      <c r="I348" s="88" t="n">
        <v>0</v>
      </c>
    </row>
    <row r="349" customFormat="false" ht="21.75" hidden="false" customHeight="true" outlineLevel="0" collapsed="false">
      <c r="A349" s="64" t="s">
        <v>327</v>
      </c>
      <c r="B349" s="64" t="s">
        <v>326</v>
      </c>
      <c r="C349" s="64" t="s">
        <v>311</v>
      </c>
      <c r="D349" s="64" t="s">
        <v>345</v>
      </c>
      <c r="E349" s="88" t="n">
        <v>0</v>
      </c>
      <c r="F349" s="88" t="n">
        <v>0</v>
      </c>
      <c r="G349" s="88" t="n">
        <v>0</v>
      </c>
      <c r="H349" s="88" t="n">
        <v>0</v>
      </c>
      <c r="I349" s="88" t="n">
        <v>0</v>
      </c>
    </row>
    <row r="350" customFormat="false" ht="21.75" hidden="false" customHeight="true" outlineLevel="0" collapsed="false">
      <c r="A350" s="64" t="s">
        <v>327</v>
      </c>
      <c r="B350" s="64" t="s">
        <v>326</v>
      </c>
      <c r="C350" s="64" t="s">
        <v>311</v>
      </c>
      <c r="D350" s="64" t="s">
        <v>146</v>
      </c>
      <c r="E350" s="88" t="n">
        <v>3.88</v>
      </c>
      <c r="F350" s="88" t="n">
        <v>0</v>
      </c>
      <c r="G350" s="88" t="n">
        <v>19.6409</v>
      </c>
      <c r="H350" s="88" t="n">
        <v>0</v>
      </c>
      <c r="I350" s="88" t="n">
        <v>18.9765</v>
      </c>
    </row>
    <row r="351" customFormat="false" ht="21.75" hidden="false" customHeight="true" outlineLevel="0" collapsed="false">
      <c r="A351" s="64" t="s">
        <v>327</v>
      </c>
      <c r="B351" s="64" t="s">
        <v>326</v>
      </c>
      <c r="C351" s="64" t="s">
        <v>311</v>
      </c>
      <c r="D351" s="64" t="s">
        <v>346</v>
      </c>
      <c r="E351" s="88" t="n">
        <v>4.64</v>
      </c>
      <c r="F351" s="88" t="n">
        <v>0</v>
      </c>
      <c r="G351" s="88" t="n">
        <v>19.7513</v>
      </c>
      <c r="H351" s="88" t="n">
        <v>0</v>
      </c>
      <c r="I351" s="88" t="n">
        <v>61.8597</v>
      </c>
    </row>
    <row r="352" customFormat="false" ht="21.75" hidden="false" customHeight="true" outlineLevel="0" collapsed="false">
      <c r="A352" s="64" t="s">
        <v>327</v>
      </c>
      <c r="B352" s="64" t="s">
        <v>326</v>
      </c>
      <c r="C352" s="64" t="s">
        <v>311</v>
      </c>
      <c r="D352" s="64" t="s">
        <v>347</v>
      </c>
      <c r="E352" s="88" t="n">
        <v>4.995</v>
      </c>
      <c r="F352" s="88" t="n">
        <v>0</v>
      </c>
      <c r="G352" s="88" t="n">
        <v>19.6769</v>
      </c>
      <c r="H352" s="88" t="n">
        <v>0</v>
      </c>
      <c r="I352" s="88" t="n">
        <v>90.0853</v>
      </c>
    </row>
    <row r="353" customFormat="false" ht="21.75" hidden="false" customHeight="true" outlineLevel="0" collapsed="false">
      <c r="A353" s="64" t="s">
        <v>327</v>
      </c>
      <c r="B353" s="64" t="s">
        <v>326</v>
      </c>
      <c r="C353" s="64" t="s">
        <v>311</v>
      </c>
      <c r="D353" s="64" t="s">
        <v>155</v>
      </c>
      <c r="E353" s="88" t="n">
        <v>6.985</v>
      </c>
      <c r="F353" s="88" t="n">
        <v>0</v>
      </c>
      <c r="G353" s="88" t="n">
        <v>19.7013</v>
      </c>
      <c r="H353" s="88" t="n">
        <v>0</v>
      </c>
      <c r="I353" s="88" t="n">
        <v>106.4348</v>
      </c>
    </row>
    <row r="354" customFormat="false" ht="21.75" hidden="false" customHeight="true" outlineLevel="0" collapsed="false">
      <c r="A354" s="64" t="s">
        <v>327</v>
      </c>
      <c r="B354" s="64" t="s">
        <v>326</v>
      </c>
      <c r="C354" s="64" t="s">
        <v>311</v>
      </c>
      <c r="D354" s="64" t="s">
        <v>159</v>
      </c>
      <c r="E354" s="88" t="n">
        <v>6.885</v>
      </c>
      <c r="F354" s="88" t="n">
        <v>0</v>
      </c>
      <c r="G354" s="88" t="n">
        <v>19.6498</v>
      </c>
      <c r="H354" s="88" t="n">
        <v>0</v>
      </c>
      <c r="I354" s="88" t="n">
        <v>129.0286</v>
      </c>
    </row>
    <row r="355" customFormat="false" ht="21.75" hidden="false" customHeight="true" outlineLevel="0" collapsed="false">
      <c r="A355" s="64" t="s">
        <v>327</v>
      </c>
      <c r="B355" s="64" t="s">
        <v>326</v>
      </c>
      <c r="C355" s="64" t="s">
        <v>311</v>
      </c>
      <c r="D355" s="64" t="s">
        <v>162</v>
      </c>
      <c r="E355" s="88" t="n">
        <v>5.445</v>
      </c>
      <c r="F355" s="88" t="n">
        <v>0</v>
      </c>
      <c r="G355" s="88" t="n">
        <v>19.6533</v>
      </c>
      <c r="H355" s="88" t="n">
        <v>0</v>
      </c>
      <c r="I355" s="88" t="n">
        <v>131.0181</v>
      </c>
    </row>
    <row r="356" customFormat="false" ht="21.75" hidden="false" customHeight="true" outlineLevel="0" collapsed="false">
      <c r="A356" s="64" t="s">
        <v>327</v>
      </c>
      <c r="B356" s="64" t="s">
        <v>326</v>
      </c>
      <c r="C356" s="64" t="s">
        <v>311</v>
      </c>
      <c r="D356" s="64" t="s">
        <v>147</v>
      </c>
      <c r="E356" s="88" t="n">
        <v>6.82</v>
      </c>
      <c r="F356" s="88" t="n">
        <v>0</v>
      </c>
      <c r="G356" s="88" t="n">
        <v>19.6724</v>
      </c>
      <c r="H356" s="88" t="n">
        <v>0</v>
      </c>
      <c r="I356" s="88" t="n">
        <v>110.606</v>
      </c>
    </row>
    <row r="357" customFormat="false" ht="21.75" hidden="false" customHeight="true" outlineLevel="0" collapsed="false">
      <c r="A357" s="64" t="s">
        <v>327</v>
      </c>
      <c r="B357" s="64" t="s">
        <v>326</v>
      </c>
      <c r="C357" s="64" t="s">
        <v>311</v>
      </c>
      <c r="D357" s="64" t="s">
        <v>348</v>
      </c>
      <c r="E357" s="88" t="n">
        <v>15.575</v>
      </c>
      <c r="F357" s="88" t="n">
        <v>0</v>
      </c>
      <c r="G357" s="88" t="n">
        <v>19.7737</v>
      </c>
      <c r="H357" s="88" t="n">
        <v>0</v>
      </c>
      <c r="I357" s="88" t="n">
        <v>168.5044</v>
      </c>
    </row>
    <row r="358" customFormat="false" ht="21.75" hidden="false" customHeight="true" outlineLevel="0" collapsed="false">
      <c r="A358" s="64" t="s">
        <v>327</v>
      </c>
      <c r="B358" s="64" t="s">
        <v>326</v>
      </c>
      <c r="C358" s="64" t="s">
        <v>311</v>
      </c>
      <c r="D358" s="64" t="s">
        <v>349</v>
      </c>
      <c r="E358" s="88" t="n">
        <v>16.015</v>
      </c>
      <c r="F358" s="88" t="n">
        <v>0</v>
      </c>
      <c r="G358" s="88" t="n">
        <v>19.8218</v>
      </c>
      <c r="H358" s="88" t="n">
        <v>0</v>
      </c>
      <c r="I358" s="88" t="n">
        <v>276.4793</v>
      </c>
    </row>
    <row r="359" customFormat="false" ht="21.75" hidden="false" customHeight="true" outlineLevel="0" collapsed="false">
      <c r="A359" s="64" t="s">
        <v>327</v>
      </c>
      <c r="B359" s="64" t="s">
        <v>326</v>
      </c>
      <c r="C359" s="64" t="s">
        <v>311</v>
      </c>
      <c r="D359" s="64" t="s">
        <v>156</v>
      </c>
      <c r="E359" s="88" t="n">
        <v>9.065</v>
      </c>
      <c r="F359" s="88" t="n">
        <v>0</v>
      </c>
      <c r="G359" s="88" t="n">
        <v>19.752</v>
      </c>
      <c r="H359" s="88" t="n">
        <v>0</v>
      </c>
      <c r="I359" s="88" t="n">
        <v>286.252</v>
      </c>
    </row>
    <row r="360" customFormat="false" ht="21.75" hidden="false" customHeight="true" outlineLevel="0" collapsed="false">
      <c r="A360" s="64" t="s">
        <v>327</v>
      </c>
      <c r="B360" s="64" t="s">
        <v>326</v>
      </c>
      <c r="C360" s="64" t="s">
        <v>311</v>
      </c>
      <c r="D360" s="64" t="s">
        <v>160</v>
      </c>
      <c r="E360" s="88" t="n">
        <v>3.83</v>
      </c>
      <c r="F360" s="88" t="n">
        <v>0</v>
      </c>
      <c r="G360" s="88" t="n">
        <v>19.6057</v>
      </c>
      <c r="H360" s="88" t="n">
        <v>0</v>
      </c>
      <c r="I360" s="88" t="n">
        <v>189.1069</v>
      </c>
    </row>
    <row r="361" customFormat="false" ht="21.75" hidden="false" customHeight="true" outlineLevel="0" collapsed="false">
      <c r="A361" s="64" t="s">
        <v>327</v>
      </c>
      <c r="B361" s="64" t="s">
        <v>326</v>
      </c>
      <c r="C361" s="64" t="s">
        <v>311</v>
      </c>
      <c r="D361" s="64" t="s">
        <v>163</v>
      </c>
      <c r="E361" s="88" t="n">
        <v>1.825</v>
      </c>
      <c r="F361" s="88" t="n">
        <v>0</v>
      </c>
      <c r="G361" s="88" t="n">
        <v>19.5807</v>
      </c>
      <c r="H361" s="88" t="n">
        <v>0</v>
      </c>
      <c r="I361" s="88" t="n">
        <v>86.1706</v>
      </c>
    </row>
    <row r="362" customFormat="false" ht="21.75" hidden="false" customHeight="true" outlineLevel="0" collapsed="false">
      <c r="A362" s="64" t="s">
        <v>327</v>
      </c>
      <c r="B362" s="64" t="s">
        <v>326</v>
      </c>
      <c r="C362" s="64" t="s">
        <v>311</v>
      </c>
      <c r="D362" s="64" t="s">
        <v>150</v>
      </c>
      <c r="E362" s="88" t="n">
        <v>0</v>
      </c>
      <c r="F362" s="88" t="n">
        <v>0</v>
      </c>
      <c r="G362" s="88" t="n">
        <v>0</v>
      </c>
      <c r="H362" s="88" t="n">
        <v>0</v>
      </c>
      <c r="I362" s="88" t="n">
        <v>33.0412</v>
      </c>
    </row>
    <row r="363" customFormat="false" ht="21.75" hidden="false" customHeight="true" outlineLevel="0" collapsed="false">
      <c r="A363" s="64" t="s">
        <v>327</v>
      </c>
      <c r="B363" s="64" t="s">
        <v>326</v>
      </c>
      <c r="C363" s="64" t="s">
        <v>311</v>
      </c>
      <c r="D363" s="64" t="s">
        <v>350</v>
      </c>
      <c r="E363" s="88" t="n">
        <v>0</v>
      </c>
      <c r="F363" s="88" t="n">
        <v>0</v>
      </c>
      <c r="G363" s="88" t="n">
        <v>0</v>
      </c>
      <c r="H363" s="88" t="n">
        <v>0</v>
      </c>
      <c r="I363" s="88" t="n">
        <v>7.9294</v>
      </c>
    </row>
    <row r="364" customFormat="false" ht="21.75" hidden="false" customHeight="true" outlineLevel="0" collapsed="false">
      <c r="A364" s="64" t="s">
        <v>327</v>
      </c>
      <c r="B364" s="64" t="s">
        <v>326</v>
      </c>
      <c r="C364" s="64" t="s">
        <v>311</v>
      </c>
      <c r="D364" s="64" t="s">
        <v>351</v>
      </c>
      <c r="E364" s="88" t="n">
        <v>0</v>
      </c>
      <c r="F364" s="88" t="n">
        <v>0</v>
      </c>
      <c r="G364" s="88" t="n">
        <v>0</v>
      </c>
      <c r="H364" s="88" t="n">
        <v>0</v>
      </c>
      <c r="I364" s="88" t="n">
        <v>0.0261</v>
      </c>
    </row>
    <row r="366" customFormat="false" ht="24.75" hidden="false" customHeight="true" outlineLevel="0" collapsed="false">
      <c r="A366" s="4" t="s">
        <v>557</v>
      </c>
    </row>
    <row r="367" customFormat="false" ht="37.5" hidden="false" customHeight="true" outlineLevel="0" collapsed="false">
      <c r="A367" s="7" t="s">
        <v>317</v>
      </c>
      <c r="B367" s="7" t="s">
        <v>318</v>
      </c>
      <c r="C367" s="7" t="s">
        <v>558</v>
      </c>
      <c r="D367" s="7" t="s">
        <v>364</v>
      </c>
      <c r="E367" s="7" t="s">
        <v>559</v>
      </c>
    </row>
    <row r="368" customFormat="false" ht="21.75" hidden="false" customHeight="true" outlineLevel="0" collapsed="false">
      <c r="A368" s="64" t="s">
        <v>324</v>
      </c>
      <c r="B368" s="64" t="s">
        <v>325</v>
      </c>
      <c r="C368" s="89" t="n">
        <v>2359.3</v>
      </c>
      <c r="D368" s="89" t="n">
        <v>340.8</v>
      </c>
      <c r="E368" s="72" t="n">
        <v>2.02</v>
      </c>
    </row>
    <row r="369" customFormat="false" ht="21.75" hidden="false" customHeight="true" outlineLevel="0" collapsed="false">
      <c r="A369" s="64" t="s">
        <v>324</v>
      </c>
      <c r="B369" s="64" t="s">
        <v>326</v>
      </c>
      <c r="C369" s="89" t="n">
        <v>598.6</v>
      </c>
      <c r="D369" s="89" t="n">
        <v>128</v>
      </c>
      <c r="E369" s="72" t="n">
        <v>0</v>
      </c>
    </row>
    <row r="370" customFormat="false" ht="21.75" hidden="false" customHeight="true" outlineLevel="0" collapsed="false">
      <c r="A370" s="64" t="s">
        <v>327</v>
      </c>
      <c r="B370" s="64" t="s">
        <v>325</v>
      </c>
      <c r="C370" s="89" t="n">
        <v>2098.3</v>
      </c>
      <c r="D370" s="89" t="n">
        <v>335.8</v>
      </c>
      <c r="E370" s="72" t="n">
        <v>1.67</v>
      </c>
    </row>
    <row r="371" customFormat="false" ht="21.75" hidden="false" customHeight="true" outlineLevel="0" collapsed="false">
      <c r="A371" s="64" t="s">
        <v>327</v>
      </c>
      <c r="B371" s="64" t="s">
        <v>326</v>
      </c>
      <c r="C371" s="89" t="n">
        <v>859.6</v>
      </c>
      <c r="D371" s="89" t="n">
        <v>263.9</v>
      </c>
      <c r="E371" s="72" t="n">
        <v>0</v>
      </c>
    </row>
  </sheetData>
  <autoFilter ref="A4:I364"/>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14"/>
    <col collapsed="false" customWidth="true" hidden="false" outlineLevel="0" max="3" min="3" style="0" width="12"/>
  </cols>
  <sheetData>
    <row r="1" customFormat="false" ht="36" hidden="false" customHeight="true" outlineLevel="0" collapsed="false">
      <c r="A1" s="1" t="s">
        <v>36</v>
      </c>
      <c r="B1" s="2"/>
      <c r="C1" s="2"/>
    </row>
    <row r="2" customFormat="false" ht="21.75" hidden="false" customHeight="true" outlineLevel="0" collapsed="false">
      <c r="A2" s="3" t="s">
        <v>560</v>
      </c>
    </row>
    <row r="3" customFormat="false" ht="7.5" hidden="false" customHeight="true" outlineLevel="0" collapsed="false"/>
    <row r="4" customFormat="false" ht="21.75" hidden="false" customHeight="true" outlineLevel="0" collapsed="false">
      <c r="A4" s="7" t="s">
        <v>561</v>
      </c>
      <c r="B4" s="7" t="s">
        <v>63</v>
      </c>
      <c r="C4" s="7" t="s">
        <v>562</v>
      </c>
    </row>
    <row r="5" customFormat="false" ht="21.75" hidden="false" customHeight="true" outlineLevel="0" collapsed="false">
      <c r="A5" s="90" t="s">
        <v>563</v>
      </c>
      <c r="B5" s="91" t="n">
        <f aca="false">(SUMPRODUCT(('Sim Data'!$A$5:$A$364="Today (no screens)")*('Sim Data'!$B$5:$B$364="Central CT")*('Sim Data'!$C$5:$C$364="Whole visit")*'Sim Data'!$E$5:$E$364)*10+SUMPRODUCT(('Sim Data'!$A$5:$A$364="Today (no screens)")*('Sim Data'!$B$5:$B$364="Munch Mess")*('Sim Data'!$C$5:$C$364="Whole visit")*'Sim Data'!$E$5:$E$364)*10)/Assumptions!$B$6</f>
        <v>0.999307432432433</v>
      </c>
      <c r="C5" s="42" t="str">
        <f aca="false">IF(ABS(B5-1)&lt;0.02,"OK","CHECK")</f>
        <v>OK</v>
      </c>
    </row>
    <row r="6" customFormat="false" ht="21.75" hidden="false" customHeight="true" outlineLevel="0" collapsed="false">
      <c r="A6" s="90" t="s">
        <v>564</v>
      </c>
      <c r="B6" s="92" t="n">
        <f aca="false">SUMPRODUCT(--ISERROR('Q1 Scanner'!$A$4:$P$99))</f>
        <v>0</v>
      </c>
      <c r="C6" s="42" t="str">
        <f aca="false">IF(B6=0,"OK","CHECK")</f>
        <v>OK</v>
      </c>
    </row>
    <row r="7" customFormat="false" ht="21.75" hidden="false" customHeight="true" outlineLevel="0" collapsed="false">
      <c r="A7" s="90" t="s">
        <v>565</v>
      </c>
      <c r="B7" s="92" t="n">
        <f aca="false">SUMPRODUCT(--ISERROR('Q2 Serving stations'!$A$4:$P$99))</f>
        <v>0</v>
      </c>
      <c r="C7" s="42" t="str">
        <f aca="false">IF(B7=0,"OK","CHECK")</f>
        <v>OK</v>
      </c>
    </row>
    <row r="8" customFormat="false" ht="21.75" hidden="false" customHeight="true" outlineLevel="0" collapsed="false">
      <c r="A8" s="90" t="s">
        <v>566</v>
      </c>
      <c r="B8" s="92" t="n">
        <f aca="false">SUMPRODUCT(--ISERROR('Q3 Seats &amp; disposal'!$A$4:$L$92))</f>
        <v>0</v>
      </c>
      <c r="C8" s="42" t="str">
        <f aca="false">IF(B8=0,"OK","CHECK")</f>
        <v>OK</v>
      </c>
    </row>
    <row r="9" customFormat="false" ht="21.75" hidden="false" customHeight="true" outlineLevel="0" collapsed="false">
      <c r="A9" s="90" t="s">
        <v>567</v>
      </c>
      <c r="B9" s="92" t="n">
        <f aca="false">SUMPRODUCT(--ISERROR(Capacity!$B$5:$C$43))</f>
        <v>0</v>
      </c>
      <c r="C9" s="42" t="str">
        <f aca="false">IF(B9=0,"OK","CHECK")</f>
        <v>OK</v>
      </c>
    </row>
    <row r="10" customFormat="false" ht="37.5" hidden="false" customHeight="true" outlineLevel="0" collapsed="false">
      <c r="A10" s="90" t="s">
        <v>568</v>
      </c>
      <c r="B10" s="93" t="n">
        <f aca="false">SUMPRODUCT('Sim Data'!$I$77:$I$94)/SUMPRODUCT('Sim Data'!$E$77:$E$94,'Sim Data'!$G$77:$G$94)</f>
        <v>0.99983910016056</v>
      </c>
      <c r="C10" s="42" t="str">
        <f aca="false">IF(ABS(B10-1)&lt;0.1,"OK","CHECK")</f>
        <v>OK</v>
      </c>
    </row>
    <row r="11" customFormat="false" ht="21.75" hidden="false" customHeight="true" outlineLevel="0" collapsed="false">
      <c r="A11" s="90" t="s">
        <v>569</v>
      </c>
      <c r="B11" s="66" t="n">
        <f aca="false">MAX(Capacity!B29,Capacity!C29)</f>
        <v>0.378666666666667</v>
      </c>
      <c r="C11" s="42" t="str">
        <f aca="false">IF(B11&lt;1,"OK","CHECK")</f>
        <v>OK</v>
      </c>
    </row>
    <row r="12" customFormat="false" ht="37.5" hidden="false" customHeight="true" outlineLevel="0" collapsed="false">
      <c r="A12" s="90" t="s">
        <v>570</v>
      </c>
      <c r="B12" s="93" t="n">
        <f aca="false">'Load Balancing'!B86</f>
        <v>0.59</v>
      </c>
      <c r="C12" s="42" t="str">
        <f aca="false">IF(B12&gt;0,"OK","CHECK")</f>
        <v>OK</v>
      </c>
    </row>
    <row r="13" customFormat="false" ht="37.5" hidden="false" customHeight="true" outlineLevel="0" collapsed="false">
      <c r="A13" s="90" t="s">
        <v>571</v>
      </c>
      <c r="B13" s="92" t="n">
        <f aca="false">SUMPRODUCT(--ISNUMBER(Assumptions!$B$5:$B$44))</f>
        <v>27</v>
      </c>
      <c r="C13" s="42" t="str">
        <f aca="false">IF(B13=27,"OK","CHECK: fix the yellow/blue inputs")</f>
        <v>OK</v>
      </c>
    </row>
    <row r="14" customFormat="false" ht="21.75" hidden="false" customHeight="true" outlineLevel="0" collapsed="false">
      <c r="A14" s="90" t="s">
        <v>572</v>
      </c>
      <c r="B14" s="92" t="n">
        <f aca="false">SUMPRODUCT(--ISERROR(Variables!$A$4:$G$80))</f>
        <v>0</v>
      </c>
      <c r="C14" s="42" t="str">
        <f aca="false">IF(B14=0,"OK","CHECK")</f>
        <v>OK</v>
      </c>
    </row>
    <row r="16" customFormat="false" ht="21.75" hidden="false" customHeight="true" outlineLevel="0" collapsed="false">
      <c r="A16" s="84" t="s">
        <v>46</v>
      </c>
      <c r="C16" s="17" t="str">
        <f aca="false">IF(COUNTIF(C5:C14,"OK")=10,"ALL OK","CHECK")</f>
        <v>ALL OK</v>
      </c>
    </row>
    <row r="17" customFormat="false" ht="53.25" hidden="false" customHeight="true" outlineLevel="0" collapsed="false">
      <c r="A17" s="49" t="s">
        <v>573</v>
      </c>
      <c r="B17" s="49"/>
      <c r="C17" s="49"/>
    </row>
  </sheetData>
  <mergeCells count="1">
    <mergeCell ref="A17:C17"/>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2026-10-25T16:07:31Z</dcterms:created>
  <dc:creator>openpyxl</dc:creator>
  <dc:description/>
  <dc:language>en-US</dc:language>
  <cp:lastModifiedBy/>
  <dcterms:modified xsi:type="dcterms:W3CDTF">2026-10-25T16:07:34Z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