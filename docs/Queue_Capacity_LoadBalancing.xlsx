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7.xml.rels" ContentType="application/vnd.openxmlformats-package.relationships+xml"/>
  <Override PartName="/xl/drawings/_rels/drawing6.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Assumptions" sheetId="2" state="visible" r:id="rId4"/>
    <sheet name="Variables" sheetId="3" state="visible" r:id="rId5"/>
    <sheet name="Sim Data" sheetId="4" state="visible" r:id="rId6"/>
    <sheet name="Q1 Scanner" sheetId="5" state="visible" r:id="rId7"/>
    <sheet name="Q2 Serving stations" sheetId="6" state="visible" r:id="rId8"/>
    <sheet name="Q3 Seats &amp; disposal" sheetId="7" state="visible" r:id="rId9"/>
    <sheet name="Littles Law" sheetId="8" state="visible" r:id="rId10"/>
    <sheet name="Capacity" sheetId="9" state="visible" r:id="rId11"/>
    <sheet name="Load Balancing" sheetId="10" state="visible" r:id="rId12"/>
    <sheet name="Checks" sheetId="11" state="visible" r:id="rId13"/>
  </sheets>
  <definedNames>
    <definedName function="false" hidden="true" localSheetId="7" name="_xlnm._FilterDatabase" vbProcedure="false">'Littles Law'!$A$4:$I$76</definedName>
    <definedName function="false" hidden="true" localSheetId="4" name="_xlnm._FilterDatabase" vbProcedure="false">'Q1 Scanner'!$A$12:$P$84</definedName>
    <definedName function="false" hidden="true" localSheetId="5" name="_xlnm._FilterDatabase" vbProcedure="false">'Q2 Serving stations'!$A$12:$P$84</definedName>
    <definedName function="false" hidden="true" localSheetId="6" name="_xlnm._FilterDatabase" vbProcedure="false">'Q3 Seats &amp; disposal'!$A$4:$L$76</definedName>
    <definedName function="false" hidden="true" localSheetId="3" name="_xlnm._FilterDatabase" vbProcedure="false">'Sim Data'!$A$4:$I$364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<sst xmlns="http://schemas.openxmlformats.org/spreadsheetml/2006/main" count="3004" uniqueCount="479">
  <si>
    <t xml:space="preserve">Queue, capacity and load balancing: Smart Mess (Central CT and Munch Mess)</t>
  </si>
  <si>
    <t xml:space="preserve">SIMULATED DATA ONLY. Nothing here is a measurement of a real lunch: every arrival, wait and queue comes from the Smart Mess simulator (20 simulated lunches per scenario) driven by the assumptions on the Assumptions tab.</t>
  </si>
  <si>
    <t xml:space="preserve">How to read the colours</t>
  </si>
  <si>
    <t xml:space="preserve">Blue text</t>
  </si>
  <si>
    <t xml:space="preserve">an input or simulated data you can change</t>
  </si>
  <si>
    <t xml:space="preserve">Yellow fill</t>
  </si>
  <si>
    <t xml:space="preserve">an assumption not yet measured</t>
  </si>
  <si>
    <t xml:space="preserve">Grey fill</t>
  </si>
  <si>
    <t xml:space="preserve">simulated data (pasted from python tools/queue_capacity_data.py)</t>
  </si>
  <si>
    <t xml:space="preserve">Black text</t>
  </si>
  <si>
    <t xml:space="preserve">a formula</t>
  </si>
  <si>
    <t xml:space="preserve">Green text</t>
  </si>
  <si>
    <t xml:space="preserve">a formula that pulls from another tab</t>
  </si>
  <si>
    <t xml:space="preserve">Green fill</t>
  </si>
  <si>
    <t xml:space="preserve">a key result</t>
  </si>
  <si>
    <t xml:space="preserve">Tabs</t>
  </si>
  <si>
    <t xml:space="preserve">Assumptions</t>
  </si>
  <si>
    <t xml:space="preserve">Every assumption, with its status (measured / group estimate / assumed / calibrated)</t>
  </si>
  <si>
    <t xml:space="preserve">Variables</t>
  </si>
  <si>
    <t xml:space="preserve">Every queuing variable and formula; which model fits which process</t>
  </si>
  <si>
    <t xml:space="preserve">Sim Data</t>
  </si>
  <si>
    <t xml:space="preserve">The simulated data: per 10-minute slot, mess, process and scenario</t>
  </si>
  <si>
    <t xml:space="preserve">Q1 Scanner</t>
  </si>
  <si>
    <t xml:space="preserve">1. QUEUE MANAGEMENT: biometric scan as M/M/1; stability and Little's Law per slot</t>
  </si>
  <si>
    <t xml:space="preserve">Q2 Serving stations</t>
  </si>
  <si>
    <t xml:space="preserve">1. QUEUE MANAGEMENT: serving stations as M/M/c (c = 2); stability and Little's Law per slot</t>
  </si>
  <si>
    <t xml:space="preserve">Q3 Seats &amp; disposal</t>
  </si>
  <si>
    <t xml:space="preserve">1. QUEUE MANAGEMENT: seats as M/G/c and disposal as M/G/∞</t>
  </si>
  <si>
    <t xml:space="preserve">Littles Law</t>
  </si>
  <si>
    <t xml:space="preserve">1. Little's Law on the whole visit: where the mess is steady and where it is filling or emptying</t>
  </si>
  <si>
    <t xml:space="preserve">Capacity</t>
  </si>
  <si>
    <t xml:space="preserve">2. CAPACITY MANAGEMENT: seat turnover (900 / 492 seats), stage capacities, bottleneck, utilisation, efficiency</t>
  </si>
  <si>
    <t xml:space="preserve">Load Balancing</t>
  </si>
  <si>
    <t xml:space="preserve">3. LOAD BALANCING: how Smart Scan routes students, when, and why fixed rules (freshers at Munch, seniors at Central) fail</t>
  </si>
  <si>
    <t xml:space="preserve">Checks</t>
  </si>
  <si>
    <t xml:space="preserve">Validation checks</t>
  </si>
  <si>
    <t xml:space="preserve">Key results (live)</t>
  </si>
  <si>
    <t xml:space="preserve">Serving-station utilisation at Central, worst slot today</t>
  </si>
  <si>
    <t xml:space="preserve">Slots where Central's stations are unstable (ρ ≥ 1), today → with screens</t>
  </si>
  <si>
    <t xml:space="preserve">Bottleneck at both messes</t>
  </si>
  <si>
    <t xml:space="preserve">Seat turnover time (min) and diners per seat per hour, Central</t>
  </si>
  <si>
    <t xml:space="preserve">Peak seat utilisation: Central / Munch</t>
  </si>
  <si>
    <t xml:space="preserve">Average wait: today → fixed freshers rule → Smart Scan (min)</t>
  </si>
  <si>
    <t xml:space="preserve">Assumptions: every input behind the simulated data</t>
  </si>
  <si>
    <t xml:space="preserve">Blue = input. Yellow = not measured yet. Change an input here, re-run python tools/queue_capacity_data.py to refresh the Sim Data tab, then rebuild.</t>
  </si>
  <si>
    <t xml:space="preserve">Assumption</t>
  </si>
  <si>
    <t xml:space="preserve">Value</t>
  </si>
  <si>
    <t xml:space="preserve">Unit</t>
  </si>
  <si>
    <t xml:space="preserve">Status</t>
  </si>
  <si>
    <t xml:space="preserve">Source / note</t>
  </si>
  <si>
    <t xml:space="preserve">DEMAND</t>
  </si>
  <si>
    <t xml:space="preserve">Students per lunch (both messes)</t>
  </si>
  <si>
    <t xml:space="preserve">students</t>
  </si>
  <si>
    <t xml:space="preserve">Measured</t>
  </si>
  <si>
    <t xml:space="preserve">Plates served (Phase 1)</t>
  </si>
  <si>
    <t xml:space="preserve">Share who eat at Central by habit (no screens)</t>
  </si>
  <si>
    <t xml:space="preserve">share</t>
  </si>
  <si>
    <t xml:space="preserve">Group: ~2,360 Central, ~600 Munch</t>
  </si>
  <si>
    <t xml:space="preserve">Lunch window</t>
  </si>
  <si>
    <t xml:space="preserve">minutes</t>
  </si>
  <si>
    <t xml:space="preserve">11:30–14:30</t>
  </si>
  <si>
    <t xml:space="preserve">Arrival lag after a department's lunch break starts: mean</t>
  </si>
  <si>
    <t xml:space="preserve">Calibrated</t>
  </si>
  <si>
    <t xml:space="preserve">Fits the 17–25 min visit and ~15 min peak delay; department breaks from the group's timetable</t>
  </si>
  <si>
    <t xml:space="preserve">Arrival lag: spread</t>
  </si>
  <si>
    <t xml:space="preserve">As above</t>
  </si>
  <si>
    <t xml:space="preserve">STAGE 1: BIOMETRIC SCAN (M/M/1 per mess: one scanner)</t>
  </si>
  <si>
    <t xml:space="preserve">Face scanners per mess</t>
  </si>
  <si>
    <t xml:space="preserve">scanners</t>
  </si>
  <si>
    <t xml:space="preserve">Group observation</t>
  </si>
  <si>
    <t xml:space="preserve">Time per face scan</t>
  </si>
  <si>
    <t xml:space="preserve">seconds</t>
  </si>
  <si>
    <t xml:space="preserve">Assumed</t>
  </si>
  <si>
    <t xml:space="preserve">Stopwatch at the scanner</t>
  </si>
  <si>
    <t xml:space="preserve">Collect a plate after the scan (mean of 15–35 s)</t>
  </si>
  <si>
    <t xml:space="preserve">Group: scan + plate up to ~45 s</t>
  </si>
  <si>
    <t xml:space="preserve">STAGE 2: SERVING STATIONS (M/M/c per mess, c = 2)</t>
  </si>
  <si>
    <t xml:space="preserve">Serving stations per mess</t>
  </si>
  <si>
    <t xml:space="preserve">stations</t>
  </si>
  <si>
    <t xml:space="preserve">Service rate per station</t>
  </si>
  <si>
    <t xml:space="preserve">students/min</t>
  </si>
  <si>
    <t xml:space="preserve">≈6 s per student; stopwatch 20–30 students</t>
  </si>
  <si>
    <t xml:space="preserve">Variability of serving time (coefficient of variation)</t>
  </si>
  <si>
    <t xml:space="preserve">ratio</t>
  </si>
  <si>
    <t xml:space="preserve">1.0 would be exponential, as M/M/c assumes</t>
  </si>
  <si>
    <t xml:space="preserve">Walk the rest of the food line (mean of 40–80 s)</t>
  </si>
  <si>
    <t xml:space="preserve">Time a few students</t>
  </si>
  <si>
    <t xml:space="preserve">STAGE 3: EATING (seats as servers)</t>
  </si>
  <si>
    <t xml:space="preserve">Seats: Central CT</t>
  </si>
  <si>
    <t xml:space="preserve">seats</t>
  </si>
  <si>
    <t xml:space="preserve">Group count</t>
  </si>
  <si>
    <t xml:space="preserve">Seats: Munch Mess</t>
  </si>
  <si>
    <t xml:space="preserve">Group recount (Oct 2026)</t>
  </si>
  <si>
    <t xml:space="preserve">Eating time: low</t>
  </si>
  <si>
    <t xml:space="preserve">Group estimate</t>
  </si>
  <si>
    <t xml:space="preserve">Group: 12–15 min</t>
  </si>
  <si>
    <t xml:space="preserve">Eating time: high</t>
  </si>
  <si>
    <t xml:space="preserve">Seat changeover (next diner sits after the last leaves)</t>
  </si>
  <si>
    <t xml:space="preserve">Students clear their own plate; no table cleaning between diners. Raise it to test</t>
  </si>
  <si>
    <t xml:space="preserve">STAGE 4: DISPOSAL (no queue: M/M/∞)</t>
  </si>
  <si>
    <t xml:space="preserve">Disposal: low</t>
  </si>
  <si>
    <t xml:space="preserve">Group: 2 min at most</t>
  </si>
  <si>
    <t xml:space="preserve">Disposal: high</t>
  </si>
  <si>
    <t xml:space="preserve">LOAD BALANCING (door screens)</t>
  </si>
  <si>
    <t xml:space="preserve">Share who follow a screen's advice</t>
  </si>
  <si>
    <t xml:space="preserve">The pilot measures it</t>
  </si>
  <si>
    <t xml:space="preserve">Walk between the two mess doors</t>
  </si>
  <si>
    <t xml:space="preserve">30 s</t>
  </si>
  <si>
    <t xml:space="preserve">Minimum saving before a screen suggests switching</t>
  </si>
  <si>
    <t xml:space="preserve">Policy</t>
  </si>
  <si>
    <t xml:space="preserve">Our design choice</t>
  </si>
  <si>
    <t xml:space="preserve">SIMULATION</t>
  </si>
  <si>
    <t xml:space="preserve">Simulated lunches averaged per scenario</t>
  </si>
  <si>
    <t xml:space="preserve">lunches</t>
  </si>
  <si>
    <t xml:space="preserve">Design</t>
  </si>
  <si>
    <t xml:space="preserve">Seeds 0–19; the same students in every scenario</t>
  </si>
  <si>
    <t xml:space="preserve">Time-slot length in the tables</t>
  </si>
  <si>
    <t xml:space="preserve">18 slots from 11:30</t>
  </si>
  <si>
    <t xml:space="preserve">Department lunch breaks (shape the arrival surge; sizes are rough and scaled to the plates served)</t>
  </si>
  <si>
    <t xml:space="preserve">Department</t>
  </si>
  <si>
    <t xml:space="preserve">Students (scaled)</t>
  </si>
  <si>
    <t xml:space="preserve">Break starts</t>
  </si>
  <si>
    <t xml:space="preserve">Break ends</t>
  </si>
  <si>
    <t xml:space="preserve">MIT</t>
  </si>
  <si>
    <t xml:space="preserve">12:00</t>
  </si>
  <si>
    <t xml:space="preserve">13:00</t>
  </si>
  <si>
    <t xml:space="preserve">Timetable from the group</t>
  </si>
  <si>
    <t xml:space="preserve">MIT (lab day)</t>
  </si>
  <si>
    <t xml:space="preserve">14:00</t>
  </si>
  <si>
    <t xml:space="preserve">Timetable from the group; MIT eats here on lab days (45% assumed)</t>
  </si>
  <si>
    <t xml:space="preserve">TAPMI</t>
  </si>
  <si>
    <t xml:space="preserve">13:05</t>
  </si>
  <si>
    <t xml:space="preserve">DOC/MICFE</t>
  </si>
  <si>
    <t xml:space="preserve">12:30</t>
  </si>
  <si>
    <t xml:space="preserve">13:30</t>
  </si>
  <si>
    <t xml:space="preserve">SMI</t>
  </si>
  <si>
    <t xml:space="preserve">DLHS/MILHS</t>
  </si>
  <si>
    <t xml:space="preserve">12:40</t>
  </si>
  <si>
    <t xml:space="preserve">13:40</t>
  </si>
  <si>
    <t xml:space="preserve">MLS</t>
  </si>
  <si>
    <t xml:space="preserve">12:50</t>
  </si>
  <si>
    <t xml:space="preserve">13:50</t>
  </si>
  <si>
    <t xml:space="preserve">MIRM</t>
  </si>
  <si>
    <t xml:space="preserve">Timetable from the group; timing assumed</t>
  </si>
  <si>
    <t xml:space="preserve">Variables and formulas</t>
  </si>
  <si>
    <t xml:space="preserve">Queuing notation used on every tab</t>
  </si>
  <si>
    <t xml:space="preserve">Symbol</t>
  </si>
  <si>
    <t xml:space="preserve">Name</t>
  </si>
  <si>
    <t xml:space="preserve">Meaning at the mess</t>
  </si>
  <si>
    <t xml:space="preserve">Formula</t>
  </si>
  <si>
    <t xml:space="preserve">λ (lambda)</t>
  </si>
  <si>
    <t xml:space="preserve">Arrival rate</t>
  </si>
  <si>
    <t xml:space="preserve">Students reaching a stage per minute (e.g. reaching the scanner at Central)</t>
  </si>
  <si>
    <t xml:space="preserve">Counted in the simulation per 10-min slot</t>
  </si>
  <si>
    <t xml:space="preserve">μ (mu)</t>
  </si>
  <si>
    <t xml:space="preserve">Service rate per server</t>
  </si>
  <si>
    <t xml:space="preserve">Students one server can finish per minute: one scanner, one serving station, one seat</t>
  </si>
  <si>
    <t xml:space="preserve">μ = 1 ÷ mean service time</t>
  </si>
  <si>
    <t xml:space="preserve">c</t>
  </si>
  <si>
    <t xml:space="preserve">Number of servers</t>
  </si>
  <si>
    <t xml:space="preserve">1 scanner per mess; 2 serving stations per mess; 900 / 492 seats</t>
  </si>
  <si>
    <t xml:space="preserve">a</t>
  </si>
  <si>
    <t xml:space="preserve">Offered load</t>
  </si>
  <si>
    <t xml:space="preserve">Work arriving, in server-equivalents</t>
  </si>
  <si>
    <t xml:space="preserve">a = λ ÷ μ</t>
  </si>
  <si>
    <t xml:space="preserve">ρ (rho)</t>
  </si>
  <si>
    <t xml:space="preserve">Utilisation</t>
  </si>
  <si>
    <t xml:space="preserve">Share of the time each server is busy</t>
  </si>
  <si>
    <t xml:space="preserve">M/M/1: ρ = λ ÷ μ.   M/M/c: ρ = λ ÷ (c·μ)</t>
  </si>
  <si>
    <t xml:space="preserve">Stable?</t>
  </si>
  <si>
    <t xml:space="preserve">Stability condition</t>
  </si>
  <si>
    <t xml:space="preserve">A queue settles to a steady size only if servers can keep up</t>
  </si>
  <si>
    <t xml:space="preserve">Stable if ρ &lt; 1; above 1 the queue grows by (λ − c·μ) every minute</t>
  </si>
  <si>
    <t xml:space="preserve">P0</t>
  </si>
  <si>
    <t xml:space="preserve">Probability the stage is empty</t>
  </si>
  <si>
    <t xml:space="preserve">Chance nobody is waiting or being served</t>
  </si>
  <si>
    <t xml:space="preserve">M/M/1: 1 − ρ.   M/M/c: [Σₖ₌₀^{c−1} aᵏ/k! + a^c/(c!(1−ρ))]⁻¹</t>
  </si>
  <si>
    <t xml:space="preserve">C(c, a)</t>
  </si>
  <si>
    <t xml:space="preserve">Erlang C (probability of waiting)</t>
  </si>
  <si>
    <t xml:space="preserve">Chance an arriving student has to wait at all</t>
  </si>
  <si>
    <t xml:space="preserve">M/M/c: a^c/(c!(1−ρ)) · P0.   M/M/1: ρ</t>
  </si>
  <si>
    <t xml:space="preserve">Wq</t>
  </si>
  <si>
    <t xml:space="preserve">Mean wait in queue</t>
  </si>
  <si>
    <t xml:space="preserve">Minutes from joining the line to reaching the server</t>
  </si>
  <si>
    <t xml:space="preserve">M/M/1: ρ ÷ (μ − λ).   M/M/c: C(c,a) ÷ (c·μ − λ)</t>
  </si>
  <si>
    <t xml:space="preserve">Ws</t>
  </si>
  <si>
    <t xml:space="preserve">Mean service time</t>
  </si>
  <si>
    <t xml:space="preserve">Minutes being served</t>
  </si>
  <si>
    <t xml:space="preserve">Ws = 1 ÷ μ</t>
  </si>
  <si>
    <t xml:space="preserve">W</t>
  </si>
  <si>
    <t xml:space="preserve">Mean time in the stage</t>
  </si>
  <si>
    <t xml:space="preserve">Queue + service</t>
  </si>
  <si>
    <t xml:space="preserve">W = Wq + Ws</t>
  </si>
  <si>
    <t xml:space="preserve">Lq</t>
  </si>
  <si>
    <t xml:space="preserve">Mean number waiting</t>
  </si>
  <si>
    <t xml:space="preserve">Students standing in the line (time average)</t>
  </si>
  <si>
    <t xml:space="preserve">Lq = λ · Wq  (Little's Law)</t>
  </si>
  <si>
    <t xml:space="preserve">Ls</t>
  </si>
  <si>
    <t xml:space="preserve">Mean number in service</t>
  </si>
  <si>
    <t xml:space="preserve">Students being served</t>
  </si>
  <si>
    <t xml:space="preserve">Ls = λ · Ws = a</t>
  </si>
  <si>
    <t xml:space="preserve">L</t>
  </si>
  <si>
    <t xml:space="preserve">Mean number in the stage</t>
  </si>
  <si>
    <t xml:space="preserve">Everyone in the stage</t>
  </si>
  <si>
    <t xml:space="preserve">L = λ · W  (Little's Law)</t>
  </si>
  <si>
    <t xml:space="preserve">Little's Law</t>
  </si>
  <si>
    <t xml:space="preserve">L = λW</t>
  </si>
  <si>
    <t xml:space="preserve">Holds for any stable stage in steady state: time-average number = arrival rate × time each spends</t>
  </si>
  <si>
    <t xml:space="preserve">Check: simulated Lq vs λ × simulated Wq. A big gap means the stage is not in steady state (queue growing or draining)</t>
  </si>
  <si>
    <t xml:space="preserve">cv</t>
  </si>
  <si>
    <t xml:space="preserve">Coefficient of variation of service</t>
  </si>
  <si>
    <t xml:space="preserve">Real service is more regular than exponential</t>
  </si>
  <si>
    <t xml:space="preserve">M/G/1 (Pollaczek–Khinchine): Wq = (1 + cv²)/2 × Wq(M/M/1); M/G/c ≈ the same factor</t>
  </si>
  <si>
    <t xml:space="preserve">Turnover time</t>
  </si>
  <si>
    <t xml:space="preserve">Seat turnover time</t>
  </si>
  <si>
    <t xml:space="preserve">Minutes a seat is held by one diner, plus changeover</t>
  </si>
  <si>
    <t xml:space="preserve">T = eating time + changeover</t>
  </si>
  <si>
    <t xml:space="preserve">Turns/hour</t>
  </si>
  <si>
    <t xml:space="preserve">Seat turnover rate</t>
  </si>
  <si>
    <t xml:space="preserve">Diners one seat serves per hour</t>
  </si>
  <si>
    <t xml:space="preserve">60 ÷ T</t>
  </si>
  <si>
    <t xml:space="preserve">Which model for which process</t>
  </si>
  <si>
    <t xml:space="preserve">Process</t>
  </si>
  <si>
    <t xml:space="preserve">Model</t>
  </si>
  <si>
    <t xml:space="preserve">Why</t>
  </si>
  <si>
    <t xml:space="preserve">Tab</t>
  </si>
  <si>
    <t xml:space="preserve">Biometric face scan</t>
  </si>
  <si>
    <t xml:space="preserve">M/M/1 (one scanner per mess)</t>
  </si>
  <si>
    <t xml:space="preserve">One server; students queue outside the door. Real scan times are regular (cv 0.3), so M/G/1 is closer</t>
  </si>
  <si>
    <t xml:space="preserve">Serving stations (kitchen counters)</t>
  </si>
  <si>
    <t xml:space="preserve">M/M/c with c = 2</t>
  </si>
  <si>
    <t xml:space="preserve">Two stations fed from one line. Serving time cv 0.6</t>
  </si>
  <si>
    <t xml:space="preserve">Seats while eating</t>
  </si>
  <si>
    <t xml:space="preserve">M/G/c with c = seats</t>
  </si>
  <si>
    <t xml:space="preserve">Each seat is a server; a 'service' is one meal. With 900 / 492 seats nobody waits unless ρ ≥ 1</t>
  </si>
  <si>
    <t xml:space="preserve">Disposal of plates</t>
  </si>
  <si>
    <t xml:space="preserve">M/G/∞ (no queue)</t>
  </si>
  <si>
    <t xml:space="preserve">Several bins; no one waits, so L = λ·W only</t>
  </si>
  <si>
    <t xml:space="preserve">Whole visit</t>
  </si>
  <si>
    <t xml:space="preserve">Network of the four stages</t>
  </si>
  <si>
    <t xml:space="preserve">Little's Law on the whole mess: people inside = λ × visit time</t>
  </si>
  <si>
    <t xml:space="preserve">Simulated data: per 10-minute slot, mess, process and scenario</t>
  </si>
  <si>
    <t xml:space="preserve">SIMULATED, not measured: average of 20 simulated lunches (python tools/queue_capacity_data.py). Grey cells = data</t>
  </si>
  <si>
    <t xml:space="preserve">Scenario</t>
  </si>
  <si>
    <t xml:space="preserve">Mess</t>
  </si>
  <si>
    <t xml:space="preserve">Slot</t>
  </si>
  <si>
    <t xml:space="preserve">λ arrivals (/min)</t>
  </si>
  <si>
    <t xml:space="preserve">Wq simulated (min)</t>
  </si>
  <si>
    <t xml:space="preserve">Stage time Ws simulated (min)</t>
  </si>
  <si>
    <t xml:space="preserve">Lq simulated (avg waiting)</t>
  </si>
  <si>
    <t xml:space="preserve">Ls simulated (avg in service)</t>
  </si>
  <si>
    <t xml:space="preserve">Today (no screens)</t>
  </si>
  <si>
    <t xml:space="preserve">Central CT</t>
  </si>
  <si>
    <t xml:space="preserve">Biometric scan</t>
  </si>
  <si>
    <t xml:space="preserve">11:30</t>
  </si>
  <si>
    <t xml:space="preserve">11:40</t>
  </si>
  <si>
    <t xml:space="preserve">11:50</t>
  </si>
  <si>
    <t xml:space="preserve">12:10</t>
  </si>
  <si>
    <t xml:space="preserve">12:20</t>
  </si>
  <si>
    <t xml:space="preserve">13:10</t>
  </si>
  <si>
    <t xml:space="preserve">13:20</t>
  </si>
  <si>
    <t xml:space="preserve">14:10</t>
  </si>
  <si>
    <t xml:space="preserve">14:20</t>
  </si>
  <si>
    <t xml:space="preserve">Serving station</t>
  </si>
  <si>
    <t xml:space="preserve">Seat (eating)</t>
  </si>
  <si>
    <t xml:space="preserve">Disposal</t>
  </si>
  <si>
    <t xml:space="preserve">Munch Mess</t>
  </si>
  <si>
    <t xml:space="preserve">With Smart Scan screens</t>
  </si>
  <si>
    <t xml:space="preserve">Per mess, whole lunch</t>
  </si>
  <si>
    <t xml:space="preserve">Students served</t>
  </si>
  <si>
    <t xml:space="preserve">Peak seats in use</t>
  </si>
  <si>
    <t xml:space="preserve">Stock-out minutes</t>
  </si>
  <si>
    <t xml:space="preserve">Biometric scan: M/M/1 per mess</t>
  </si>
  <si>
    <t xml:space="preserve">Model: M/M/1 (one face scanner per mess). λ, Wq and Lq come from the Sim Data tab (simulated); ρ, stability and the textbook waits are formulas.</t>
  </si>
  <si>
    <t xml:space="preserve">Peak ρ</t>
  </si>
  <si>
    <t xml:space="preserve">Slots unstable (ρ ≥ 1)</t>
  </si>
  <si>
    <t xml:space="preserve">Slots near capacity (0.85–1)</t>
  </si>
  <si>
    <t xml:space="preserve">Worst simulated Wq (min)</t>
  </si>
  <si>
    <t xml:space="preserve">Avg simulated Wq (min)</t>
  </si>
  <si>
    <t xml:space="preserve">Each mess has ONE face scanner (c = 1, μ ≈ 30 students/min at 2 s per scan). It is stable except where λ nears 30/min at Central in the 13:10 surge. Textbook M/M/1 overstates the wait because real scans are regular (cv 0.3); the cv-corrected column (M/G/1) is closer to the simulation. Students queueing here are OUTSIDE the door and not yet scanned, so the live system cannot see them.</t>
  </si>
  <si>
    <t xml:space="preserve">λ (/min)</t>
  </si>
  <si>
    <t xml:space="preserve">Service time (min)</t>
  </si>
  <si>
    <t xml:space="preserve">μ (/min)</t>
  </si>
  <si>
    <t xml:space="preserve">ρ</t>
  </si>
  <si>
    <t xml:space="preserve">Wq textbook (min)</t>
  </si>
  <si>
    <t xml:space="preserve">Wq with cv correction (min)</t>
  </si>
  <si>
    <t xml:space="preserve">Lq simulated</t>
  </si>
  <si>
    <t xml:space="preserve">λ × Wq simulated</t>
  </si>
  <si>
    <t xml:space="preserve">Little's Law: Lq ÷ λWq</t>
  </si>
  <si>
    <t xml:space="preserve">Reading</t>
  </si>
  <si>
    <t xml:space="preserve">Utilisation ρ by slot (for the chart)</t>
  </si>
  <si>
    <t xml:space="preserve">Central CT, Today</t>
  </si>
  <si>
    <t xml:space="preserve">Munch Mess, Today</t>
  </si>
  <si>
    <t xml:space="preserve">Central CT, With Smart Scan screens</t>
  </si>
  <si>
    <t xml:space="preserve">Munch Mess, With Smart Scan screens</t>
  </si>
  <si>
    <t xml:space="preserve">Capacity (ρ = 1)</t>
  </si>
  <si>
    <t xml:space="preserve">Serving stations: M/M/c per mess (c = 2)</t>
  </si>
  <si>
    <t xml:space="preserve">Model: M/M/c with c = 2 stations per mess. λ, Wq and Lq come from the Sim Data tab (simulated); ρ, stability and the textbook waits are formulas.</t>
  </si>
  <si>
    <t xml:space="preserve">Two stations per mess (c = 2, μ = 10/min each, capacity 20/min). Today Central reaches ρ ≈ 145% in the 13:10 surge: the line grows every minute, no steady state exists, and Little's Law only balances once the surge passes. With the screens Central's peak falls to ≈ 107%: still briefly over capacity in the surge (only 60% follow, and a screen only asks when walking saves ≥ 2 min), while Munch takes the overflow (peak ≈ 79%). This is the bottleneck stage.</t>
  </si>
  <si>
    <t xml:space="preserve">Seats (M/G/c, c = seats) and disposal (M/G/∞)</t>
  </si>
  <si>
    <t xml:space="preserve">Each seat is a server and one meal is its service; disposal has no queue. Little's Law: seats in use = λ × eating time</t>
  </si>
  <si>
    <t xml:space="preserve">λ sitting down (/min)</t>
  </si>
  <si>
    <t xml:space="preserve">Eating time W (min)</t>
  </si>
  <si>
    <t xml:space="preserve">Seats c</t>
  </si>
  <si>
    <t xml:space="preserve">ρ = λW ÷ c</t>
  </si>
  <si>
    <t xml:space="preserve">Seats in use: simulated</t>
  </si>
  <si>
    <t xml:space="preserve">Seats in use: λ × W</t>
  </si>
  <si>
    <t xml:space="preserve">Little's Law ratio</t>
  </si>
  <si>
    <t xml:space="preserve">Disposal: L = λ × W (people at the bins)</t>
  </si>
  <si>
    <t xml:space="preserve">Reading it: seats are never the constraint here. Even at the peak, ρ = λ × eating time ÷ seats stays well below 1 at both messes, so nobody waits for a seat (the simulated seat wait is ≈ 0). Little's Law holds well for seats in the middle of the lunch; in the first and last slots the ratio drifts because students who sat down in one slot are still eating in the next (the slot is shorter than a meal). Disposal never queues.</t>
  </si>
  <si>
    <t xml:space="preserve">Little's Law on the whole visit: where the system is steady and where it is not</t>
  </si>
  <si>
    <t xml:space="preserve">L = λ × W. Simulated people inside vs arrivals × visit time, per 10-minute slot</t>
  </si>
  <si>
    <t xml:space="preserve">λ arriving (/min)</t>
  </si>
  <si>
    <t xml:space="preserve">Visit time W (min)</t>
  </si>
  <si>
    <t xml:space="preserve">People inside: simulated L</t>
  </si>
  <si>
    <t xml:space="preserve">λ × W</t>
  </si>
  <si>
    <t xml:space="preserve">L ÷ λW</t>
  </si>
  <si>
    <t xml:space="preserve">How to use Little's Law here: a stable stage in steady state has L = λW. Slot by slot the mess is never perfectly steady because arrivals follow the department lunch breaks. When L ÷ λW is well below 1 the mess is filling (the 12:00 and 13:00 surges); when it is above 1 people from the busy slot are still inside while new arrivals have dropped. Over the whole lunch the totals agree (Checks tab). The queue tabs apply the same test to each process: where ρ ≥ 1 the line keeps growing and no steady state exists.</t>
  </si>
  <si>
    <t xml:space="preserve">Capacity management: seat turnover, stage capacities and the bottleneck</t>
  </si>
  <si>
    <t xml:space="preserve">Simulated averages from Sim Data; assumptions from Assumptions</t>
  </si>
  <si>
    <t xml:space="preserve">Measure</t>
  </si>
  <si>
    <t xml:space="preserve">How it is calculated</t>
  </si>
  <si>
    <t xml:space="preserve">1. AVERAGE TIMES (today, no screens; simulated)</t>
  </si>
  <si>
    <t xml:space="preserve">Average scan time (seconds)</t>
  </si>
  <si>
    <t xml:space="preserve">Mean time at the face scanner, excluding the queue</t>
  </si>
  <si>
    <t xml:space="preserve">Average wait for the scanner (minutes)</t>
  </si>
  <si>
    <t xml:space="preserve">Queue outside the door</t>
  </si>
  <si>
    <t xml:space="preserve">Average wait at the serving station (minutes)</t>
  </si>
  <si>
    <t xml:space="preserve">Queue for the 2 stations</t>
  </si>
  <si>
    <t xml:space="preserve">Average serving time (minutes)</t>
  </si>
  <si>
    <t xml:space="preserve">At the station</t>
  </si>
  <si>
    <t xml:space="preserve">Average time at the kitchen / serving station (wait + serving, minutes)</t>
  </si>
  <si>
    <t xml:space="preserve">Average lunch (eating) time at the table (minutes)</t>
  </si>
  <si>
    <t xml:space="preserve">Seat held from sitting down to getting up</t>
  </si>
  <si>
    <t xml:space="preserve">Average total visit, door to leaving (minutes)</t>
  </si>
  <si>
    <t xml:space="preserve">All four stages, queues included</t>
  </si>
  <si>
    <t xml:space="preserve">2. SEAT TURNOVER</t>
  </si>
  <si>
    <t xml:space="preserve">Seats</t>
  </si>
  <si>
    <t xml:space="preserve">Measured (Munch recounted: 492)</t>
  </si>
  <si>
    <t xml:space="preserve">Seat turnover time T (minutes per diner)</t>
  </si>
  <si>
    <t xml:space="preserve">Eating time + changeover (assumed 0)</t>
  </si>
  <si>
    <t xml:space="preserve">Seat turnover rate (diners per seat per hour)</t>
  </si>
  <si>
    <t xml:space="preserve">Seating capacity (students per minute)</t>
  </si>
  <si>
    <t xml:space="preserve">Seats ÷ T (Little's Law: λmax = L ÷ W)</t>
  </si>
  <si>
    <t xml:space="preserve">Seating capacity over the lunch window (students)</t>
  </si>
  <si>
    <t xml:space="preserve">Seats × 180 ÷ T</t>
  </si>
  <si>
    <t xml:space="preserve">Students served this lunch (simulated)</t>
  </si>
  <si>
    <t xml:space="preserve">Actual turns per seat this lunch</t>
  </si>
  <si>
    <t xml:space="preserve">Students served ÷ seats</t>
  </si>
  <si>
    <t xml:space="preserve">Peak seats in use (simulated)</t>
  </si>
  <si>
    <t xml:space="preserve">Peak seat utilisation</t>
  </si>
  <si>
    <t xml:space="preserve">Peak in use ÷ seats</t>
  </si>
  <si>
    <t xml:space="preserve">3. CAPACITY OF EACH STAGE (students per minute) AND THE BOTTLENECK</t>
  </si>
  <si>
    <t xml:space="preserve">Scanner capacity</t>
  </si>
  <si>
    <t xml:space="preserve">Scanners × 60 ÷ seconds per scan</t>
  </si>
  <si>
    <t xml:space="preserve">Serving-station capacity</t>
  </si>
  <si>
    <t xml:space="preserve">Stations × μ</t>
  </si>
  <si>
    <t xml:space="preserve">Seating capacity</t>
  </si>
  <si>
    <t xml:space="preserve">From section 2</t>
  </si>
  <si>
    <t xml:space="preserve">Disposal capacity</t>
  </si>
  <si>
    <t xml:space="preserve">no limit</t>
  </si>
  <si>
    <t xml:space="preserve">No queue: several bins, 1–2 min each</t>
  </si>
  <si>
    <t xml:space="preserve">Bottleneck (smallest capacity)</t>
  </si>
  <si>
    <t xml:space="preserve">The stage with the smallest capacity</t>
  </si>
  <si>
    <t xml:space="preserve">Design capacity per lunch (bottleneck × window, students)</t>
  </si>
  <si>
    <t xml:space="preserve">Best possible output</t>
  </si>
  <si>
    <t xml:space="preserve">Stock-out minutes this lunch (simulated)</t>
  </si>
  <si>
    <t xml:space="preserve">Stations idle while the star dish is out</t>
  </si>
  <si>
    <t xml:space="preserve">Effective capacity per lunch (students)</t>
  </si>
  <si>
    <t xml:space="preserve">Design × share of time food is available</t>
  </si>
  <si>
    <t xml:space="preserve">Utilisation = actual ÷ design</t>
  </si>
  <si>
    <t xml:space="preserve">OM definition</t>
  </si>
  <si>
    <t xml:space="preserve">Efficiency = actual ÷ effective</t>
  </si>
  <si>
    <t xml:space="preserve">Peak 10-min arrival rate at the serving stations (today, /min)</t>
  </si>
  <si>
    <t xml:space="preserve">Peak arrivals ÷ serving capacity</t>
  </si>
  <si>
    <t xml:space="preserve">Above 100% the line grows</t>
  </si>
  <si>
    <t xml:space="preserve">Reading it: seat turnover is about one diner every ~13.5 minutes, i.e. about 4.4 diners per seat per hour, so seats could absorb ~67 students/min at Central and ~36/min at Munch. The serving stations (20/min per mess) are the bottleneck at both messes, well below the scanner (30/min) and the seats. Capacity is lost to stock-outs (effective &lt; design). In the surges Central's arrivals exceed its 20/min while Munch's sit far below theirs: the capacity problem is one of balance, which is what load balancing addresses.</t>
  </si>
  <si>
    <t xml:space="preserve">Load balancing with Smart Scan: when we route students to the other mess, and why a fixed rule fails</t>
  </si>
  <si>
    <t xml:space="preserve">Dynamic routing from live scans vs static 'department / year X eats at mess Y' rules, on simulated lunches</t>
  </si>
  <si>
    <t xml:space="preserve">1. How the routing works (every 5 seconds)</t>
  </si>
  <si>
    <t xml:space="preserve">1. Scans in: every face scan arrives with a timestamp and the mess (no face data, only id + time + mess).</t>
  </si>
  <si>
    <t xml:space="preserve">2. Arrival rate: λ̂ for each mess = scans in the last 5 minutes ÷ 5.</t>
  </si>
  <si>
    <t xml:space="preserve">3. Queue estimate: fluid model. Backlog B grows by (λ̂ − c·μ) per minute when arrivals exceed the 2 stations' capacity, and drains otherwise.</t>
  </si>
  <si>
    <t xml:space="preserve">4. Predicted wait at each mess for someone arriving now = B ÷ (c·μ) + M/M/c wait + food delay (a star dish out = nobody served until the refill).</t>
  </si>
  <si>
    <t xml:space="preserve">5. Equal-wait split: find the share p of arrivals for Central at which both predicted waits are equal (Wardrop equilibrium, by bisection).</t>
  </si>
  <si>
    <t xml:space="preserve">6. Door advice: at the busier mess's door, ask a share (h − p) ÷ (h × κ) of students to switch (h = habit share, κ = share who follow).</t>
  </si>
  <si>
    <t xml:space="preserve">7. Threshold: only advise a switch if it saves at least the minimum saving after the 30 s walk; otherwise 'come in, this is still your fastest'.</t>
  </si>
  <si>
    <t xml:space="preserve">8. Feedback: the advice changes arrivals, which changes the next scans and the next estimate, so it never sends everyone to one mess (no herding).</t>
  </si>
  <si>
    <t xml:space="preserve">2. Try the rule (change the blue cells)</t>
  </si>
  <si>
    <t xml:space="preserve">Predicted wait if you stay at Central (min)</t>
  </si>
  <si>
    <t xml:space="preserve">Predicted wait at Munch (min)</t>
  </si>
  <si>
    <t xml:space="preserve">Walk between doors (min)</t>
  </si>
  <si>
    <t xml:space="preserve">Minimum saving to suggest a switch (min)</t>
  </si>
  <si>
    <t xml:space="preserve">Habit share h for Central</t>
  </si>
  <si>
    <t xml:space="preserve">Equal-wait share p for Central (from the engine)</t>
  </si>
  <si>
    <t xml:space="preserve">Share who follow κ</t>
  </si>
  <si>
    <t xml:space="preserve">Saving after the walk (min)</t>
  </si>
  <si>
    <t xml:space="preserve">Share of arrivals at Central's door asked to switch</t>
  </si>
  <si>
    <t xml:space="preserve">What the screen outside Central says</t>
  </si>
  <si>
    <t xml:space="preserve">3. What the screens decided at moments of one simulated lunch (seed 0, with screens)</t>
  </si>
  <si>
    <t xml:space="preserve">Time</t>
  </si>
  <si>
    <t xml:space="preserve">Central: arrivals /min</t>
  </si>
  <si>
    <t xml:space="preserve">Central: predicted wait (min)</t>
  </si>
  <si>
    <t xml:space="preserve">Munch: arrivals /min</t>
  </si>
  <si>
    <t xml:space="preserve">Munch: predicted wait (min)</t>
  </si>
  <si>
    <t xml:space="preserve">Equal-wait share for Central</t>
  </si>
  <si>
    <t xml:space="preserve">Central door: share asked to switch</t>
  </si>
  <si>
    <t xml:space="preserve">Saving (min)</t>
  </si>
  <si>
    <t xml:space="preserve">Screen outside Central</t>
  </si>
  <si>
    <t xml:space="preserve">Come on in</t>
  </si>
  <si>
    <t xml:space="preserve">13:15</t>
  </si>
  <si>
    <t xml:space="preserve">Munch is faster right now →</t>
  </si>
  <si>
    <t xml:space="preserve">13:35</t>
  </si>
  <si>
    <t xml:space="preserve">4. When routing happens: students asked to switch per 10-min slot (with screens; simulated average)</t>
  </si>
  <si>
    <t xml:space="preserve">Students deciding</t>
  </si>
  <si>
    <t xml:space="preserve">Asked to switch</t>
  </si>
  <si>
    <t xml:space="preserve">Actually switched</t>
  </si>
  <si>
    <t xml:space="preserve">Share asked</t>
  </si>
  <si>
    <t xml:space="preserve">Departments on lunch break</t>
  </si>
  <si>
    <t xml:space="preserve">The screens stay quiet when both messes are quick (before 12:00, and between the surges) and ask students to walk only when Central's predicted wait exceeds Munch's by more than the minimum saving: in the 12:00 and 13:00–13:30 surges. Students are never assigned; each one sees advice based on the queue at that moment.</t>
  </si>
  <si>
    <t xml:space="preserve">MIT, SMI</t>
  </si>
  <si>
    <t xml:space="preserve">MIT, DOC/MICFE, SMI, MIRM</t>
  </si>
  <si>
    <t xml:space="preserve">MIT, DOC/MICFE, SMI, DLHS/MILHS, MIRM</t>
  </si>
  <si>
    <t xml:space="preserve">MIT, DOC/MICFE, SMI, DLHS/MILHS, MLS, MIRM</t>
  </si>
  <si>
    <t xml:space="preserve">MIT (lab day), TAPMI, DOC/MICFE, DLHS/MILHS, MLS, MIRM</t>
  </si>
  <si>
    <t xml:space="preserve">MIT (lab day), TAPMI, DLHS/MILHS, MLS</t>
  </si>
  <si>
    <t xml:space="preserve">MIT (lab day), TAPMI, MLS</t>
  </si>
  <si>
    <t xml:space="preserve">MIT (lab day), TAPMI</t>
  </si>
  <si>
    <t xml:space="preserve">Total</t>
  </si>
  <si>
    <t xml:space="preserve">5. Static rules vs dynamic routing (average day, simulated)</t>
  </si>
  <si>
    <t xml:space="preserve">Rule</t>
  </si>
  <si>
    <t xml:space="preserve">Average wait (min)</t>
  </si>
  <si>
    <t xml:space="preserve">90th pct wait (min)</t>
  </si>
  <si>
    <t xml:space="preserve">Students waiting &gt; 10 min</t>
  </si>
  <si>
    <t xml:space="preserve">Share eating at Munch</t>
  </si>
  <si>
    <t xml:space="preserve">Students moved from their usual mess</t>
  </si>
  <si>
    <t xml:space="preserve">Munch stock-outs per lunch</t>
  </si>
  <si>
    <t xml:space="preserve">Peak queue: Central</t>
  </si>
  <si>
    <t xml:space="preserve">Peak queue: Munch</t>
  </si>
  <si>
    <t xml:space="preserve">Today: habit 80/20, no screens</t>
  </si>
  <si>
    <t xml:space="preserve">Static: freshers to Munch (25% of every department) (enforced: all obey)</t>
  </si>
  <si>
    <t xml:space="preserve">Static: fixed 40% to Munch (enforced: all obey)</t>
  </si>
  <si>
    <t xml:space="preserve">Static: fixed 50/50 split (equal stations) (enforced: all obey)</t>
  </si>
  <si>
    <t xml:space="preserve">Static: 40% assigned to Munch, 60% obey</t>
  </si>
  <si>
    <t xml:space="preserve">Static: TAPMI + DOC/MICFE to Munch, rest to Central (enforced: all obey)</t>
  </si>
  <si>
    <t xml:space="preserve">Static: MIT to Munch, rest to Central (enforced: all obey)</t>
  </si>
  <si>
    <t xml:space="preserve">Dynamic: Smart Scan screens (60% follow)</t>
  </si>
  <si>
    <t xml:space="preserve">Dynamic: Smart Scan screens (everyone follows)</t>
  </si>
  <si>
    <t xml:space="preserve">6. Does the rule hold on other kinds of day? Average wait (min)</t>
  </si>
  <si>
    <t xml:space="preserve">Average day</t>
  </si>
  <si>
    <t xml:space="preserve">Normal day (-20% students)</t>
  </si>
  <si>
    <t xml:space="preserve">Busy day (+20% students)</t>
  </si>
  <si>
    <t xml:space="preserve">No MIT labs (MIT + SMI at 12:00)</t>
  </si>
  <si>
    <t xml:space="preserve">Heavy lab day (70% of MIT at 13:00)</t>
  </si>
  <si>
    <t xml:space="preserve">Late refills (next batch never ready)</t>
  </si>
  <si>
    <t xml:space="preserve">Best rule on this kind of day</t>
  </si>
  <si>
    <t xml:space="preserve">Dynamic (60% follow) vs a fixed 40% share at the SAME 60% compliance: minutes saved</t>
  </si>
  <si>
    <t xml:space="preserve">7. Why 'department / year X eats at mess Y' does not work, and why the routing must be dynamic</t>
  </si>
  <si>
    <t xml:space="preserve">1. It has been tried. The messes first split students by year: freshers at Munch, seniors at Central. Simulated, that rule (freshers ≈ 25% of every department, assumed) still leaves an average wait of 2.8 min and 202 students waiting over 10 min, against 4.4 min today: it moves too few students, and the wrong ones, because who you are does not tell you when the queue is long.</t>
  </si>
  <si>
    <t xml:space="preserve">2. Department rules overload the other mess instead. Sending TAPMI and DOC/MICFE to Munch puts their whole 13:05 surge on Munch's two stations (peak queue 122 at Munch); average wait 2.0 min. On a day with no MIT labs it gives 9.3 min, worse than doing nothing (8.9).</t>
  </si>
  <si>
    <t xml:space="preserve">3. Demand moves with the timetable. The surge depends on which departments break when (lab days, TAPMI at 13:05), so the right split changes from slot to slot and day to day. A fixed rule is right at one moment and wrong at the next; the screens re-decide every 5 seconds.</t>
  </si>
  <si>
    <t xml:space="preserve">4. Food changes the answer. A run-out at one mess makes it the slow one for 10–30 minutes. A static rule keeps sending students there; the dynamic rule treats a star-dish run-out as an outage and routes around it. With late refills, the fixed 50/50 split averages 1.77 min vs 0.90 with the screens.</t>
  </si>
  <si>
    <t xml:space="preserve">5. A well-chosen fixed share only works if it is enforced. A fixed 40% to Munch, obeyed by everyone, averages 0.52 min, similar to the screens (0.81). But it forces about 578 students a day to change mess, every day and in every slot, including when both messes are empty; doubles Munch's food demand (0.5 Munch stock-outs per lunch vs 0.0); and 40% was found by our own simulation sweep, with hindsight. At the same 60% compliance as the screens it averages 1.43 min, worse than the screens on every busy kind of day (row 83).</t>
  </si>
  <si>
    <t xml:space="preserve">6. The screens move fewer students for more benefit: about 285 students walk over, only in the surges, and only when it saves at least 2 minutes after the walk. Nobody is assigned; advice is a nudge, and students who ignore it still get the shortest wait available to them.</t>
  </si>
  <si>
    <t xml:space="preserve">8. Average wait by 10-min slot (both messes, weighted by students): today vs static rules vs dynamic</t>
  </si>
  <si>
    <t xml:space="preserve">Checks: every one should say OK</t>
  </si>
  <si>
    <t xml:space="preserve">Recalculate after changing inputs</t>
  </si>
  <si>
    <t xml:space="preserve">Check</t>
  </si>
  <si>
    <t xml:space="preserve">Result</t>
  </si>
  <si>
    <t xml:space="preserve">Simulated arrivals add up to the students per lunch (within 2%)</t>
  </si>
  <si>
    <t xml:space="preserve">No formula errors in Q1 Scanner</t>
  </si>
  <si>
    <t xml:space="preserve">No formula errors in Q2 Serving stations</t>
  </si>
  <si>
    <t xml:space="preserve">No formula errors in Q3 Seats &amp; disposal</t>
  </si>
  <si>
    <t xml:space="preserve">No formula errors in Capacity</t>
  </si>
  <si>
    <t xml:space="preserve">Little's Law over the whole lunch (today, Central): Σ people-minutes inside ≈ Σ arrivals × visit time</t>
  </si>
  <si>
    <t xml:space="preserve">Seats never the constraint: peak seat utilisation below 100% (both messes)</t>
  </si>
  <si>
    <t xml:space="preserve">Dynamic routing beats a fixed share at the same compliance on the average day</t>
  </si>
  <si>
    <t xml:space="preserve">All checks</t>
  </si>
  <si>
    <t xml:space="preserve">Over a whole lunch, Σ(time-average people inside × 10 min) = Σ(arrivals × visit time) exactly; the check allows 10% because students who arrive late in a slot spill their minutes into the next one and the run ends when the last student has a seat.</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</si>
</sst>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
    <numFmt numFmtId="169" formatCode="0.0"/>
    <numFmt numFmtId="170" formatCode="0.00"/>
    <numFmt numFmtId="171" formatCode="0.000"/>
    <numFmt numFmtId="172" formatCode="\+0.00;\-0.00"/>
  </numFmts>
  <fonts count="15">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000000"/>
      <name val="Arial"/>
      <family val="0"/>
      <charset val="1"/>
    </font>
    <font>
      <sz val="10"/>
      <color rgb="FF0000FF"/>
      <name val="Arial"/>
      <family val="0"/>
      <charset val="1"/>
    </font>
    <font>
      <sz val="10"/>
      <color rgb="FF000000"/>
      <name val="Arial"/>
      <family val="0"/>
      <charset val="1"/>
    </font>
    <font>
      <sz val="10"/>
      <color rgb="FF008000"/>
      <name val="Arial"/>
      <family val="0"/>
      <charset val="1"/>
    </font>
    <font>
      <u val="single"/>
      <sz val="10"/>
      <color rgb="FF0563C1"/>
      <name val="Arial"/>
      <family val="0"/>
      <charset val="1"/>
    </font>
    <font>
      <i val="true"/>
      <sz val="10"/>
      <color rgb="FF595959"/>
      <name val="Arial"/>
      <family val="0"/>
      <charset val="1"/>
    </font>
    <font>
      <b val="true"/>
      <sz val="10"/>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s>
  <fills count="8">
    <fill>
      <patternFill patternType="none"/>
    </fill>
    <fill>
      <patternFill patternType="gray125"/>
    </fill>
    <fill>
      <patternFill patternType="solid">
        <fgColor rgb="FF1F3A5F"/>
        <bgColor rgb="FF333399"/>
      </patternFill>
    </fill>
    <fill>
      <patternFill patternType="solid">
        <fgColor rgb="FFFFFF00"/>
        <bgColor rgb="FFFFFF00"/>
      </patternFill>
    </fill>
    <fill>
      <patternFill patternType="solid">
        <fgColor rgb="FFF2F2F2"/>
        <bgColor rgb="FFEEF4FB"/>
      </patternFill>
    </fill>
    <fill>
      <patternFill patternType="solid">
        <fgColor rgb="FFE8F3E8"/>
        <bgColor rgb="FFF2F2F2"/>
      </patternFill>
    </fill>
    <fill>
      <patternFill patternType="solid">
        <fgColor rgb="FFE7E6E1"/>
        <bgColor rgb="FFE8F3E8"/>
      </patternFill>
    </fill>
    <fill>
      <patternFill patternType="solid">
        <fgColor rgb="FFEEF4FB"/>
        <bgColor rgb="FFF2F2F2"/>
      </patternFill>
    </fill>
  </fills>
  <borders count="2">
    <border diagonalUp="false" diagonalDown="false">
      <left/>
      <right/>
      <top/>
      <bottom/>
      <diagonal/>
    </border>
    <border diagonalUp="false" diagonalDown="false">
      <left style="thin">
        <color rgb="FFC9C8C3"/>
      </left>
      <right style="thin">
        <color rgb="FFC9C8C3"/>
      </right>
      <top style="thin">
        <color rgb="FFC9C8C3"/>
      </top>
      <bottom style="thin">
        <color rgb="FFC9C8C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5" fontId="8" fillId="5" borderId="1" xfId="0" applyFont="true" applyBorder="true" applyAlignment="false" applyProtection="false">
      <alignment horizontal="general" vertical="bottom" textRotation="0" wrapText="false" indent="0" shrinkToFit="false"/>
      <protection locked="true" hidden="false"/>
    </xf>
    <xf numFmtId="164" fontId="8" fillId="5"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6"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8" fontId="6" fillId="3" borderId="1" xfId="0" applyFont="true" applyBorder="true" applyAlignment="false" applyProtection="false">
      <alignment horizontal="general" vertical="bottom" textRotation="0" wrapText="false" indent="0" shrinkToFit="false"/>
      <protection locked="true" hidden="false"/>
    </xf>
    <xf numFmtId="169" fontId="6" fillId="3" borderId="1" xfId="0" applyFont="true" applyBorder="true" applyAlignment="false" applyProtection="false">
      <alignment horizontal="general" vertical="bottom" textRotation="0" wrapText="false" indent="0" shrinkToFit="false"/>
      <protection locked="true" hidden="false"/>
    </xf>
    <xf numFmtId="165" fontId="6" fillId="3" borderId="1" xfId="0" applyFont="true" applyBorder="true" applyAlignment="false" applyProtection="false">
      <alignment horizontal="general" vertical="bottom" textRotation="0" wrapText="fals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70" fontId="6" fillId="4" borderId="1" xfId="0" applyFont="tru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9" fontId="6" fillId="4" borderId="1" xfId="0" applyFont="true" applyBorder="true" applyAlignment="false" applyProtection="false">
      <alignment horizontal="general" vertical="bottom" textRotation="0" wrapText="false" indent="0" shrinkToFit="false"/>
      <protection locked="true" hidden="false"/>
    </xf>
    <xf numFmtId="164" fontId="7" fillId="7" borderId="0" xfId="0" applyFont="true" applyBorder="true" applyAlignment="true" applyProtection="false">
      <alignment horizontal="general" vertical="top" textRotation="0" wrapText="true" indent="0" shrinkToFit="false"/>
      <protection locked="true" hidden="false"/>
    </xf>
    <xf numFmtId="165" fontId="7" fillId="5" borderId="1" xfId="0" applyFont="true" applyBorder="true" applyAlignment="false" applyProtection="false">
      <alignment horizontal="general" vertical="bottom" textRotation="0" wrapText="false" indent="0" shrinkToFit="false"/>
      <protection locked="true" hidden="false"/>
    </xf>
    <xf numFmtId="168" fontId="7" fillId="5"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9" fontId="8" fillId="5" borderId="1" xfId="0" applyFont="true" applyBorder="true" applyAlignment="false" applyProtection="false">
      <alignment horizontal="general" vertical="bottom" textRotation="0" wrapText="false" indent="0" shrinkToFit="false"/>
      <protection locked="true" hidden="false"/>
    </xf>
    <xf numFmtId="170" fontId="7" fillId="5" borderId="1" xfId="0" applyFont="true" applyBorder="true" applyAlignment="false" applyProtection="false">
      <alignment horizontal="general" vertical="bottom" textRotation="0" wrapText="false" indent="0" shrinkToFit="false"/>
      <protection locked="true" hidden="false"/>
    </xf>
    <xf numFmtId="169" fontId="7" fillId="5"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5" fontId="6" fillId="4" borderId="1" xfId="0" applyFont="true" applyBorder="true" applyAlignment="false" applyProtection="false">
      <alignment horizontal="general" vertical="bottom" textRotation="0" wrapText="false" indent="0" shrinkToFit="false"/>
      <protection locked="true" hidden="false"/>
    </xf>
    <xf numFmtId="168" fontId="6" fillId="4"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72" fontId="7" fillId="5"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E7E6E1"/>
          <bgColor rgb="FF000000"/>
        </patternFill>
      </fill>
    </dxf>
    <dxf>
      <fill>
        <patternFill patternType="solid">
          <bgColor rgb="FF000000"/>
        </patternFill>
      </fill>
    </dxf>
    <dxf>
      <fill>
        <patternFill patternType="solid">
          <fgColor rgb="FF000000"/>
          <bgColor rgb="FF000000"/>
        </patternFill>
      </fill>
    </dxf>
    <dxf>
      <fill>
        <patternFill patternType="solid">
          <fgColor rgb="FFF2F2F2"/>
          <bgColor rgb="FF000000"/>
        </patternFill>
      </fill>
    </dxf>
    <dxf>
      <fill>
        <patternFill patternType="solid">
          <fgColor rgb="FF0000FF"/>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9C8C3"/>
      <rgbColor rgb="FF878787"/>
      <rgbColor rgb="FF9999FF"/>
      <rgbColor rgb="FFBE4B48"/>
      <rgbColor rgb="FFF2F2F2"/>
      <rgbColor rgb="FFE8F3E8"/>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EF4FB"/>
      <rgbColor rgb="FFE7E6E1"/>
      <rgbColor rgb="FFFFFF99"/>
      <rgbColor rgb="FF99CCFF"/>
      <rgbColor rgb="FFFF99CC"/>
      <rgbColor rgb="FFCC99FF"/>
      <rgbColor rgb="FFFFCC99"/>
      <rgbColor rgb="FF4A7EBB"/>
      <rgbColor rgb="FF46AAC4"/>
      <rgbColor rgb="FF98B855"/>
      <rgbColor rgb="FFFFCC00"/>
      <rgbColor rgb="FFFF9900"/>
      <rgbColor rgb="FFFF6600"/>
      <rgbColor rgb="FF7D5FA0"/>
      <rgbColor rgb="FF969696"/>
      <rgbColor rgb="FF1F3A5F"/>
      <rgbColor rgb="FF4F81BD"/>
      <rgbColor rgb="FF003300"/>
      <rgbColor rgb="FF333300"/>
      <rgbColor rgb="FF993300"/>
      <rgbColor rgb="FFC0504D"/>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Biometric scan: utilisation ρ per 10-min slot</a:t>
            </a:r>
          </a:p>
        </c:rich>
      </c:tx>
      <c:overlay val="0"/>
      <c:spPr>
        <a:noFill/>
        <a:ln w="0">
          <a:noFill/>
        </a:ln>
      </c:spPr>
    </c:title>
    <c:autoTitleDeleted val="0"/>
    <c:plotArea>
      <c:lineChart>
        <c:grouping val="standard"/>
        <c:varyColors val="0"/>
        <c:ser>
          <c:idx val="0"/>
          <c:order val="0"/>
          <c:tx>
            <c:strRef>
              <c:f>'Q1 Scanner'!B88</c:f>
              <c:strCache>
                <c:ptCount val="1"/>
                <c:pt idx="0">
                  <c:v>Central CT, Today</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'Q1 Scanner'!$A$89:$A$106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'Q1 Scanner'!$B$89:$B$106</c:f>
              <c:numCache>
                <c:formatCode>0%</c:formatCode>
                <c:ptCount val="18"/>
                <c:pt idx="0">
                  <c:v>0</c:v>
                </c:pt>
                <c:pt idx="1">
                  <c:v>0</c:v>
                </c:pt>
                <c:pt idx="2">
                  <c:v>0</c:v>
                </c:pt>
                <c:pt idx="3">
                  <c:v>0.483516</c:v>
                </c:pt>
                <c:pt idx="4">
                  <c:v>0.626918</c:v>
                </c:pt>
                <c:pt idx="5">
                  <c:v>0.62499</c:v>
                </c:pt>
                <c:pt idx="6">
                  <c:v>0.7676525</c:v>
                </c:pt>
                <c:pt idx="7">
                  <c:v>0.67969</c:v>
                </c:pt>
                <c:pt idx="8">
                  <c:v>0.561438</c:v>
                </c:pt>
                <c:pt idx="9">
                  <c:v>0.758347</c:v>
                </c:pt>
                <c:pt idx="10">
                  <c:v>0.987304</c:v>
                </c:pt>
                <c:pt idx="11">
                  <c:v>0.937723</c:v>
                </c:pt>
                <c:pt idx="12">
                  <c:v>0.70882</c:v>
                </c:pt>
                <c:pt idx="13">
                  <c:v>0.486805</c:v>
                </c:pt>
                <c:pt idx="14">
                  <c:v>0.240912</c:v>
                </c:pt>
                <c:pt idx="15">
                  <c:v>0</c:v>
                </c:pt>
                <c:pt idx="16">
                  <c:v>0</c:v>
                </c:pt>
                <c:pt idx="17">
                  <c:v>0</c:v>
                </c:pt>
              </c:numCache>
            </c:numRef>
          </c:val>
          <c:smooth val="1"/>
        </c:ser>
        <c:ser>
          <c:idx val="1"/>
          <c:order val="1"/>
          <c:tx>
            <c:strRef>
              <c:f>'Q1 Scanner'!C88</c:f>
              <c:strCache>
                <c:ptCount val="1"/>
                <c:pt idx="0">
                  <c:v>Munch Mess, Today</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'Q1 Scanner'!$A$89:$A$106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'Q1 Scanner'!$C$89:$C$106</c:f>
              <c:numCache>
                <c:formatCode>0%</c:formatCode>
                <c:ptCount val="18"/>
                <c:pt idx="0">
                  <c:v>0</c:v>
                </c:pt>
                <c:pt idx="1">
                  <c:v>0</c:v>
                </c:pt>
                <c:pt idx="2">
                  <c:v>0</c:v>
                </c:pt>
                <c:pt idx="3">
                  <c:v>0.130368</c:v>
                </c:pt>
                <c:pt idx="4">
                  <c:v>0.15544</c:v>
                </c:pt>
                <c:pt idx="5">
                  <c:v>0.157262</c:v>
                </c:pt>
                <c:pt idx="6">
                  <c:v>0.191382</c:v>
                </c:pt>
                <c:pt idx="7">
                  <c:v>0.178488</c:v>
                </c:pt>
                <c:pt idx="8">
                  <c:v>0.147</c:v>
                </c:pt>
                <c:pt idx="9">
                  <c:v>0.189945</c:v>
                </c:pt>
                <c:pt idx="10">
                  <c:v>0.2475855</c:v>
                </c:pt>
                <c:pt idx="11">
                  <c:v>0.24549</c:v>
                </c:pt>
                <c:pt idx="12">
                  <c:v>0.175028</c:v>
                </c:pt>
                <c:pt idx="13">
                  <c:v>0.11725</c:v>
                </c:pt>
                <c:pt idx="14">
                  <c:v>0.0611375</c:v>
                </c:pt>
                <c:pt idx="15">
                  <c:v>0</c:v>
                </c:pt>
                <c:pt idx="16">
                  <c:v>0</c:v>
                </c:pt>
                <c:pt idx="17">
                  <c:v>0</c:v>
                </c:pt>
              </c:numCache>
            </c:numRef>
          </c:val>
          <c:smooth val="1"/>
        </c:ser>
        <c:ser>
          <c:idx val="2"/>
          <c:order val="2"/>
          <c:tx>
            <c:strRef>
              <c:f>'Q1 Scanner'!D88</c:f>
              <c:strCache>
                <c:ptCount val="1"/>
                <c:pt idx="0">
                  <c:v>Central CT, With Smart Scan screens</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'Q1 Scanner'!$A$89:$A$106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'Q1 Scanner'!$D$89:$D$106</c:f>
              <c:numCache>
                <c:formatCode>0%</c:formatCode>
                <c:ptCount val="18"/>
                <c:pt idx="0">
                  <c:v>0</c:v>
                </c:pt>
                <c:pt idx="1">
                  <c:v>0</c:v>
                </c:pt>
                <c:pt idx="2">
                  <c:v>0</c:v>
                </c:pt>
                <c:pt idx="3">
                  <c:v>0.483516</c:v>
                </c:pt>
                <c:pt idx="4">
                  <c:v>0.626918</c:v>
                </c:pt>
                <c:pt idx="5">
                  <c:v>0.618018</c:v>
                </c:pt>
                <c:pt idx="6">
                  <c:v>0.7214225</c:v>
                </c:pt>
                <c:pt idx="7">
                  <c:v>0.617232</c:v>
                </c:pt>
                <c:pt idx="8">
                  <c:v>0.512608</c:v>
                </c:pt>
                <c:pt idx="9">
                  <c:v>0.709982</c:v>
                </c:pt>
                <c:pt idx="10">
                  <c:v>0.710084</c:v>
                </c:pt>
                <c:pt idx="11">
                  <c:v>0.659149</c:v>
                </c:pt>
                <c:pt idx="12">
                  <c:v>0.574425</c:v>
                </c:pt>
                <c:pt idx="13">
                  <c:v>0.439711</c:v>
                </c:pt>
                <c:pt idx="14">
                  <c:v>0.238761</c:v>
                </c:pt>
                <c:pt idx="15">
                  <c:v>0</c:v>
                </c:pt>
                <c:pt idx="16">
                  <c:v>0</c:v>
                </c:pt>
                <c:pt idx="17">
                  <c:v>0</c:v>
                </c:pt>
              </c:numCache>
            </c:numRef>
          </c:val>
          <c:smooth val="1"/>
        </c:ser>
        <c:ser>
          <c:idx val="3"/>
          <c:order val="3"/>
          <c:tx>
            <c:strRef>
              <c:f>'Q1 Scanner'!E88</c:f>
              <c:strCache>
                <c:ptCount val="1"/>
                <c:pt idx="0">
                  <c:v>Munch Mess, With Smart Scan screens</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'Q1 Scanner'!$A$89:$A$106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'Q1 Scanner'!$E$89:$E$106</c:f>
              <c:numCache>
                <c:formatCode>0%</c:formatCode>
                <c:ptCount val="18"/>
                <c:pt idx="0">
                  <c:v>0</c:v>
                </c:pt>
                <c:pt idx="1">
                  <c:v>0</c:v>
                </c:pt>
                <c:pt idx="2">
                  <c:v>0</c:v>
                </c:pt>
                <c:pt idx="3">
                  <c:v>0.130368</c:v>
                </c:pt>
                <c:pt idx="4">
                  <c:v>0.15544</c:v>
                </c:pt>
                <c:pt idx="5">
                  <c:v>0.165169</c:v>
                </c:pt>
                <c:pt idx="6">
                  <c:v>0.237783</c:v>
                </c:pt>
                <c:pt idx="7">
                  <c:v>0.245219</c:v>
                </c:pt>
                <c:pt idx="8">
                  <c:v>0.196392</c:v>
                </c:pt>
                <c:pt idx="9">
                  <c:v>0.2182945</c:v>
                </c:pt>
                <c:pt idx="10">
                  <c:v>0.518346</c:v>
                </c:pt>
                <c:pt idx="11">
                  <c:v>0.535464</c:v>
                </c:pt>
                <c:pt idx="12">
                  <c:v>0.3215115</c:v>
                </c:pt>
                <c:pt idx="13">
                  <c:v>0.167835</c:v>
                </c:pt>
                <c:pt idx="14">
                  <c:v>0.0600425</c:v>
                </c:pt>
                <c:pt idx="15">
                  <c:v>0</c:v>
                </c:pt>
                <c:pt idx="16">
                  <c:v>0</c:v>
                </c:pt>
                <c:pt idx="17">
                  <c:v>0</c:v>
                </c:pt>
              </c:numCache>
            </c:numRef>
          </c:val>
          <c:smooth val="1"/>
        </c:ser>
        <c:ser>
          <c:idx val="4"/>
          <c:order val="4"/>
          <c:tx>
            <c:strRef>
              <c:f>'Q1 Scanner'!F88</c:f>
              <c:strCache>
                <c:ptCount val="1"/>
                <c:pt idx="0">
                  <c:v>Capacity (ρ = 1)</c:v>
                </c:pt>
              </c:strCache>
            </c:strRef>
          </c:tx>
          <c:spPr>
            <a:solidFill>
              <a:srgbClr val="46aac4"/>
            </a:solidFill>
            <a:ln w="28440">
              <a:solidFill>
                <a:srgbClr val="46aac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'Q1 Scanner'!$A$89:$A$106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'Q1 Scanner'!$F$89:$F$106</c:f>
              <c:numCache>
                <c:formatCode>0%</c:formatCode>
                <c:ptCount val="18"/>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numCache>
            </c:numRef>
          </c:val>
          <c:smooth val="1"/>
        </c:ser>
        <c:hiLowLines>
          <c:spPr>
            <a:ln w="0">
              <a:noFill/>
            </a:ln>
          </c:spPr>
        </c:hiLowLines>
        <c:marker val="0"/>
        <c:axId val="1769301"/>
        <c:axId val="94512049"/>
      </c:lineChart>
      <c:catAx>
        <c:axId val="176930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512049"/>
        <c:crosses val="autoZero"/>
        <c:auto val="1"/>
        <c:lblAlgn val="ctr"/>
        <c:lblOffset val="100"/>
        <c:noMultiLvlLbl val="0"/>
      </c:catAx>
      <c:valAx>
        <c:axId val="9451204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ρ</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6930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Serving stations: utilisation ρ per 10-min slot</a:t>
            </a:r>
          </a:p>
        </c:rich>
      </c:tx>
      <c:overlay val="0"/>
      <c:spPr>
        <a:noFill/>
        <a:ln w="0">
          <a:noFill/>
        </a:ln>
      </c:spPr>
    </c:title>
    <c:autoTitleDeleted val="0"/>
    <c:plotArea>
      <c:lineChart>
        <c:grouping val="standard"/>
        <c:varyColors val="0"/>
        <c:ser>
          <c:idx val="0"/>
          <c:order val="0"/>
          <c:tx>
            <c:strRef>
              <c:f>'Q2 Serving stations'!B88</c:f>
              <c:strCache>
                <c:ptCount val="1"/>
                <c:pt idx="0">
                  <c:v>Central CT, Today</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'Q2 Serving stations'!$A$89:$A$106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'Q2 Serving stations'!$B$89:$B$106</c:f>
              <c:numCache>
                <c:formatCode>0%</c:formatCode>
                <c:ptCount val="18"/>
                <c:pt idx="0">
                  <c:v>0</c:v>
                </c:pt>
                <c:pt idx="1">
                  <c:v>0</c:v>
                </c:pt>
                <c:pt idx="2">
                  <c:v>0</c:v>
                </c:pt>
                <c:pt idx="3">
                  <c:v>0.675545</c:v>
                </c:pt>
                <c:pt idx="4">
                  <c:v>0.92298425</c:v>
                </c:pt>
                <c:pt idx="5">
                  <c:v>0.949949</c:v>
                </c:pt>
                <c:pt idx="6">
                  <c:v>1.11428125</c:v>
                </c:pt>
                <c:pt idx="7">
                  <c:v>1.018353</c:v>
                </c:pt>
                <c:pt idx="8">
                  <c:v>0.866669</c:v>
                </c:pt>
                <c:pt idx="9">
                  <c:v>1.0666365</c:v>
                </c:pt>
                <c:pt idx="10">
                  <c:v>1.4499485</c:v>
                </c:pt>
                <c:pt idx="11">
                  <c:v>1.44480375</c:v>
                </c:pt>
                <c:pt idx="12">
                  <c:v>1.123702</c:v>
                </c:pt>
                <c:pt idx="13">
                  <c:v>0.75141</c:v>
                </c:pt>
                <c:pt idx="14">
                  <c:v>0.372986</c:v>
                </c:pt>
                <c:pt idx="15">
                  <c:v>0.007614</c:v>
                </c:pt>
                <c:pt idx="16">
                  <c:v>0</c:v>
                </c:pt>
                <c:pt idx="17">
                  <c:v>0</c:v>
                </c:pt>
              </c:numCache>
            </c:numRef>
          </c:val>
          <c:smooth val="1"/>
        </c:ser>
        <c:ser>
          <c:idx val="1"/>
          <c:order val="1"/>
          <c:tx>
            <c:strRef>
              <c:f>'Q2 Serving stations'!C88</c:f>
              <c:strCache>
                <c:ptCount val="1"/>
                <c:pt idx="0">
                  <c:v>Munch Mess, Today</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'Q2 Serving stations'!$A$89:$A$106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'Q2 Serving stations'!$C$89:$C$106</c:f>
              <c:numCache>
                <c:formatCode>0%</c:formatCode>
                <c:ptCount val="18"/>
                <c:pt idx="0">
                  <c:v>0</c:v>
                </c:pt>
                <c:pt idx="1">
                  <c:v>0</c:v>
                </c:pt>
                <c:pt idx="2">
                  <c:v>0</c:v>
                </c:pt>
                <c:pt idx="3">
                  <c:v>0.1796925</c:v>
                </c:pt>
                <c:pt idx="4">
                  <c:v>0.238221</c:v>
                </c:pt>
                <c:pt idx="5">
                  <c:v>0.244975</c:v>
                </c:pt>
                <c:pt idx="6">
                  <c:v>0.2769</c:v>
                </c:pt>
                <c:pt idx="7">
                  <c:v>0.2772015</c:v>
                </c:pt>
                <c:pt idx="8">
                  <c:v>0.219387</c:v>
                </c:pt>
                <c:pt idx="9">
                  <c:v>0.27536625</c:v>
                </c:pt>
                <c:pt idx="10">
                  <c:v>0.381147</c:v>
                </c:pt>
                <c:pt idx="11">
                  <c:v>0.373059</c:v>
                </c:pt>
                <c:pt idx="12">
                  <c:v>0.2592</c:v>
                </c:pt>
                <c:pt idx="13">
                  <c:v>0.1740595</c:v>
                </c:pt>
                <c:pt idx="14">
                  <c:v>0.09465525</c:v>
                </c:pt>
                <c:pt idx="15">
                  <c:v>0.001926</c:v>
                </c:pt>
                <c:pt idx="16">
                  <c:v>0</c:v>
                </c:pt>
                <c:pt idx="17">
                  <c:v>0</c:v>
                </c:pt>
              </c:numCache>
            </c:numRef>
          </c:val>
          <c:smooth val="1"/>
        </c:ser>
        <c:ser>
          <c:idx val="2"/>
          <c:order val="2"/>
          <c:tx>
            <c:strRef>
              <c:f>'Q2 Serving stations'!D88</c:f>
              <c:strCache>
                <c:ptCount val="1"/>
                <c:pt idx="0">
                  <c:v>Central CT, With Smart Scan screens</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'Q2 Serving stations'!$A$89:$A$106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'Q2 Serving stations'!$D$89:$D$106</c:f>
              <c:numCache>
                <c:formatCode>0%</c:formatCode>
                <c:ptCount val="18"/>
                <c:pt idx="0">
                  <c:v>0</c:v>
                </c:pt>
                <c:pt idx="1">
                  <c:v>0</c:v>
                </c:pt>
                <c:pt idx="2">
                  <c:v>0</c:v>
                </c:pt>
                <c:pt idx="3">
                  <c:v>0.675545</c:v>
                </c:pt>
                <c:pt idx="4">
                  <c:v>0.92298425</c:v>
                </c:pt>
                <c:pt idx="5">
                  <c:v>0.935625</c:v>
                </c:pt>
                <c:pt idx="6">
                  <c:v>1.0641525</c:v>
                </c:pt>
                <c:pt idx="7">
                  <c:v>0.913207</c:v>
                </c:pt>
                <c:pt idx="8">
                  <c:v>0.7845</c:v>
                </c:pt>
                <c:pt idx="9">
                  <c:v>1.05047625</c:v>
                </c:pt>
                <c:pt idx="10">
                  <c:v>1.07321</c:v>
                </c:pt>
                <c:pt idx="11">
                  <c:v>1.006922</c:v>
                </c:pt>
                <c:pt idx="12">
                  <c:v>0.883223</c:v>
                </c:pt>
                <c:pt idx="13">
                  <c:v>0.668325</c:v>
                </c:pt>
                <c:pt idx="14">
                  <c:v>0.376211</c:v>
                </c:pt>
                <c:pt idx="15">
                  <c:v>0.00802</c:v>
                </c:pt>
                <c:pt idx="16">
                  <c:v>0</c:v>
                </c:pt>
                <c:pt idx="17">
                  <c:v>0</c:v>
                </c:pt>
              </c:numCache>
            </c:numRef>
          </c:val>
          <c:smooth val="1"/>
        </c:ser>
        <c:ser>
          <c:idx val="3"/>
          <c:order val="3"/>
          <c:tx>
            <c:strRef>
              <c:f>'Q2 Serving stations'!E88</c:f>
              <c:strCache>
                <c:ptCount val="1"/>
                <c:pt idx="0">
                  <c:v>Munch Mess, With Smart Scan screens</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'Q2 Serving stations'!$A$89:$A$106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'Q2 Serving stations'!$E$89:$E$106</c:f>
              <c:numCache>
                <c:formatCode>0%</c:formatCode>
                <c:ptCount val="18"/>
                <c:pt idx="0">
                  <c:v>0</c:v>
                </c:pt>
                <c:pt idx="1">
                  <c:v>0</c:v>
                </c:pt>
                <c:pt idx="2">
                  <c:v>0</c:v>
                </c:pt>
                <c:pt idx="3">
                  <c:v>0.1796925</c:v>
                </c:pt>
                <c:pt idx="4">
                  <c:v>0.238221</c:v>
                </c:pt>
                <c:pt idx="5">
                  <c:v>0.25400375</c:v>
                </c:pt>
                <c:pt idx="6">
                  <c:v>0.34531575</c:v>
                </c:pt>
                <c:pt idx="7">
                  <c:v>0.3665965</c:v>
                </c:pt>
                <c:pt idx="8">
                  <c:v>0.2924945</c:v>
                </c:pt>
                <c:pt idx="9">
                  <c:v>0.3129365</c:v>
                </c:pt>
                <c:pt idx="10">
                  <c:v>0.790077</c:v>
                </c:pt>
                <c:pt idx="11">
                  <c:v>0.77854975</c:v>
                </c:pt>
                <c:pt idx="12">
                  <c:v>0.498232</c:v>
                </c:pt>
                <c:pt idx="13">
                  <c:v>0.2507565</c:v>
                </c:pt>
                <c:pt idx="14">
                  <c:v>0.0896325</c:v>
                </c:pt>
                <c:pt idx="15">
                  <c:v>0.002511</c:v>
                </c:pt>
                <c:pt idx="16">
                  <c:v>0</c:v>
                </c:pt>
                <c:pt idx="17">
                  <c:v>0</c:v>
                </c:pt>
              </c:numCache>
            </c:numRef>
          </c:val>
          <c:smooth val="1"/>
        </c:ser>
        <c:ser>
          <c:idx val="4"/>
          <c:order val="4"/>
          <c:tx>
            <c:strRef>
              <c:f>'Q2 Serving stations'!F88</c:f>
              <c:strCache>
                <c:ptCount val="1"/>
                <c:pt idx="0">
                  <c:v>Capacity (ρ = 1)</c:v>
                </c:pt>
              </c:strCache>
            </c:strRef>
          </c:tx>
          <c:spPr>
            <a:solidFill>
              <a:srgbClr val="46aac4"/>
            </a:solidFill>
            <a:ln w="28440">
              <a:solidFill>
                <a:srgbClr val="46aac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'Q2 Serving stations'!$A$89:$A$106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'Q2 Serving stations'!$F$89:$F$106</c:f>
              <c:numCache>
                <c:formatCode>0%</c:formatCode>
                <c:ptCount val="18"/>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numCache>
            </c:numRef>
          </c:val>
          <c:smooth val="1"/>
        </c:ser>
        <c:hiLowLines>
          <c:spPr>
            <a:ln w="0">
              <a:noFill/>
            </a:ln>
          </c:spPr>
        </c:hiLowLines>
        <c:marker val="0"/>
        <c:axId val="50400407"/>
        <c:axId val="23074622"/>
      </c:lineChart>
      <c:catAx>
        <c:axId val="5040040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074622"/>
        <c:crosses val="autoZero"/>
        <c:auto val="1"/>
        <c:lblAlgn val="ctr"/>
        <c:lblOffset val="100"/>
        <c:noMultiLvlLbl val="0"/>
      </c:catAx>
      <c:valAx>
        <c:axId val="2307462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ρ</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40040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Stage capacity (students/min): the bottleneck is the serving stations</a:t>
            </a:r>
          </a:p>
        </c:rich>
      </c:tx>
      <c:overlay val="0"/>
      <c:spPr>
        <a:noFill/>
        <a:ln w="0">
          <a:noFill/>
        </a:ln>
      </c:spPr>
    </c:title>
    <c:autoTitleDeleted val="0"/>
    <c:plotArea>
      <c:barChart>
        <c:barDir val="col"/>
        <c:grouping val="clustered"/>
        <c:varyColors val="0"/>
        <c:ser>
          <c:idx val="0"/>
          <c:order val="0"/>
          <c:tx>
            <c:strRef>
              <c:f>"Central CT"</c:f>
              <c:strCache>
                <c:ptCount val="1"/>
                <c:pt idx="0">
                  <c:v>Central CT</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Capacity!$A$24:$A$26</c:f>
              <c:strCache>
                <c:ptCount val="3"/>
                <c:pt idx="0">
                  <c:v>Scanner capacity</c:v>
                </c:pt>
                <c:pt idx="1">
                  <c:v>Serving-station capacity</c:v>
                </c:pt>
                <c:pt idx="2">
                  <c:v>Seating capacity</c:v>
                </c:pt>
              </c:strCache>
            </c:strRef>
          </c:cat>
          <c:val>
            <c:numRef>
              <c:f>Capacity!$B$24:$B$26</c:f>
              <c:numCache>
                <c:formatCode>0.0</c:formatCode>
                <c:ptCount val="3"/>
                <c:pt idx="0">
                  <c:v>30</c:v>
                </c:pt>
                <c:pt idx="1">
                  <c:v>20</c:v>
                </c:pt>
                <c:pt idx="2">
                  <c:v>66.6934300371705</c:v>
                </c:pt>
              </c:numCache>
            </c:numRef>
          </c:val>
        </c:ser>
        <c:ser>
          <c:idx val="1"/>
          <c:order val="1"/>
          <c:tx>
            <c:strRef>
              <c:f>"Munch Mess"</c:f>
              <c:strCache>
                <c:ptCount val="1"/>
                <c:pt idx="0">
                  <c:v>Munch Mess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Capacity!$A$24:$A$26</c:f>
              <c:strCache>
                <c:ptCount val="3"/>
                <c:pt idx="0">
                  <c:v>Scanner capacity</c:v>
                </c:pt>
                <c:pt idx="1">
                  <c:v>Serving-station capacity</c:v>
                </c:pt>
                <c:pt idx="2">
                  <c:v>Seating capacity</c:v>
                </c:pt>
              </c:strCache>
            </c:strRef>
          </c:cat>
          <c:val>
            <c:numRef>
              <c:f>Capacity!$C$24:$C$26</c:f>
              <c:numCache>
                <c:formatCode>0.0</c:formatCode>
                <c:ptCount val="3"/>
                <c:pt idx="0">
                  <c:v>30</c:v>
                </c:pt>
                <c:pt idx="1">
                  <c:v>20</c:v>
                </c:pt>
                <c:pt idx="2">
                  <c:v>36.4034250833933</c:v>
                </c:pt>
              </c:numCache>
            </c:numRef>
          </c:val>
        </c:ser>
        <c:gapWidth val="150"/>
        <c:overlap val="0"/>
        <c:axId val="84392248"/>
        <c:axId val="55381465"/>
      </c:barChart>
      <c:catAx>
        <c:axId val="8439224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381465"/>
        <c:crosses val="autoZero"/>
        <c:auto val="1"/>
        <c:lblAlgn val="ctr"/>
        <c:lblOffset val="100"/>
        <c:noMultiLvlLbl val="0"/>
      </c:catAx>
      <c:valAx>
        <c:axId val="55381465"/>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39224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Average wait by rule (min)</a:t>
            </a:r>
          </a:p>
        </c:rich>
      </c:tx>
      <c:overlay val="0"/>
      <c:spPr>
        <a:noFill/>
        <a:ln w="0">
          <a:noFill/>
        </a:ln>
      </c:spPr>
    </c:title>
    <c:autoTitleDeleted val="0"/>
    <c:plotArea>
      <c:barChart>
        <c:barDir val="bar"/>
        <c:grouping val="clustered"/>
        <c:varyColors val="0"/>
        <c:ser>
          <c:idx val="0"/>
          <c:order val="0"/>
          <c:tx>
            <c:strRef>
              <c:f>'Load Balancing'!B60</c:f>
              <c:strCache>
                <c:ptCount val="1"/>
                <c:pt idx="0">
                  <c:v>Average wait (min)</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'Load Balancing'!$A$61:$A$69</c:f>
              <c:strCache>
                <c:ptCount val="9"/>
                <c:pt idx="0">
                  <c:v>Today: habit 80/20, no screens</c:v>
                </c:pt>
                <c:pt idx="1">
                  <c:v>Static: freshers to Munch (25% of every department) (enforced: all obey)</c:v>
                </c:pt>
                <c:pt idx="2">
                  <c:v>Static: fixed 40% to Munch (enforced: all obey)</c:v>
                </c:pt>
                <c:pt idx="3">
                  <c:v>Static: fixed 50/50 split (equal stations) (enforced: all obey)</c:v>
                </c:pt>
                <c:pt idx="4">
                  <c:v>Static: 40% assigned to Munch, 60% obey</c:v>
                </c:pt>
                <c:pt idx="5">
                  <c:v>Static: TAPMI + DOC/MICFE to Munch, rest to Central (enforced: all obey)</c:v>
                </c:pt>
                <c:pt idx="6">
                  <c:v>Static: MIT to Munch, rest to Central (enforced: all obey)</c:v>
                </c:pt>
                <c:pt idx="7">
                  <c:v>Dynamic: Smart Scan screens (60% follow)</c:v>
                </c:pt>
                <c:pt idx="8">
                  <c:v>Dynamic: Smart Scan screens (everyone follows)</c:v>
                </c:pt>
              </c:strCache>
            </c:strRef>
          </c:cat>
          <c:val>
            <c:numRef>
              <c:f>'Load Balancing'!$B$61:$B$69</c:f>
              <c:numCache>
                <c:formatCode>0.00</c:formatCode>
                <c:ptCount val="9"/>
                <c:pt idx="0">
                  <c:v>4.39</c:v>
                </c:pt>
                <c:pt idx="1">
                  <c:v>2.8</c:v>
                </c:pt>
                <c:pt idx="2">
                  <c:v>0.52</c:v>
                </c:pt>
                <c:pt idx="3">
                  <c:v>0.53</c:v>
                </c:pt>
                <c:pt idx="4">
                  <c:v>1.43</c:v>
                </c:pt>
                <c:pt idx="5">
                  <c:v>1.97</c:v>
                </c:pt>
                <c:pt idx="6">
                  <c:v>1.72</c:v>
                </c:pt>
                <c:pt idx="7">
                  <c:v>0.81</c:v>
                </c:pt>
                <c:pt idx="8">
                  <c:v>0.7</c:v>
                </c:pt>
              </c:numCache>
            </c:numRef>
          </c:val>
        </c:ser>
        <c:gapWidth val="150"/>
        <c:overlap val="0"/>
        <c:axId val="45504616"/>
        <c:axId val="6579179"/>
      </c:barChart>
      <c:catAx>
        <c:axId val="4550461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79179"/>
        <c:crosses val="autoZero"/>
        <c:auto val="1"/>
        <c:lblAlgn val="ctr"/>
        <c:lblOffset val="100"/>
        <c:noMultiLvlLbl val="0"/>
      </c:catAx>
      <c:valAx>
        <c:axId val="6579179"/>
        <c:scaling>
          <c:orientation val="minMax"/>
        </c:scaling>
        <c:delete val="0"/>
        <c:axPos val="l"/>
        <c:majorGridlines>
          <c:spPr>
            <a:ln w="9360">
              <a:solidFill>
                <a:srgbClr val="878787"/>
              </a:solidFill>
              <a:round/>
            </a:ln>
          </c:spPr>
        </c:majorGridlines>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50461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Average wait by slot (min)</a:t>
            </a:r>
          </a:p>
        </c:rich>
      </c:tx>
      <c:overlay val="0"/>
      <c:spPr>
        <a:noFill/>
        <a:ln w="0">
          <a:noFill/>
        </a:ln>
      </c:spPr>
    </c:title>
    <c:autoTitleDeleted val="0"/>
    <c:plotArea>
      <c:lineChart>
        <c:grouping val="standard"/>
        <c:varyColors val="0"/>
        <c:ser>
          <c:idx val="0"/>
          <c:order val="0"/>
          <c:tx>
            <c:strRef>
              <c:f>'Load Balancing'!B95</c:f>
              <c:strCache>
                <c:ptCount val="1"/>
                <c:pt idx="0">
                  <c:v>Today: habit 80/20, no screens</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'Load Balancing'!$A$96:$A$113</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'Load Balancing'!$B$96:$B$113</c:f>
              <c:numCache>
                <c:formatCode>0.0</c:formatCode>
                <c:ptCount val="18"/>
                <c:pt idx="0">
                  <c:v>0</c:v>
                </c:pt>
                <c:pt idx="1">
                  <c:v>0</c:v>
                </c:pt>
                <c:pt idx="2">
                  <c:v>0</c:v>
                </c:pt>
                <c:pt idx="3">
                  <c:v>0.08</c:v>
                </c:pt>
                <c:pt idx="4">
                  <c:v>0.21</c:v>
                </c:pt>
                <c:pt idx="5">
                  <c:v>0.44</c:v>
                </c:pt>
                <c:pt idx="6">
                  <c:v>1.05</c:v>
                </c:pt>
                <c:pt idx="7">
                  <c:v>2.1</c:v>
                </c:pt>
                <c:pt idx="8">
                  <c:v>2.73</c:v>
                </c:pt>
                <c:pt idx="9">
                  <c:v>2.28</c:v>
                </c:pt>
                <c:pt idx="10">
                  <c:v>5.23</c:v>
                </c:pt>
                <c:pt idx="11">
                  <c:v>8.89</c:v>
                </c:pt>
                <c:pt idx="12">
                  <c:v>11.33</c:v>
                </c:pt>
                <c:pt idx="13">
                  <c:v>10.88</c:v>
                </c:pt>
                <c:pt idx="14">
                  <c:v>7.29</c:v>
                </c:pt>
                <c:pt idx="15">
                  <c:v>0</c:v>
                </c:pt>
                <c:pt idx="16">
                  <c:v>0</c:v>
                </c:pt>
                <c:pt idx="17">
                  <c:v>0</c:v>
                </c:pt>
              </c:numCache>
            </c:numRef>
          </c:val>
          <c:smooth val="1"/>
        </c:ser>
        <c:ser>
          <c:idx val="1"/>
          <c:order val="1"/>
          <c:tx>
            <c:strRef>
              <c:f>'Load Balancing'!C95</c:f>
              <c:strCache>
                <c:ptCount val="1"/>
                <c:pt idx="0">
                  <c:v>Static: freshers to Munch (25% of every department) (enforced: all obey)</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'Load Balancing'!$A$96:$A$113</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'Load Balancing'!$C$96:$C$113</c:f>
              <c:numCache>
                <c:formatCode>0.0</c:formatCode>
                <c:ptCount val="18"/>
                <c:pt idx="0">
                  <c:v>0</c:v>
                </c:pt>
                <c:pt idx="1">
                  <c:v>0</c:v>
                </c:pt>
                <c:pt idx="2">
                  <c:v>0</c:v>
                </c:pt>
                <c:pt idx="3">
                  <c:v>0.06</c:v>
                </c:pt>
                <c:pt idx="4">
                  <c:v>0.15</c:v>
                </c:pt>
                <c:pt idx="5">
                  <c:v>0.25</c:v>
                </c:pt>
                <c:pt idx="6">
                  <c:v>0.77</c:v>
                </c:pt>
                <c:pt idx="7">
                  <c:v>1.23</c:v>
                </c:pt>
                <c:pt idx="8">
                  <c:v>1.22</c:v>
                </c:pt>
                <c:pt idx="9">
                  <c:v>1.01</c:v>
                </c:pt>
                <c:pt idx="10">
                  <c:v>3.16</c:v>
                </c:pt>
                <c:pt idx="11">
                  <c:v>6.07</c:v>
                </c:pt>
                <c:pt idx="12">
                  <c:v>8.06</c:v>
                </c:pt>
                <c:pt idx="13">
                  <c:v>7.12</c:v>
                </c:pt>
                <c:pt idx="14">
                  <c:v>3.68</c:v>
                </c:pt>
                <c:pt idx="15">
                  <c:v>0</c:v>
                </c:pt>
                <c:pt idx="16">
                  <c:v>0</c:v>
                </c:pt>
                <c:pt idx="17">
                  <c:v>0</c:v>
                </c:pt>
              </c:numCache>
            </c:numRef>
          </c:val>
          <c:smooth val="1"/>
        </c:ser>
        <c:ser>
          <c:idx val="2"/>
          <c:order val="2"/>
          <c:tx>
            <c:strRef>
              <c:f>'Load Balancing'!D95</c:f>
              <c:strCache>
                <c:ptCount val="1"/>
                <c:pt idx="0">
                  <c:v>Static: TAPMI + DOC/MICFE to Munch, rest to Central (enforced: all obey)</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'Load Balancing'!$A$96:$A$113</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'Load Balancing'!$D$96:$D$113</c:f>
              <c:numCache>
                <c:formatCode>0.0</c:formatCode>
                <c:ptCount val="18"/>
                <c:pt idx="0">
                  <c:v>0</c:v>
                </c:pt>
                <c:pt idx="1">
                  <c:v>0</c:v>
                </c:pt>
                <c:pt idx="2">
                  <c:v>0</c:v>
                </c:pt>
                <c:pt idx="3">
                  <c:v>0.3</c:v>
                </c:pt>
                <c:pt idx="4">
                  <c:v>1.32</c:v>
                </c:pt>
                <c:pt idx="5">
                  <c:v>3.29</c:v>
                </c:pt>
                <c:pt idx="6">
                  <c:v>2.8</c:v>
                </c:pt>
                <c:pt idx="7">
                  <c:v>1.98</c:v>
                </c:pt>
                <c:pt idx="8">
                  <c:v>0.69</c:v>
                </c:pt>
                <c:pt idx="9">
                  <c:v>0.26</c:v>
                </c:pt>
                <c:pt idx="10">
                  <c:v>1.84</c:v>
                </c:pt>
                <c:pt idx="11">
                  <c:v>2.66</c:v>
                </c:pt>
                <c:pt idx="12">
                  <c:v>3.66</c:v>
                </c:pt>
                <c:pt idx="13">
                  <c:v>2.56</c:v>
                </c:pt>
                <c:pt idx="14">
                  <c:v>1.11</c:v>
                </c:pt>
                <c:pt idx="15">
                  <c:v>0</c:v>
                </c:pt>
                <c:pt idx="16">
                  <c:v>0</c:v>
                </c:pt>
                <c:pt idx="17">
                  <c:v>0</c:v>
                </c:pt>
              </c:numCache>
            </c:numRef>
          </c:val>
          <c:smooth val="1"/>
        </c:ser>
        <c:ser>
          <c:idx val="3"/>
          <c:order val="3"/>
          <c:tx>
            <c:strRef>
              <c:f>'Load Balancing'!E95</c:f>
              <c:strCache>
                <c:ptCount val="1"/>
                <c:pt idx="0">
                  <c:v>Static: 40% assigned to Munch, 60% obey</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'Load Balancing'!$A$96:$A$113</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'Load Balancing'!$E$96:$E$113</c:f>
              <c:numCache>
                <c:formatCode>0.0</c:formatCode>
                <c:ptCount val="18"/>
                <c:pt idx="0">
                  <c:v>0</c:v>
                </c:pt>
                <c:pt idx="1">
                  <c:v>0</c:v>
                </c:pt>
                <c:pt idx="2">
                  <c:v>0</c:v>
                </c:pt>
                <c:pt idx="3">
                  <c:v>0.05</c:v>
                </c:pt>
                <c:pt idx="4">
                  <c:v>0.1</c:v>
                </c:pt>
                <c:pt idx="5">
                  <c:v>0.13</c:v>
                </c:pt>
                <c:pt idx="6">
                  <c:v>0.3</c:v>
                </c:pt>
                <c:pt idx="7">
                  <c:v>0.28</c:v>
                </c:pt>
                <c:pt idx="8">
                  <c:v>0.37</c:v>
                </c:pt>
                <c:pt idx="9">
                  <c:v>0.36</c:v>
                </c:pt>
                <c:pt idx="10">
                  <c:v>1.84</c:v>
                </c:pt>
                <c:pt idx="11">
                  <c:v>3.5</c:v>
                </c:pt>
                <c:pt idx="12">
                  <c:v>4.27</c:v>
                </c:pt>
                <c:pt idx="13">
                  <c:v>3.66</c:v>
                </c:pt>
                <c:pt idx="14">
                  <c:v>1.07</c:v>
                </c:pt>
                <c:pt idx="15">
                  <c:v>0</c:v>
                </c:pt>
                <c:pt idx="16">
                  <c:v>0</c:v>
                </c:pt>
                <c:pt idx="17">
                  <c:v>0</c:v>
                </c:pt>
              </c:numCache>
            </c:numRef>
          </c:val>
          <c:smooth val="1"/>
        </c:ser>
        <c:ser>
          <c:idx val="4"/>
          <c:order val="4"/>
          <c:tx>
            <c:strRef>
              <c:f>'Load Balancing'!F95</c:f>
              <c:strCache>
                <c:ptCount val="1"/>
                <c:pt idx="0">
                  <c:v>Dynamic: Smart Scan screens (60% follow)</c:v>
                </c:pt>
              </c:strCache>
            </c:strRef>
          </c:tx>
          <c:spPr>
            <a:solidFill>
              <a:srgbClr val="46aac4"/>
            </a:solidFill>
            <a:ln w="28440">
              <a:solidFill>
                <a:srgbClr val="46aac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'Load Balancing'!$A$96:$A$113</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'Load Balancing'!$F$96:$F$113</c:f>
              <c:numCache>
                <c:formatCode>0.0</c:formatCode>
                <c:ptCount val="18"/>
                <c:pt idx="0">
                  <c:v>0</c:v>
                </c:pt>
                <c:pt idx="1">
                  <c:v>0</c:v>
                </c:pt>
                <c:pt idx="2">
                  <c:v>0</c:v>
                </c:pt>
                <c:pt idx="3">
                  <c:v>0.08</c:v>
                </c:pt>
                <c:pt idx="4">
                  <c:v>0.21</c:v>
                </c:pt>
                <c:pt idx="5">
                  <c:v>0.39</c:v>
                </c:pt>
                <c:pt idx="6">
                  <c:v>0.75</c:v>
                </c:pt>
                <c:pt idx="7">
                  <c:v>0.71</c:v>
                </c:pt>
                <c:pt idx="8">
                  <c:v>0.59</c:v>
                </c:pt>
                <c:pt idx="9">
                  <c:v>0.62</c:v>
                </c:pt>
                <c:pt idx="10">
                  <c:v>1.22</c:v>
                </c:pt>
                <c:pt idx="11">
                  <c:v>1.4</c:v>
                </c:pt>
                <c:pt idx="12">
                  <c:v>1.4</c:v>
                </c:pt>
                <c:pt idx="13">
                  <c:v>1.16</c:v>
                </c:pt>
                <c:pt idx="14">
                  <c:v>0.14</c:v>
                </c:pt>
                <c:pt idx="15">
                  <c:v>0</c:v>
                </c:pt>
                <c:pt idx="16">
                  <c:v>0</c:v>
                </c:pt>
                <c:pt idx="17">
                  <c:v>0</c:v>
                </c:pt>
              </c:numCache>
            </c:numRef>
          </c:val>
          <c:smooth val="1"/>
        </c:ser>
        <c:hiLowLines>
          <c:spPr>
            <a:ln w="0">
              <a:noFill/>
            </a:ln>
          </c:spPr>
        </c:hiLowLines>
        <c:marker val="0"/>
        <c:axId val="11837250"/>
        <c:axId val="60180128"/>
      </c:lineChart>
      <c:catAx>
        <c:axId val="1183725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180128"/>
        <c:crosses val="autoZero"/>
        <c:auto val="1"/>
        <c:lblAlgn val="ctr"/>
        <c:lblOffset val="100"/>
        <c:noMultiLvlLbl val="0"/>
      </c:catAx>
      <c:valAx>
        <c:axId val="6018012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Minutes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83725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_rels/drawing6.xml.rels><?xml version="1.0" encoding="UTF-8"?>
<Relationships xmlns="http://schemas.openxmlformats.org/package/2006/relationships"><Relationship Id="rId1" Type="http://schemas.openxmlformats.org/officeDocument/2006/relationships/chart" Target="../charts/chart3.xml"/>
</Relationships>
</file>

<file path=xl/drawings/_rels/drawing7.xml.rels><?xml version="1.0" encoding="UTF-8"?>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85</xdr:row>
      <xdr:rowOff>160560</xdr:rowOff>
    </xdr:from>
    <xdr:to>
      <xdr:col>13</xdr:col>
      <xdr:colOff>559080</xdr:colOff>
      <xdr:row>99</xdr:row>
      <xdr:rowOff>182880</xdr:rowOff>
    </xdr:to>
    <xdr:graphicFrame>
      <xdr:nvGraphicFramePr>
        <xdr:cNvPr id="0" name="Chart 1"/>
        <xdr:cNvGraphicFramePr/>
      </xdr:nvGraphicFramePr>
      <xdr:xfrm>
        <a:off x="5920920" y="17535600"/>
        <a:ext cx="647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85</xdr:row>
      <xdr:rowOff>160560</xdr:rowOff>
    </xdr:from>
    <xdr:to>
      <xdr:col>13</xdr:col>
      <xdr:colOff>559080</xdr:colOff>
      <xdr:row>99</xdr:row>
      <xdr:rowOff>182880</xdr:rowOff>
    </xdr:to>
    <xdr:graphicFrame>
      <xdr:nvGraphicFramePr>
        <xdr:cNvPr id="1" name="Chart 1"/>
        <xdr:cNvGraphicFramePr/>
      </xdr:nvGraphicFramePr>
      <xdr:xfrm>
        <a:off x="5920920" y="17535600"/>
        <a:ext cx="647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xdr:row>
      <xdr:rowOff>160920</xdr:rowOff>
    </xdr:from>
    <xdr:to>
      <xdr:col>14</xdr:col>
      <xdr:colOff>255960</xdr:colOff>
      <xdr:row>16</xdr:row>
      <xdr:rowOff>182880</xdr:rowOff>
    </xdr:to>
    <xdr:graphicFrame>
      <xdr:nvGraphicFramePr>
        <xdr:cNvPr id="2" name="Chart 1"/>
        <xdr:cNvGraphicFramePr/>
      </xdr:nvGraphicFramePr>
      <xdr:xfrm>
        <a:off x="10479240" y="5716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58</xdr:row>
      <xdr:rowOff>160920</xdr:rowOff>
    </xdr:from>
    <xdr:to>
      <xdr:col>20</xdr:col>
      <xdr:colOff>364680</xdr:colOff>
      <xdr:row>66</xdr:row>
      <xdr:rowOff>182880</xdr:rowOff>
    </xdr:to>
    <xdr:graphicFrame>
      <xdr:nvGraphicFramePr>
        <xdr:cNvPr id="3" name="Chart 1"/>
        <xdr:cNvGraphicFramePr/>
      </xdr:nvGraphicFramePr>
      <xdr:xfrm>
        <a:off x="12453120" y="13087440"/>
        <a:ext cx="647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113</xdr:row>
      <xdr:rowOff>160560</xdr:rowOff>
    </xdr:from>
    <xdr:to>
      <xdr:col>5</xdr:col>
      <xdr:colOff>25200</xdr:colOff>
      <xdr:row>130</xdr:row>
      <xdr:rowOff>161640</xdr:rowOff>
    </xdr:to>
    <xdr:graphicFrame>
      <xdr:nvGraphicFramePr>
        <xdr:cNvPr id="4" name="Chart 2"/>
        <xdr:cNvGraphicFramePr/>
      </xdr:nvGraphicFramePr>
      <xdr:xfrm>
        <a:off x="0" y="31327560"/>
        <a:ext cx="791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Queue_Capacity_LoadBalancing.xlsx" TargetMode="External"/><Relationship Id="rId2" Type="http://schemas.openxmlformats.org/officeDocument/2006/relationships/hyperlink" Target="Queue_Capacity_LoadBalancing.xlsx" TargetMode="External"/><Relationship Id="rId3" Type="http://schemas.openxmlformats.org/officeDocument/2006/relationships/hyperlink" Target="Queue_Capacity_LoadBalancing.xlsx" TargetMode="External"/><Relationship Id="rId4" Type="http://schemas.openxmlformats.org/officeDocument/2006/relationships/hyperlink" Target="Queue_Capacity_LoadBalancing.xlsx" TargetMode="External"/><Relationship Id="rId5" Type="http://schemas.openxmlformats.org/officeDocument/2006/relationships/hyperlink" Target="Queue_Capacity_LoadBalancing.xlsx" TargetMode="External"/><Relationship Id="rId6" Type="http://schemas.openxmlformats.org/officeDocument/2006/relationships/hyperlink" Target="Queue_Capacity_LoadBalancing.xlsx" TargetMode="External"/><Relationship Id="rId7" Type="http://schemas.openxmlformats.org/officeDocument/2006/relationships/hyperlink" Target="Queue_Capacity_LoadBalancing.xlsx" TargetMode="External"/><Relationship Id="rId8" Type="http://schemas.openxmlformats.org/officeDocument/2006/relationships/hyperlink" Target="Queue_Capacity_LoadBalancing.xlsx" TargetMode="External"/><Relationship Id="rId9" Type="http://schemas.openxmlformats.org/officeDocument/2006/relationships/hyperlink" Target="Queue_Capacity_LoadBalancing.xlsx" TargetMode="External"/><Relationship Id="rId10" Type="http://schemas.openxmlformats.org/officeDocument/2006/relationships/hyperlink" Target="Queue_Capacity_LoadBalancing.xlsx" TargetMode="Externa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00"/>
  </cols>
  <sheetData>
    <row r="1" customFormat="false" ht="17.35" hidden="false" customHeight="false" outlineLevel="0" collapsed="false">
      <c r="A1" s="1" t="s">
        <v>0</v>
      </c>
      <c r="B1" s="2"/>
    </row>
    <row r="2" customFormat="false" ht="31.5" hidden="false" customHeight="true" outlineLevel="0" collapsed="false">
      <c r="A2" s="3" t="s">
        <v>1</v>
      </c>
      <c r="B2" s="3"/>
    </row>
    <row r="4" customFormat="false" ht="15" hidden="false" customHeight="false" outlineLevel="0" collapsed="false">
      <c r="A4" s="4" t="s">
        <v>2</v>
      </c>
    </row>
    <row r="5" customFormat="false" ht="15" hidden="false" customHeight="false" outlineLevel="0" collapsed="false">
      <c r="A5" s="5" t="s">
        <v>3</v>
      </c>
      <c r="B5" s="6" t="s">
        <v>4</v>
      </c>
    </row>
    <row r="6" customFormat="false" ht="15" hidden="false" customHeight="false" outlineLevel="0" collapsed="false">
      <c r="A6" s="7" t="s">
        <v>5</v>
      </c>
      <c r="B6" s="6" t="s">
        <v>6</v>
      </c>
    </row>
    <row r="7" customFormat="false" ht="15" hidden="false" customHeight="false" outlineLevel="0" collapsed="false">
      <c r="A7" s="8" t="s">
        <v>7</v>
      </c>
      <c r="B7" s="6" t="s">
        <v>8</v>
      </c>
    </row>
    <row r="8" customFormat="false" ht="15" hidden="false" customHeight="false" outlineLevel="0" collapsed="false">
      <c r="A8" s="6" t="s">
        <v>9</v>
      </c>
      <c r="B8" s="6" t="s">
        <v>10</v>
      </c>
    </row>
    <row r="9" customFormat="false" ht="15" hidden="false" customHeight="false" outlineLevel="0" collapsed="false">
      <c r="A9" s="9" t="s">
        <v>11</v>
      </c>
      <c r="B9" s="6" t="s">
        <v>12</v>
      </c>
    </row>
    <row r="10" customFormat="false" ht="15" hidden="false" customHeight="false" outlineLevel="0" collapsed="false">
      <c r="A10" s="10" t="s">
        <v>13</v>
      </c>
      <c r="B10" s="6" t="s">
        <v>14</v>
      </c>
    </row>
    <row r="12" customFormat="false" ht="15" hidden="false" customHeight="false" outlineLevel="0" collapsed="false">
      <c r="A12" s="4" t="s">
        <v>15</v>
      </c>
    </row>
    <row r="13" customFormat="false" ht="15" hidden="false" customHeight="false" outlineLevel="0" collapsed="false">
      <c r="A13" s="11" t="s">
        <v>16</v>
      </c>
      <c r="B13" s="12" t="s">
        <v>17</v>
      </c>
    </row>
    <row r="14" customFormat="false" ht="15" hidden="false" customHeight="false" outlineLevel="0" collapsed="false">
      <c r="A14" s="11" t="s">
        <v>18</v>
      </c>
      <c r="B14" s="12" t="s">
        <v>19</v>
      </c>
    </row>
    <row r="15" customFormat="false" ht="15" hidden="false" customHeight="false" outlineLevel="0" collapsed="false">
      <c r="A15" s="11" t="s">
        <v>20</v>
      </c>
      <c r="B15" s="12" t="s">
        <v>21</v>
      </c>
    </row>
    <row r="16" customFormat="false" ht="15" hidden="false" customHeight="false" outlineLevel="0" collapsed="false">
      <c r="A16" s="11" t="s">
        <v>22</v>
      </c>
      <c r="B16" s="12" t="s">
        <v>23</v>
      </c>
    </row>
    <row r="17" customFormat="false" ht="15" hidden="false" customHeight="false" outlineLevel="0" collapsed="false">
      <c r="A17" s="11" t="s">
        <v>24</v>
      </c>
      <c r="B17" s="12" t="s">
        <v>25</v>
      </c>
    </row>
    <row r="18" customFormat="false" ht="15" hidden="false" customHeight="false" outlineLevel="0" collapsed="false">
      <c r="A18" s="11" t="s">
        <v>26</v>
      </c>
      <c r="B18" s="12" t="s">
        <v>27</v>
      </c>
    </row>
    <row r="19" customFormat="false" ht="15" hidden="false" customHeight="false" outlineLevel="0" collapsed="false">
      <c r="A19" s="11" t="s">
        <v>28</v>
      </c>
      <c r="B19" s="12" t="s">
        <v>29</v>
      </c>
    </row>
    <row r="20" customFormat="false" ht="15" hidden="false" customHeight="false" outlineLevel="0" collapsed="false">
      <c r="A20" s="11" t="s">
        <v>30</v>
      </c>
      <c r="B20" s="12" t="s">
        <v>31</v>
      </c>
    </row>
    <row r="21" customFormat="false" ht="23.85" hidden="false" customHeight="false" outlineLevel="0" collapsed="false">
      <c r="A21" s="11" t="s">
        <v>32</v>
      </c>
      <c r="B21" s="12" t="s">
        <v>33</v>
      </c>
    </row>
    <row r="22" customFormat="false" ht="15" hidden="false" customHeight="false" outlineLevel="0" collapsed="false">
      <c r="A22" s="11" t="s">
        <v>34</v>
      </c>
      <c r="B22" s="12" t="s">
        <v>35</v>
      </c>
    </row>
    <row r="24" customFormat="false" ht="15" hidden="false" customHeight="false" outlineLevel="0" collapsed="false">
      <c r="A24" s="4" t="s">
        <v>36</v>
      </c>
    </row>
    <row r="25" customFormat="false" ht="27.75" hidden="false" customHeight="true" outlineLevel="0" collapsed="false">
      <c r="A25" s="12" t="s">
        <v>37</v>
      </c>
      <c r="B25" s="13" t="n">
        <f aca="false">'Q2 Serving stations'!C5</f>
        <v>1.4499485</v>
      </c>
    </row>
    <row r="26" customFormat="false" ht="27.75" hidden="false" customHeight="true" outlineLevel="0" collapsed="false">
      <c r="A26" s="12" t="s">
        <v>38</v>
      </c>
      <c r="B26" s="14" t="str">
        <f aca="false">'Q2 Serving stations'!D5&amp;" → "&amp;'Q2 Serving stations'!D7</f>
        <v>6 → 4</v>
      </c>
    </row>
    <row r="27" customFormat="false" ht="27.75" hidden="false" customHeight="true" outlineLevel="0" collapsed="false">
      <c r="A27" s="12" t="s">
        <v>39</v>
      </c>
      <c r="B27" s="14" t="str">
        <f aca="false">Capacity!B28</f>
        <v>Serving stations</v>
      </c>
    </row>
    <row r="28" customFormat="false" ht="27.75" hidden="false" customHeight="true" outlineLevel="0" collapsed="false">
      <c r="A28" s="12" t="s">
        <v>40</v>
      </c>
      <c r="B28" s="14" t="str">
        <f aca="false">TEXT(Capacity!B15,"0.0")&amp;" min · "&amp;TEXT(Capacity!B16,"0.0")&amp;" per hour"</f>
        <v>13.5 min · 4.4 per hour</v>
      </c>
    </row>
    <row r="29" customFormat="false" ht="27.75" hidden="false" customHeight="true" outlineLevel="0" collapsed="false">
      <c r="A29" s="12" t="s">
        <v>41</v>
      </c>
      <c r="B29" s="14" t="str">
        <f aca="false">TEXT(Capacity!B22,"0%")&amp;" / "&amp;TEXT(Capacity!C22,"0%")</f>
        <v>32% / 22%</v>
      </c>
    </row>
    <row r="30" customFormat="false" ht="27.75" hidden="false" customHeight="true" outlineLevel="0" collapsed="false">
      <c r="A30" s="12" t="s">
        <v>42</v>
      </c>
      <c r="B30" s="14" t="str">
        <f aca="false">TEXT('Load Balancing'!B61,"0.0")&amp;" → "&amp;TEXT('Load Balancing'!B62,"0.0")&amp;" → "&amp;TEXT('Load Balancing'!B68,"0.0")</f>
        <v>4.4 → 2.8 → 0.8</v>
      </c>
    </row>
    <row r="31" customFormat="false" ht="27.75" hidden="false" customHeight="true" outlineLevel="0" collapsed="false">
      <c r="A31" s="12" t="s">
        <v>34</v>
      </c>
      <c r="B31" s="14" t="str">
        <f aca="false">Checks!C14</f>
        <v>ALL OK</v>
      </c>
    </row>
  </sheetData>
  <mergeCells count="1">
    <mergeCell ref="A2:B2"/>
  </mergeCells>
  <hyperlinks>
    <hyperlink ref="A13" r:id="rId1" location="'Assumptions'!A1" display="Assumptions"/>
    <hyperlink ref="A14" r:id="rId2" location="'Variables'!A1" display="Variables"/>
    <hyperlink ref="A15" r:id="rId3" location="'Sim%20Data'!A1" display="Sim Data"/>
    <hyperlink ref="A16" r:id="rId4" location="'Q1%20Scanner'!A1" display="Q1 Scanner"/>
    <hyperlink ref="A17" r:id="rId5" location="'Q2%20Serving%20stations'!A1" display="Q2 Serving stations"/>
    <hyperlink ref="A18" r:id="rId6" location="'Q3%20Seats%20&amp;%20disposal'!A1" display="Q3 Seats &amp; disposal"/>
    <hyperlink ref="A19" r:id="rId7" location="'Littles%20Law'!A1" display="Littles Law"/>
    <hyperlink ref="A20" r:id="rId8" location="'Capacity'!A1" display="Capacity"/>
    <hyperlink ref="A21" r:id="rId9" location="'Load%20Balancing'!A1" display="Load Balancing"/>
    <hyperlink ref="A22" r:id="rId10" location="'Checks'!A1" display="Check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2" min="2" style="0" width="12"/>
    <col collapsed="false" customWidth="true" hidden="false" outlineLevel="0" max="3" min="3" style="0" width="14"/>
    <col collapsed="false" customWidth="true" hidden="false" outlineLevel="0" max="4" min="4" style="0" width="16"/>
    <col collapsed="false" customWidth="true" hidden="false" outlineLevel="0" max="5" min="5" style="0" width="70"/>
  </cols>
  <sheetData>
    <row r="1" customFormat="false" ht="17.35" hidden="false" customHeight="false" outlineLevel="0" collapsed="false">
      <c r="A1" s="1" t="s">
        <v>43</v>
      </c>
      <c r="B1" s="2"/>
      <c r="C1" s="2"/>
      <c r="D1" s="2"/>
      <c r="E1" s="2"/>
    </row>
    <row r="2" customFormat="false" ht="15" hidden="false" customHeight="false" outlineLevel="0" collapsed="false">
      <c r="A2" s="15" t="s">
        <v>44</v>
      </c>
    </row>
    <row r="4" customFormat="false" ht="30" hidden="false" customHeight="true" outlineLevel="0" collapsed="false">
      <c r="A4" s="16" t="s">
        <v>45</v>
      </c>
      <c r="B4" s="16" t="s">
        <v>46</v>
      </c>
      <c r="C4" s="16" t="s">
        <v>47</v>
      </c>
      <c r="D4" s="16" t="s">
        <v>48</v>
      </c>
      <c r="E4" s="16" t="s">
        <v>49</v>
      </c>
    </row>
    <row r="5" customFormat="false" ht="15" hidden="false" customHeight="false" outlineLevel="0" collapsed="false">
      <c r="A5" s="17" t="s">
        <v>50</v>
      </c>
    </row>
    <row r="6" customFormat="false" ht="15" hidden="false" customHeight="false" outlineLevel="0" collapsed="false">
      <c r="A6" s="6" t="s">
        <v>51</v>
      </c>
      <c r="B6" s="18" t="n">
        <v>2960</v>
      </c>
      <c r="C6" s="6" t="s">
        <v>52</v>
      </c>
      <c r="D6" s="4" t="s">
        <v>53</v>
      </c>
      <c r="E6" s="12" t="s">
        <v>54</v>
      </c>
    </row>
    <row r="7" customFormat="false" ht="15" hidden="false" customHeight="false" outlineLevel="0" collapsed="false">
      <c r="A7" s="6" t="s">
        <v>55</v>
      </c>
      <c r="B7" s="19" t="n">
        <v>0.797</v>
      </c>
      <c r="C7" s="6" t="s">
        <v>56</v>
      </c>
      <c r="D7" s="4" t="s">
        <v>53</v>
      </c>
      <c r="E7" s="12" t="s">
        <v>57</v>
      </c>
    </row>
    <row r="8" customFormat="false" ht="15" hidden="false" customHeight="false" outlineLevel="0" collapsed="false">
      <c r="A8" s="6" t="s">
        <v>58</v>
      </c>
      <c r="B8" s="20" t="n">
        <v>180</v>
      </c>
      <c r="C8" s="6" t="s">
        <v>59</v>
      </c>
      <c r="D8" s="4" t="s">
        <v>53</v>
      </c>
      <c r="E8" s="12" t="s">
        <v>60</v>
      </c>
    </row>
    <row r="9" customFormat="false" ht="23.85" hidden="false" customHeight="false" outlineLevel="0" collapsed="false">
      <c r="A9" s="6" t="s">
        <v>61</v>
      </c>
      <c r="B9" s="21" t="n">
        <v>20</v>
      </c>
      <c r="C9" s="6" t="s">
        <v>59</v>
      </c>
      <c r="D9" s="6" t="s">
        <v>62</v>
      </c>
      <c r="E9" s="12" t="s">
        <v>63</v>
      </c>
    </row>
    <row r="10" customFormat="false" ht="15" hidden="false" customHeight="false" outlineLevel="0" collapsed="false">
      <c r="A10" s="6" t="s">
        <v>64</v>
      </c>
      <c r="B10" s="21" t="n">
        <v>20</v>
      </c>
      <c r="C10" s="6" t="s">
        <v>59</v>
      </c>
      <c r="D10" s="6" t="s">
        <v>62</v>
      </c>
      <c r="E10" s="12" t="s">
        <v>65</v>
      </c>
    </row>
    <row r="11" customFormat="false" ht="15" hidden="false" customHeight="false" outlineLevel="0" collapsed="false">
      <c r="A11" s="17" t="s">
        <v>66</v>
      </c>
    </row>
    <row r="12" customFormat="false" ht="15" hidden="false" customHeight="false" outlineLevel="0" collapsed="false">
      <c r="A12" s="6" t="s">
        <v>67</v>
      </c>
      <c r="B12" s="20" t="n">
        <v>1</v>
      </c>
      <c r="C12" s="6" t="s">
        <v>68</v>
      </c>
      <c r="D12" s="4" t="s">
        <v>53</v>
      </c>
      <c r="E12" s="12" t="s">
        <v>69</v>
      </c>
    </row>
    <row r="13" customFormat="false" ht="15" hidden="false" customHeight="false" outlineLevel="0" collapsed="false">
      <c r="A13" s="6" t="s">
        <v>70</v>
      </c>
      <c r="B13" s="22" t="n">
        <v>2</v>
      </c>
      <c r="C13" s="6" t="s">
        <v>71</v>
      </c>
      <c r="D13" s="6" t="s">
        <v>72</v>
      </c>
      <c r="E13" s="12" t="s">
        <v>73</v>
      </c>
    </row>
    <row r="14" customFormat="false" ht="15" hidden="false" customHeight="false" outlineLevel="0" collapsed="false">
      <c r="A14" s="6" t="s">
        <v>74</v>
      </c>
      <c r="B14" s="21" t="n">
        <v>25</v>
      </c>
      <c r="C14" s="6" t="s">
        <v>71</v>
      </c>
      <c r="D14" s="6" t="s">
        <v>72</v>
      </c>
      <c r="E14" s="12" t="s">
        <v>75</v>
      </c>
    </row>
    <row r="15" customFormat="false" ht="15" hidden="false" customHeight="false" outlineLevel="0" collapsed="false">
      <c r="A15" s="17" t="s">
        <v>76</v>
      </c>
    </row>
    <row r="16" customFormat="false" ht="15" hidden="false" customHeight="false" outlineLevel="0" collapsed="false">
      <c r="A16" s="6" t="s">
        <v>77</v>
      </c>
      <c r="B16" s="20" t="n">
        <v>2</v>
      </c>
      <c r="C16" s="6" t="s">
        <v>78</v>
      </c>
      <c r="D16" s="4" t="s">
        <v>53</v>
      </c>
      <c r="E16" s="12" t="s">
        <v>69</v>
      </c>
    </row>
    <row r="17" customFormat="false" ht="15" hidden="false" customHeight="false" outlineLevel="0" collapsed="false">
      <c r="A17" s="6" t="s">
        <v>79</v>
      </c>
      <c r="B17" s="22" t="n">
        <v>10</v>
      </c>
      <c r="C17" s="6" t="s">
        <v>80</v>
      </c>
      <c r="D17" s="6" t="s">
        <v>72</v>
      </c>
      <c r="E17" s="12" t="s">
        <v>81</v>
      </c>
    </row>
    <row r="18" customFormat="false" ht="15" hidden="false" customHeight="false" outlineLevel="0" collapsed="false">
      <c r="A18" s="6" t="s">
        <v>82</v>
      </c>
      <c r="B18" s="22" t="n">
        <v>0.6</v>
      </c>
      <c r="C18" s="6" t="s">
        <v>83</v>
      </c>
      <c r="D18" s="6" t="s">
        <v>72</v>
      </c>
      <c r="E18" s="12" t="s">
        <v>84</v>
      </c>
    </row>
    <row r="19" customFormat="false" ht="15" hidden="false" customHeight="false" outlineLevel="0" collapsed="false">
      <c r="A19" s="6" t="s">
        <v>85</v>
      </c>
      <c r="B19" s="21" t="n">
        <v>60</v>
      </c>
      <c r="C19" s="6" t="s">
        <v>71</v>
      </c>
      <c r="D19" s="6" t="s">
        <v>72</v>
      </c>
      <c r="E19" s="12" t="s">
        <v>86</v>
      </c>
    </row>
    <row r="20" customFormat="false" ht="15" hidden="false" customHeight="false" outlineLevel="0" collapsed="false">
      <c r="A20" s="17" t="s">
        <v>87</v>
      </c>
    </row>
    <row r="21" customFormat="false" ht="15" hidden="false" customHeight="false" outlineLevel="0" collapsed="false">
      <c r="A21" s="6" t="s">
        <v>88</v>
      </c>
      <c r="B21" s="18" t="n">
        <v>900</v>
      </c>
      <c r="C21" s="6" t="s">
        <v>89</v>
      </c>
      <c r="D21" s="4" t="s">
        <v>53</v>
      </c>
      <c r="E21" s="12" t="s">
        <v>90</v>
      </c>
    </row>
    <row r="22" customFormat="false" ht="15" hidden="false" customHeight="false" outlineLevel="0" collapsed="false">
      <c r="A22" s="6" t="s">
        <v>91</v>
      </c>
      <c r="B22" s="18" t="n">
        <v>492</v>
      </c>
      <c r="C22" s="6" t="s">
        <v>89</v>
      </c>
      <c r="D22" s="4" t="s">
        <v>53</v>
      </c>
      <c r="E22" s="12" t="s">
        <v>92</v>
      </c>
    </row>
    <row r="23" customFormat="false" ht="15" hidden="false" customHeight="false" outlineLevel="0" collapsed="false">
      <c r="A23" s="6" t="s">
        <v>93</v>
      </c>
      <c r="B23" s="21" t="n">
        <v>12</v>
      </c>
      <c r="C23" s="6" t="s">
        <v>59</v>
      </c>
      <c r="D23" s="6" t="s">
        <v>94</v>
      </c>
      <c r="E23" s="12" t="s">
        <v>95</v>
      </c>
    </row>
    <row r="24" customFormat="false" ht="15" hidden="false" customHeight="false" outlineLevel="0" collapsed="false">
      <c r="A24" s="6" t="s">
        <v>96</v>
      </c>
      <c r="B24" s="21" t="n">
        <v>15</v>
      </c>
      <c r="C24" s="6" t="s">
        <v>59</v>
      </c>
      <c r="D24" s="6" t="s">
        <v>94</v>
      </c>
      <c r="E24" s="12" t="s">
        <v>65</v>
      </c>
    </row>
    <row r="25" customFormat="false" ht="15" hidden="false" customHeight="false" outlineLevel="0" collapsed="false">
      <c r="A25" s="6" t="s">
        <v>97</v>
      </c>
      <c r="B25" s="22" t="n">
        <v>0</v>
      </c>
      <c r="C25" s="6" t="s">
        <v>59</v>
      </c>
      <c r="D25" s="6" t="s">
        <v>72</v>
      </c>
      <c r="E25" s="12" t="s">
        <v>98</v>
      </c>
    </row>
    <row r="26" customFormat="false" ht="15" hidden="false" customHeight="false" outlineLevel="0" collapsed="false">
      <c r="A26" s="17" t="s">
        <v>99</v>
      </c>
    </row>
    <row r="27" customFormat="false" ht="15" hidden="false" customHeight="false" outlineLevel="0" collapsed="false">
      <c r="A27" s="6" t="s">
        <v>100</v>
      </c>
      <c r="B27" s="22" t="n">
        <v>1</v>
      </c>
      <c r="C27" s="6" t="s">
        <v>59</v>
      </c>
      <c r="D27" s="6" t="s">
        <v>94</v>
      </c>
      <c r="E27" s="12" t="s">
        <v>101</v>
      </c>
    </row>
    <row r="28" customFormat="false" ht="15" hidden="false" customHeight="false" outlineLevel="0" collapsed="false">
      <c r="A28" s="6" t="s">
        <v>102</v>
      </c>
      <c r="B28" s="22" t="n">
        <v>2</v>
      </c>
      <c r="C28" s="6" t="s">
        <v>59</v>
      </c>
      <c r="D28" s="6" t="s">
        <v>94</v>
      </c>
      <c r="E28" s="12" t="s">
        <v>65</v>
      </c>
    </row>
    <row r="29" customFormat="false" ht="15" hidden="false" customHeight="false" outlineLevel="0" collapsed="false">
      <c r="A29" s="17" t="s">
        <v>103</v>
      </c>
    </row>
    <row r="30" customFormat="false" ht="15" hidden="false" customHeight="false" outlineLevel="0" collapsed="false">
      <c r="A30" s="6" t="s">
        <v>104</v>
      </c>
      <c r="B30" s="23" t="n">
        <v>0.6</v>
      </c>
      <c r="C30" s="6" t="s">
        <v>56</v>
      </c>
      <c r="D30" s="6" t="s">
        <v>72</v>
      </c>
      <c r="E30" s="12" t="s">
        <v>105</v>
      </c>
    </row>
    <row r="31" customFormat="false" ht="15" hidden="false" customHeight="false" outlineLevel="0" collapsed="false">
      <c r="A31" s="6" t="s">
        <v>106</v>
      </c>
      <c r="B31" s="22" t="n">
        <v>0.5</v>
      </c>
      <c r="C31" s="6" t="s">
        <v>59</v>
      </c>
      <c r="D31" s="6" t="s">
        <v>72</v>
      </c>
      <c r="E31" s="12" t="s">
        <v>107</v>
      </c>
    </row>
    <row r="32" customFormat="false" ht="15" hidden="false" customHeight="false" outlineLevel="0" collapsed="false">
      <c r="A32" s="6" t="s">
        <v>108</v>
      </c>
      <c r="B32" s="24" t="n">
        <v>2</v>
      </c>
      <c r="C32" s="6" t="s">
        <v>59</v>
      </c>
      <c r="D32" s="6" t="s">
        <v>109</v>
      </c>
      <c r="E32" s="12" t="s">
        <v>110</v>
      </c>
    </row>
    <row r="33" customFormat="false" ht="15" hidden="false" customHeight="false" outlineLevel="0" collapsed="false">
      <c r="A33" s="17" t="s">
        <v>111</v>
      </c>
    </row>
    <row r="34" customFormat="false" ht="15" hidden="false" customHeight="false" outlineLevel="0" collapsed="false">
      <c r="A34" s="6" t="s">
        <v>112</v>
      </c>
      <c r="B34" s="20" t="n">
        <v>20</v>
      </c>
      <c r="C34" s="6" t="s">
        <v>113</v>
      </c>
      <c r="D34" s="6" t="s">
        <v>114</v>
      </c>
      <c r="E34" s="12" t="s">
        <v>115</v>
      </c>
    </row>
    <row r="35" customFormat="false" ht="15" hidden="false" customHeight="false" outlineLevel="0" collapsed="false">
      <c r="A35" s="6" t="s">
        <v>116</v>
      </c>
      <c r="B35" s="20" t="n">
        <v>10</v>
      </c>
      <c r="C35" s="6" t="s">
        <v>59</v>
      </c>
      <c r="D35" s="6" t="s">
        <v>114</v>
      </c>
      <c r="E35" s="12" t="s">
        <v>117</v>
      </c>
    </row>
    <row r="37" customFormat="false" ht="15" hidden="false" customHeight="false" outlineLevel="0" collapsed="false">
      <c r="A37" s="4" t="s">
        <v>118</v>
      </c>
    </row>
    <row r="38" customFormat="false" ht="30" hidden="false" customHeight="true" outlineLevel="0" collapsed="false">
      <c r="A38" s="16" t="s">
        <v>119</v>
      </c>
      <c r="B38" s="16" t="s">
        <v>120</v>
      </c>
      <c r="C38" s="16" t="s">
        <v>121</v>
      </c>
      <c r="D38" s="16" t="s">
        <v>122</v>
      </c>
      <c r="E38" s="16" t="s">
        <v>48</v>
      </c>
    </row>
    <row r="39" customFormat="false" ht="15" hidden="false" customHeight="false" outlineLevel="0" collapsed="false">
      <c r="A39" s="6" t="s">
        <v>123</v>
      </c>
      <c r="B39" s="18" t="n">
        <v>569</v>
      </c>
      <c r="C39" s="25" t="s">
        <v>124</v>
      </c>
      <c r="D39" s="25" t="s">
        <v>125</v>
      </c>
      <c r="E39" s="6" t="s">
        <v>126</v>
      </c>
    </row>
    <row r="40" customFormat="false" ht="15" hidden="false" customHeight="false" outlineLevel="0" collapsed="false">
      <c r="A40" s="6" t="s">
        <v>127</v>
      </c>
      <c r="B40" s="18" t="n">
        <v>465</v>
      </c>
      <c r="C40" s="25" t="s">
        <v>125</v>
      </c>
      <c r="D40" s="25" t="s">
        <v>128</v>
      </c>
      <c r="E40" s="6" t="s">
        <v>129</v>
      </c>
    </row>
    <row r="41" customFormat="false" ht="15" hidden="false" customHeight="false" outlineLevel="0" collapsed="false">
      <c r="A41" s="6" t="s">
        <v>130</v>
      </c>
      <c r="B41" s="18" t="n">
        <v>799</v>
      </c>
      <c r="C41" s="25" t="s">
        <v>131</v>
      </c>
      <c r="D41" s="25" t="s">
        <v>128</v>
      </c>
      <c r="E41" s="6" t="s">
        <v>126</v>
      </c>
    </row>
    <row r="42" customFormat="false" ht="15" hidden="false" customHeight="false" outlineLevel="0" collapsed="false">
      <c r="A42" s="6" t="s">
        <v>132</v>
      </c>
      <c r="B42" s="18" t="n">
        <v>517</v>
      </c>
      <c r="C42" s="25" t="s">
        <v>133</v>
      </c>
      <c r="D42" s="25" t="s">
        <v>134</v>
      </c>
      <c r="E42" s="6" t="s">
        <v>126</v>
      </c>
    </row>
    <row r="43" customFormat="false" ht="15" hidden="false" customHeight="false" outlineLevel="0" collapsed="false">
      <c r="A43" s="6" t="s">
        <v>135</v>
      </c>
      <c r="B43" s="18" t="n">
        <v>423</v>
      </c>
      <c r="C43" s="25" t="s">
        <v>124</v>
      </c>
      <c r="D43" s="25" t="s">
        <v>125</v>
      </c>
      <c r="E43" s="6" t="s">
        <v>126</v>
      </c>
    </row>
    <row r="44" customFormat="false" ht="15" hidden="false" customHeight="false" outlineLevel="0" collapsed="false">
      <c r="A44" s="6" t="s">
        <v>136</v>
      </c>
      <c r="B44" s="18" t="n">
        <v>94</v>
      </c>
      <c r="C44" s="25" t="s">
        <v>137</v>
      </c>
      <c r="D44" s="25" t="s">
        <v>138</v>
      </c>
      <c r="E44" s="6" t="s">
        <v>126</v>
      </c>
    </row>
    <row r="45" customFormat="false" ht="15" hidden="false" customHeight="false" outlineLevel="0" collapsed="false">
      <c r="A45" s="6" t="s">
        <v>139</v>
      </c>
      <c r="B45" s="18" t="n">
        <v>47</v>
      </c>
      <c r="C45" s="25" t="s">
        <v>140</v>
      </c>
      <c r="D45" s="25" t="s">
        <v>141</v>
      </c>
      <c r="E45" s="6" t="s">
        <v>126</v>
      </c>
    </row>
    <row r="46" customFormat="false" ht="15" hidden="false" customHeight="false" outlineLevel="0" collapsed="false">
      <c r="A46" s="6" t="s">
        <v>142</v>
      </c>
      <c r="B46" s="18" t="n">
        <v>47</v>
      </c>
      <c r="C46" s="25" t="s">
        <v>133</v>
      </c>
      <c r="D46" s="25" t="s">
        <v>134</v>
      </c>
      <c r="E46" s="6" t="s">
        <v>143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4"/>
    <col collapsed="false" customWidth="true" hidden="false" outlineLevel="0" max="3" min="3" style="0" width="70"/>
    <col collapsed="false" customWidth="true" hidden="false" outlineLevel="0" max="4" min="4" style="0" width="34"/>
  </cols>
  <sheetData>
    <row r="1" customFormat="false" ht="17.35" hidden="false" customHeight="false" outlineLevel="0" collapsed="false">
      <c r="A1" s="1" t="s">
        <v>144</v>
      </c>
      <c r="B1" s="2"/>
      <c r="C1" s="2"/>
      <c r="D1" s="2"/>
    </row>
    <row r="2" customFormat="false" ht="15" hidden="false" customHeight="false" outlineLevel="0" collapsed="false">
      <c r="A2" s="15" t="s">
        <v>145</v>
      </c>
    </row>
    <row r="4" customFormat="false" ht="30" hidden="false" customHeight="true" outlineLevel="0" collapsed="false">
      <c r="A4" s="16" t="s">
        <v>146</v>
      </c>
      <c r="B4" s="16" t="s">
        <v>147</v>
      </c>
      <c r="C4" s="16" t="s">
        <v>148</v>
      </c>
      <c r="D4" s="16" t="s">
        <v>149</v>
      </c>
    </row>
    <row r="5" customFormat="false" ht="31.5" hidden="false" customHeight="true" outlineLevel="0" collapsed="false">
      <c r="A5" s="26" t="s">
        <v>150</v>
      </c>
      <c r="B5" s="12" t="s">
        <v>151</v>
      </c>
      <c r="C5" s="12" t="s">
        <v>152</v>
      </c>
      <c r="D5" s="12" t="s">
        <v>153</v>
      </c>
    </row>
    <row r="6" customFormat="false" ht="31.5" hidden="false" customHeight="true" outlineLevel="0" collapsed="false">
      <c r="A6" s="26" t="s">
        <v>154</v>
      </c>
      <c r="B6" s="12" t="s">
        <v>155</v>
      </c>
      <c r="C6" s="12" t="s">
        <v>156</v>
      </c>
      <c r="D6" s="12" t="s">
        <v>157</v>
      </c>
    </row>
    <row r="7" customFormat="false" ht="31.5" hidden="false" customHeight="true" outlineLevel="0" collapsed="false">
      <c r="A7" s="26" t="s">
        <v>158</v>
      </c>
      <c r="B7" s="12" t="s">
        <v>159</v>
      </c>
      <c r="C7" s="12" t="s">
        <v>160</v>
      </c>
      <c r="D7" s="12" t="s">
        <v>53</v>
      </c>
    </row>
    <row r="8" customFormat="false" ht="31.5" hidden="false" customHeight="true" outlineLevel="0" collapsed="false">
      <c r="A8" s="26" t="s">
        <v>161</v>
      </c>
      <c r="B8" s="12" t="s">
        <v>162</v>
      </c>
      <c r="C8" s="12" t="s">
        <v>163</v>
      </c>
      <c r="D8" s="12" t="s">
        <v>164</v>
      </c>
    </row>
    <row r="9" customFormat="false" ht="31.5" hidden="false" customHeight="true" outlineLevel="0" collapsed="false">
      <c r="A9" s="26" t="s">
        <v>165</v>
      </c>
      <c r="B9" s="12" t="s">
        <v>166</v>
      </c>
      <c r="C9" s="12" t="s">
        <v>167</v>
      </c>
      <c r="D9" s="12" t="s">
        <v>168</v>
      </c>
    </row>
    <row r="10" customFormat="false" ht="31.5" hidden="false" customHeight="true" outlineLevel="0" collapsed="false">
      <c r="A10" s="26" t="s">
        <v>169</v>
      </c>
      <c r="B10" s="12" t="s">
        <v>170</v>
      </c>
      <c r="C10" s="12" t="s">
        <v>171</v>
      </c>
      <c r="D10" s="12" t="s">
        <v>172</v>
      </c>
    </row>
    <row r="11" customFormat="false" ht="31.5" hidden="false" customHeight="true" outlineLevel="0" collapsed="false">
      <c r="A11" s="26" t="s">
        <v>173</v>
      </c>
      <c r="B11" s="12" t="s">
        <v>174</v>
      </c>
      <c r="C11" s="12" t="s">
        <v>175</v>
      </c>
      <c r="D11" s="12" t="s">
        <v>176</v>
      </c>
    </row>
    <row r="12" customFormat="false" ht="31.5" hidden="false" customHeight="true" outlineLevel="0" collapsed="false">
      <c r="A12" s="26" t="s">
        <v>177</v>
      </c>
      <c r="B12" s="12" t="s">
        <v>178</v>
      </c>
      <c r="C12" s="12" t="s">
        <v>179</v>
      </c>
      <c r="D12" s="12" t="s">
        <v>180</v>
      </c>
    </row>
    <row r="13" customFormat="false" ht="31.5" hidden="false" customHeight="true" outlineLevel="0" collapsed="false">
      <c r="A13" s="26" t="s">
        <v>181</v>
      </c>
      <c r="B13" s="12" t="s">
        <v>182</v>
      </c>
      <c r="C13" s="12" t="s">
        <v>183</v>
      </c>
      <c r="D13" s="12" t="s">
        <v>184</v>
      </c>
    </row>
    <row r="14" customFormat="false" ht="31.5" hidden="false" customHeight="true" outlineLevel="0" collapsed="false">
      <c r="A14" s="26" t="s">
        <v>185</v>
      </c>
      <c r="B14" s="12" t="s">
        <v>186</v>
      </c>
      <c r="C14" s="12" t="s">
        <v>187</v>
      </c>
      <c r="D14" s="12" t="s">
        <v>188</v>
      </c>
    </row>
    <row r="15" customFormat="false" ht="31.5" hidden="false" customHeight="true" outlineLevel="0" collapsed="false">
      <c r="A15" s="26" t="s">
        <v>189</v>
      </c>
      <c r="B15" s="12" t="s">
        <v>190</v>
      </c>
      <c r="C15" s="12" t="s">
        <v>191</v>
      </c>
      <c r="D15" s="12" t="s">
        <v>192</v>
      </c>
    </row>
    <row r="16" customFormat="false" ht="31.5" hidden="false" customHeight="true" outlineLevel="0" collapsed="false">
      <c r="A16" s="26" t="s">
        <v>193</v>
      </c>
      <c r="B16" s="12" t="s">
        <v>194</v>
      </c>
      <c r="C16" s="12" t="s">
        <v>195</v>
      </c>
      <c r="D16" s="12" t="s">
        <v>196</v>
      </c>
    </row>
    <row r="17" customFormat="false" ht="31.5" hidden="false" customHeight="true" outlineLevel="0" collapsed="false">
      <c r="A17" s="26" t="s">
        <v>197</v>
      </c>
      <c r="B17" s="12" t="s">
        <v>198</v>
      </c>
      <c r="C17" s="12" t="s">
        <v>199</v>
      </c>
      <c r="D17" s="12" t="s">
        <v>200</v>
      </c>
    </row>
    <row r="18" customFormat="false" ht="31.5" hidden="false" customHeight="true" outlineLevel="0" collapsed="false">
      <c r="A18" s="26" t="s">
        <v>201</v>
      </c>
      <c r="B18" s="12" t="s">
        <v>202</v>
      </c>
      <c r="C18" s="12" t="s">
        <v>203</v>
      </c>
      <c r="D18" s="12" t="s">
        <v>204</v>
      </c>
    </row>
    <row r="19" customFormat="false" ht="31.5" hidden="false" customHeight="true" outlineLevel="0" collapsed="false">
      <c r="A19" s="26" t="s">
        <v>205</v>
      </c>
      <c r="B19" s="12" t="s">
        <v>206</v>
      </c>
      <c r="C19" s="12" t="s">
        <v>207</v>
      </c>
      <c r="D19" s="12" t="s">
        <v>208</v>
      </c>
    </row>
    <row r="20" customFormat="false" ht="31.5" hidden="false" customHeight="true" outlineLevel="0" collapsed="false">
      <c r="A20" s="26" t="s">
        <v>209</v>
      </c>
      <c r="B20" s="12" t="s">
        <v>210</v>
      </c>
      <c r="C20" s="12" t="s">
        <v>211</v>
      </c>
      <c r="D20" s="12" t="s">
        <v>212</v>
      </c>
    </row>
    <row r="21" customFormat="false" ht="31.5" hidden="false" customHeight="true" outlineLevel="0" collapsed="false">
      <c r="A21" s="26" t="s">
        <v>213</v>
      </c>
      <c r="B21" s="12" t="s">
        <v>214</v>
      </c>
      <c r="C21" s="12" t="s">
        <v>215</v>
      </c>
      <c r="D21" s="12" t="s">
        <v>216</v>
      </c>
    </row>
    <row r="22" customFormat="false" ht="31.5" hidden="false" customHeight="true" outlineLevel="0" collapsed="false">
      <c r="A22" s="26" t="s">
        <v>217</v>
      </c>
      <c r="B22" s="12" t="s">
        <v>218</v>
      </c>
      <c r="C22" s="12" t="s">
        <v>219</v>
      </c>
      <c r="D22" s="12" t="s">
        <v>220</v>
      </c>
    </row>
    <row r="24" customFormat="false" ht="15" hidden="false" customHeight="false" outlineLevel="0" collapsed="false">
      <c r="A24" s="4" t="s">
        <v>221</v>
      </c>
    </row>
    <row r="25" customFormat="false" ht="30" hidden="false" customHeight="true" outlineLevel="0" collapsed="false">
      <c r="A25" s="16" t="s">
        <v>222</v>
      </c>
      <c r="B25" s="16" t="s">
        <v>223</v>
      </c>
      <c r="C25" s="16" t="s">
        <v>224</v>
      </c>
      <c r="D25" s="16" t="s">
        <v>225</v>
      </c>
    </row>
    <row r="26" customFormat="false" ht="31.5" hidden="false" customHeight="true" outlineLevel="0" collapsed="false">
      <c r="A26" s="12" t="s">
        <v>226</v>
      </c>
      <c r="B26" s="12" t="s">
        <v>227</v>
      </c>
      <c r="C26" s="12" t="s">
        <v>228</v>
      </c>
      <c r="D26" s="12" t="s">
        <v>22</v>
      </c>
    </row>
    <row r="27" customFormat="false" ht="31.5" hidden="false" customHeight="true" outlineLevel="0" collapsed="false">
      <c r="A27" s="12" t="s">
        <v>229</v>
      </c>
      <c r="B27" s="12" t="s">
        <v>230</v>
      </c>
      <c r="C27" s="12" t="s">
        <v>231</v>
      </c>
      <c r="D27" s="12" t="s">
        <v>24</v>
      </c>
    </row>
    <row r="28" customFormat="false" ht="31.5" hidden="false" customHeight="true" outlineLevel="0" collapsed="false">
      <c r="A28" s="12" t="s">
        <v>232</v>
      </c>
      <c r="B28" s="12" t="s">
        <v>233</v>
      </c>
      <c r="C28" s="12" t="s">
        <v>234</v>
      </c>
      <c r="D28" s="12" t="s">
        <v>26</v>
      </c>
    </row>
    <row r="29" customFormat="false" ht="31.5" hidden="false" customHeight="true" outlineLevel="0" collapsed="false">
      <c r="A29" s="12" t="s">
        <v>235</v>
      </c>
      <c r="B29" s="12" t="s">
        <v>236</v>
      </c>
      <c r="C29" s="12" t="s">
        <v>237</v>
      </c>
      <c r="D29" s="12" t="s">
        <v>26</v>
      </c>
    </row>
    <row r="30" customFormat="false" ht="31.5" hidden="false" customHeight="true" outlineLevel="0" collapsed="false">
      <c r="A30" s="12" t="s">
        <v>238</v>
      </c>
      <c r="B30" s="12" t="s">
        <v>239</v>
      </c>
      <c r="C30" s="12" t="s">
        <v>240</v>
      </c>
      <c r="D30" s="12" t="s">
        <v>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4"/>
    <col collapsed="false" customWidth="true" hidden="false" outlineLevel="0" max="3" min="3" style="0" width="12"/>
    <col collapsed="false" customWidth="true" hidden="false" outlineLevel="0" max="4" min="4" style="0" width="10"/>
    <col collapsed="false" customWidth="true" hidden="false" outlineLevel="0" max="5" min="5" style="0" width="14"/>
    <col collapsed="false" customWidth="true" hidden="false" outlineLevel="0" max="9" min="6" style="0" width="16"/>
  </cols>
  <sheetData>
    <row r="1" customFormat="false" ht="17.35" hidden="false" customHeight="false" outlineLevel="0" collapsed="false">
      <c r="A1" s="1" t="s">
        <v>241</v>
      </c>
      <c r="B1" s="2"/>
      <c r="C1" s="2"/>
      <c r="D1" s="2"/>
      <c r="E1" s="2"/>
      <c r="F1" s="2"/>
      <c r="G1" s="2"/>
      <c r="H1" s="2"/>
      <c r="I1" s="2"/>
    </row>
    <row r="2" customFormat="false" ht="15" hidden="false" customHeight="false" outlineLevel="0" collapsed="false">
      <c r="A2" s="15" t="s">
        <v>242</v>
      </c>
    </row>
    <row r="4" customFormat="false" ht="43.5" hidden="false" customHeight="true" outlineLevel="0" collapsed="false">
      <c r="A4" s="16" t="s">
        <v>243</v>
      </c>
      <c r="B4" s="16" t="s">
        <v>244</v>
      </c>
      <c r="C4" s="16" t="s">
        <v>222</v>
      </c>
      <c r="D4" s="16" t="s">
        <v>245</v>
      </c>
      <c r="E4" s="16" t="s">
        <v>246</v>
      </c>
      <c r="F4" s="16" t="s">
        <v>247</v>
      </c>
      <c r="G4" s="16" t="s">
        <v>248</v>
      </c>
      <c r="H4" s="16" t="s">
        <v>249</v>
      </c>
      <c r="I4" s="16" t="s">
        <v>250</v>
      </c>
    </row>
    <row r="5" customFormat="false" ht="15" hidden="false" customHeight="false" outlineLevel="0" collapsed="false">
      <c r="A5" s="6" t="s">
        <v>251</v>
      </c>
      <c r="B5" s="6" t="s">
        <v>252</v>
      </c>
      <c r="C5" s="6" t="s">
        <v>253</v>
      </c>
      <c r="D5" s="6" t="s">
        <v>254</v>
      </c>
      <c r="E5" s="27" t="n">
        <v>0</v>
      </c>
      <c r="F5" s="27" t="n">
        <v>0</v>
      </c>
      <c r="G5" s="27" t="n">
        <v>0</v>
      </c>
      <c r="H5" s="27" t="n">
        <v>0</v>
      </c>
      <c r="I5" s="27" t="n">
        <v>0</v>
      </c>
    </row>
    <row r="6" customFormat="false" ht="15" hidden="false" customHeight="false" outlineLevel="0" collapsed="false">
      <c r="A6" s="6" t="s">
        <v>251</v>
      </c>
      <c r="B6" s="6" t="s">
        <v>252</v>
      </c>
      <c r="C6" s="6" t="s">
        <v>253</v>
      </c>
      <c r="D6" s="6" t="s">
        <v>255</v>
      </c>
      <c r="E6" s="27" t="n">
        <v>0</v>
      </c>
      <c r="F6" s="27" t="n">
        <v>0</v>
      </c>
      <c r="G6" s="27" t="n">
        <v>0</v>
      </c>
      <c r="H6" s="27" t="n">
        <v>0</v>
      </c>
      <c r="I6" s="27" t="n">
        <v>0</v>
      </c>
    </row>
    <row r="7" customFormat="false" ht="15" hidden="false" customHeight="false" outlineLevel="0" collapsed="false">
      <c r="A7" s="6" t="s">
        <v>251</v>
      </c>
      <c r="B7" s="6" t="s">
        <v>252</v>
      </c>
      <c r="C7" s="6" t="s">
        <v>253</v>
      </c>
      <c r="D7" s="6" t="s">
        <v>256</v>
      </c>
      <c r="E7" s="27" t="n">
        <v>0</v>
      </c>
      <c r="F7" s="27" t="n">
        <v>0</v>
      </c>
      <c r="G7" s="27" t="n">
        <v>0</v>
      </c>
      <c r="H7" s="27" t="n">
        <v>0</v>
      </c>
      <c r="I7" s="27" t="n">
        <v>0</v>
      </c>
    </row>
    <row r="8" customFormat="false" ht="15" hidden="false" customHeight="false" outlineLevel="0" collapsed="false">
      <c r="A8" s="6" t="s">
        <v>251</v>
      </c>
      <c r="B8" s="6" t="s">
        <v>252</v>
      </c>
      <c r="C8" s="6" t="s">
        <v>253</v>
      </c>
      <c r="D8" s="6" t="s">
        <v>124</v>
      </c>
      <c r="E8" s="27" t="n">
        <v>14.52</v>
      </c>
      <c r="F8" s="27" t="n">
        <v>0.0184</v>
      </c>
      <c r="G8" s="27" t="n">
        <v>0.0333</v>
      </c>
      <c r="H8" s="27" t="n">
        <v>0.2669</v>
      </c>
      <c r="I8" s="27" t="n">
        <v>0.4809</v>
      </c>
    </row>
    <row r="9" customFormat="false" ht="15" hidden="false" customHeight="false" outlineLevel="0" collapsed="false">
      <c r="A9" s="6" t="s">
        <v>251</v>
      </c>
      <c r="B9" s="6" t="s">
        <v>252</v>
      </c>
      <c r="C9" s="6" t="s">
        <v>253</v>
      </c>
      <c r="D9" s="6" t="s">
        <v>257</v>
      </c>
      <c r="E9" s="27" t="n">
        <v>18.77</v>
      </c>
      <c r="F9" s="27" t="n">
        <v>0.0291</v>
      </c>
      <c r="G9" s="27" t="n">
        <v>0.0334</v>
      </c>
      <c r="H9" s="27" t="n">
        <v>0.5419</v>
      </c>
      <c r="I9" s="27" t="n">
        <v>0.6245</v>
      </c>
    </row>
    <row r="10" customFormat="false" ht="15" hidden="false" customHeight="false" outlineLevel="0" collapsed="false">
      <c r="A10" s="6" t="s">
        <v>251</v>
      </c>
      <c r="B10" s="6" t="s">
        <v>252</v>
      </c>
      <c r="C10" s="6" t="s">
        <v>253</v>
      </c>
      <c r="D10" s="6" t="s">
        <v>258</v>
      </c>
      <c r="E10" s="27" t="n">
        <v>18.825</v>
      </c>
      <c r="F10" s="27" t="n">
        <v>0.0364</v>
      </c>
      <c r="G10" s="27" t="n">
        <v>0.0332</v>
      </c>
      <c r="H10" s="27" t="n">
        <v>0.6898</v>
      </c>
      <c r="I10" s="27" t="n">
        <v>0.6277</v>
      </c>
    </row>
    <row r="11" customFormat="false" ht="15" hidden="false" customHeight="false" outlineLevel="0" collapsed="false">
      <c r="A11" s="6" t="s">
        <v>251</v>
      </c>
      <c r="B11" s="6" t="s">
        <v>252</v>
      </c>
      <c r="C11" s="6" t="s">
        <v>253</v>
      </c>
      <c r="D11" s="6" t="s">
        <v>133</v>
      </c>
      <c r="E11" s="27" t="n">
        <v>22.915</v>
      </c>
      <c r="F11" s="27" t="n">
        <v>0.0664</v>
      </c>
      <c r="G11" s="27" t="n">
        <v>0.0335</v>
      </c>
      <c r="H11" s="27" t="n">
        <v>1.5162</v>
      </c>
      <c r="I11" s="27" t="n">
        <v>0.7643</v>
      </c>
    </row>
    <row r="12" customFormat="false" ht="15" hidden="false" customHeight="false" outlineLevel="0" collapsed="false">
      <c r="A12" s="6" t="s">
        <v>251</v>
      </c>
      <c r="B12" s="6" t="s">
        <v>252</v>
      </c>
      <c r="C12" s="6" t="s">
        <v>253</v>
      </c>
      <c r="D12" s="6" t="s">
        <v>137</v>
      </c>
      <c r="E12" s="27" t="n">
        <v>20.35</v>
      </c>
      <c r="F12" s="27" t="n">
        <v>0.0392</v>
      </c>
      <c r="G12" s="27" t="n">
        <v>0.0334</v>
      </c>
      <c r="H12" s="27" t="n">
        <v>0.7986</v>
      </c>
      <c r="I12" s="27" t="n">
        <v>0.6799</v>
      </c>
    </row>
    <row r="13" customFormat="false" ht="15" hidden="false" customHeight="false" outlineLevel="0" collapsed="false">
      <c r="A13" s="6" t="s">
        <v>251</v>
      </c>
      <c r="B13" s="6" t="s">
        <v>252</v>
      </c>
      <c r="C13" s="6" t="s">
        <v>253</v>
      </c>
      <c r="D13" s="6" t="s">
        <v>140</v>
      </c>
      <c r="E13" s="27" t="n">
        <v>16.86</v>
      </c>
      <c r="F13" s="27" t="n">
        <v>0.0215</v>
      </c>
      <c r="G13" s="27" t="n">
        <v>0.0333</v>
      </c>
      <c r="H13" s="27" t="n">
        <v>0.3667</v>
      </c>
      <c r="I13" s="27" t="n">
        <v>0.5639</v>
      </c>
    </row>
    <row r="14" customFormat="false" ht="15" hidden="false" customHeight="false" outlineLevel="0" collapsed="false">
      <c r="A14" s="6" t="s">
        <v>251</v>
      </c>
      <c r="B14" s="6" t="s">
        <v>252</v>
      </c>
      <c r="C14" s="6" t="s">
        <v>253</v>
      </c>
      <c r="D14" s="6" t="s">
        <v>125</v>
      </c>
      <c r="E14" s="27" t="n">
        <v>22.705</v>
      </c>
      <c r="F14" s="27" t="n">
        <v>0.0848</v>
      </c>
      <c r="G14" s="27" t="n">
        <v>0.0334</v>
      </c>
      <c r="H14" s="27" t="n">
        <v>1.854</v>
      </c>
      <c r="I14" s="27" t="n">
        <v>0.7415</v>
      </c>
    </row>
    <row r="15" customFormat="false" ht="15" hidden="false" customHeight="false" outlineLevel="0" collapsed="false">
      <c r="A15" s="6" t="s">
        <v>251</v>
      </c>
      <c r="B15" s="6" t="s">
        <v>252</v>
      </c>
      <c r="C15" s="6" t="s">
        <v>253</v>
      </c>
      <c r="D15" s="6" t="s">
        <v>259</v>
      </c>
      <c r="E15" s="27" t="n">
        <v>29.56</v>
      </c>
      <c r="F15" s="27" t="n">
        <v>0.3354</v>
      </c>
      <c r="G15" s="27" t="n">
        <v>0.0334</v>
      </c>
      <c r="H15" s="27" t="n">
        <v>9.699</v>
      </c>
      <c r="I15" s="27" t="n">
        <v>0.9705</v>
      </c>
    </row>
    <row r="16" customFormat="false" ht="15" hidden="false" customHeight="false" outlineLevel="0" collapsed="false">
      <c r="A16" s="6" t="s">
        <v>251</v>
      </c>
      <c r="B16" s="6" t="s">
        <v>252</v>
      </c>
      <c r="C16" s="6" t="s">
        <v>253</v>
      </c>
      <c r="D16" s="6" t="s">
        <v>260</v>
      </c>
      <c r="E16" s="27" t="n">
        <v>28.33</v>
      </c>
      <c r="F16" s="27" t="n">
        <v>0.3205</v>
      </c>
      <c r="G16" s="27" t="n">
        <v>0.0331</v>
      </c>
      <c r="H16" s="27" t="n">
        <v>9.291</v>
      </c>
      <c r="I16" s="27" t="n">
        <v>0.955</v>
      </c>
    </row>
    <row r="17" customFormat="false" ht="15" hidden="false" customHeight="false" outlineLevel="0" collapsed="false">
      <c r="A17" s="6" t="s">
        <v>251</v>
      </c>
      <c r="B17" s="6" t="s">
        <v>252</v>
      </c>
      <c r="C17" s="6" t="s">
        <v>253</v>
      </c>
      <c r="D17" s="6" t="s">
        <v>134</v>
      </c>
      <c r="E17" s="27" t="n">
        <v>21.35</v>
      </c>
      <c r="F17" s="27" t="n">
        <v>0.0564</v>
      </c>
      <c r="G17" s="27" t="n">
        <v>0.0332</v>
      </c>
      <c r="H17" s="27" t="n">
        <v>1.2801</v>
      </c>
      <c r="I17" s="27" t="n">
        <v>0.725</v>
      </c>
    </row>
    <row r="18" customFormat="false" ht="15" hidden="false" customHeight="false" outlineLevel="0" collapsed="false">
      <c r="A18" s="6" t="s">
        <v>251</v>
      </c>
      <c r="B18" s="6" t="s">
        <v>252</v>
      </c>
      <c r="C18" s="6" t="s">
        <v>253</v>
      </c>
      <c r="D18" s="6" t="s">
        <v>138</v>
      </c>
      <c r="E18" s="27" t="n">
        <v>14.575</v>
      </c>
      <c r="F18" s="27" t="n">
        <v>0.0172</v>
      </c>
      <c r="G18" s="27" t="n">
        <v>0.0334</v>
      </c>
      <c r="H18" s="27" t="n">
        <v>0.2517</v>
      </c>
      <c r="I18" s="27" t="n">
        <v>0.4882</v>
      </c>
    </row>
    <row r="19" customFormat="false" ht="15" hidden="false" customHeight="false" outlineLevel="0" collapsed="false">
      <c r="A19" s="6" t="s">
        <v>251</v>
      </c>
      <c r="B19" s="6" t="s">
        <v>252</v>
      </c>
      <c r="C19" s="6" t="s">
        <v>253</v>
      </c>
      <c r="D19" s="6" t="s">
        <v>141</v>
      </c>
      <c r="E19" s="27" t="n">
        <v>7.17</v>
      </c>
      <c r="F19" s="27" t="n">
        <v>0.0066</v>
      </c>
      <c r="G19" s="27" t="n">
        <v>0.0336</v>
      </c>
      <c r="H19" s="27" t="n">
        <v>0.0472</v>
      </c>
      <c r="I19" s="27" t="n">
        <v>0.2412</v>
      </c>
    </row>
    <row r="20" customFormat="false" ht="15" hidden="false" customHeight="false" outlineLevel="0" collapsed="false">
      <c r="A20" s="6" t="s">
        <v>251</v>
      </c>
      <c r="B20" s="6" t="s">
        <v>252</v>
      </c>
      <c r="C20" s="6" t="s">
        <v>253</v>
      </c>
      <c r="D20" s="6" t="s">
        <v>128</v>
      </c>
      <c r="E20" s="27" t="n">
        <v>0</v>
      </c>
      <c r="F20" s="27" t="n">
        <v>0</v>
      </c>
      <c r="G20" s="27" t="n">
        <v>0</v>
      </c>
      <c r="H20" s="27" t="n">
        <v>0</v>
      </c>
      <c r="I20" s="27" t="n">
        <v>0</v>
      </c>
    </row>
    <row r="21" customFormat="false" ht="15" hidden="false" customHeight="false" outlineLevel="0" collapsed="false">
      <c r="A21" s="6" t="s">
        <v>251</v>
      </c>
      <c r="B21" s="6" t="s">
        <v>252</v>
      </c>
      <c r="C21" s="6" t="s">
        <v>253</v>
      </c>
      <c r="D21" s="6" t="s">
        <v>261</v>
      </c>
      <c r="E21" s="27" t="n">
        <v>0</v>
      </c>
      <c r="F21" s="27" t="n">
        <v>0</v>
      </c>
      <c r="G21" s="27" t="n">
        <v>0</v>
      </c>
      <c r="H21" s="27" t="n">
        <v>0</v>
      </c>
      <c r="I21" s="27" t="n">
        <v>0</v>
      </c>
    </row>
    <row r="22" customFormat="false" ht="15" hidden="false" customHeight="false" outlineLevel="0" collapsed="false">
      <c r="A22" s="6" t="s">
        <v>251</v>
      </c>
      <c r="B22" s="6" t="s">
        <v>252</v>
      </c>
      <c r="C22" s="6" t="s">
        <v>253</v>
      </c>
      <c r="D22" s="6" t="s">
        <v>262</v>
      </c>
      <c r="E22" s="27" t="n">
        <v>0</v>
      </c>
      <c r="F22" s="27" t="n">
        <v>0</v>
      </c>
      <c r="G22" s="27" t="n">
        <v>0</v>
      </c>
      <c r="H22" s="27" t="n">
        <v>0</v>
      </c>
      <c r="I22" s="27" t="n">
        <v>0</v>
      </c>
    </row>
    <row r="23" customFormat="false" ht="15" hidden="false" customHeight="false" outlineLevel="0" collapsed="false">
      <c r="A23" s="6" t="s">
        <v>251</v>
      </c>
      <c r="B23" s="6" t="s">
        <v>252</v>
      </c>
      <c r="C23" s="6" t="s">
        <v>263</v>
      </c>
      <c r="D23" s="6" t="s">
        <v>254</v>
      </c>
      <c r="E23" s="27" t="n">
        <v>0</v>
      </c>
      <c r="F23" s="27" t="n">
        <v>0</v>
      </c>
      <c r="G23" s="27" t="n">
        <v>0</v>
      </c>
      <c r="H23" s="27" t="n">
        <v>0</v>
      </c>
      <c r="I23" s="27" t="n">
        <v>0</v>
      </c>
    </row>
    <row r="24" customFormat="false" ht="15" hidden="false" customHeight="false" outlineLevel="0" collapsed="false">
      <c r="A24" s="6" t="s">
        <v>251</v>
      </c>
      <c r="B24" s="6" t="s">
        <v>252</v>
      </c>
      <c r="C24" s="6" t="s">
        <v>263</v>
      </c>
      <c r="D24" s="6" t="s">
        <v>255</v>
      </c>
      <c r="E24" s="27" t="n">
        <v>0</v>
      </c>
      <c r="F24" s="27" t="n">
        <v>0</v>
      </c>
      <c r="G24" s="27" t="n">
        <v>0</v>
      </c>
      <c r="H24" s="27" t="n">
        <v>0</v>
      </c>
      <c r="I24" s="27" t="n">
        <v>0</v>
      </c>
    </row>
    <row r="25" customFormat="false" ht="15" hidden="false" customHeight="false" outlineLevel="0" collapsed="false">
      <c r="A25" s="6" t="s">
        <v>251</v>
      </c>
      <c r="B25" s="6" t="s">
        <v>252</v>
      </c>
      <c r="C25" s="6" t="s">
        <v>263</v>
      </c>
      <c r="D25" s="6" t="s">
        <v>256</v>
      </c>
      <c r="E25" s="27" t="n">
        <v>0</v>
      </c>
      <c r="F25" s="27" t="n">
        <v>0</v>
      </c>
      <c r="G25" s="27" t="n">
        <v>0</v>
      </c>
      <c r="H25" s="27" t="n">
        <v>0</v>
      </c>
      <c r="I25" s="27" t="n">
        <v>0</v>
      </c>
    </row>
    <row r="26" customFormat="false" ht="15" hidden="false" customHeight="false" outlineLevel="0" collapsed="false">
      <c r="A26" s="6" t="s">
        <v>251</v>
      </c>
      <c r="B26" s="6" t="s">
        <v>252</v>
      </c>
      <c r="C26" s="6" t="s">
        <v>263</v>
      </c>
      <c r="D26" s="6" t="s">
        <v>124</v>
      </c>
      <c r="E26" s="27" t="n">
        <v>13.675</v>
      </c>
      <c r="F26" s="27" t="n">
        <v>0.0798</v>
      </c>
      <c r="G26" s="27" t="n">
        <v>0.0988</v>
      </c>
      <c r="H26" s="27" t="n">
        <v>1.0779</v>
      </c>
      <c r="I26" s="27" t="n">
        <v>1.3295</v>
      </c>
    </row>
    <row r="27" customFormat="false" ht="15" hidden="false" customHeight="false" outlineLevel="0" collapsed="false">
      <c r="A27" s="6" t="s">
        <v>251</v>
      </c>
      <c r="B27" s="6" t="s">
        <v>252</v>
      </c>
      <c r="C27" s="6" t="s">
        <v>263</v>
      </c>
      <c r="D27" s="6" t="s">
        <v>257</v>
      </c>
      <c r="E27" s="27" t="n">
        <v>18.665</v>
      </c>
      <c r="F27" s="27" t="n">
        <v>0.2161</v>
      </c>
      <c r="G27" s="27" t="n">
        <v>0.0989</v>
      </c>
      <c r="H27" s="27" t="n">
        <v>3.8686</v>
      </c>
      <c r="I27" s="27" t="n">
        <v>1.788</v>
      </c>
    </row>
    <row r="28" customFormat="false" ht="15" hidden="false" customHeight="false" outlineLevel="0" collapsed="false">
      <c r="A28" s="6" t="s">
        <v>251</v>
      </c>
      <c r="B28" s="6" t="s">
        <v>252</v>
      </c>
      <c r="C28" s="6" t="s">
        <v>263</v>
      </c>
      <c r="D28" s="6" t="s">
        <v>258</v>
      </c>
      <c r="E28" s="27" t="n">
        <v>18.98</v>
      </c>
      <c r="F28" s="27" t="n">
        <v>0.5106</v>
      </c>
      <c r="G28" s="27" t="n">
        <v>0.1001</v>
      </c>
      <c r="H28" s="27" t="n">
        <v>9.3616</v>
      </c>
      <c r="I28" s="27" t="n">
        <v>1.8745</v>
      </c>
    </row>
    <row r="29" customFormat="false" ht="15" hidden="false" customHeight="false" outlineLevel="0" collapsed="false">
      <c r="A29" s="6" t="s">
        <v>251</v>
      </c>
      <c r="B29" s="6" t="s">
        <v>252</v>
      </c>
      <c r="C29" s="6" t="s">
        <v>263</v>
      </c>
      <c r="D29" s="6" t="s">
        <v>133</v>
      </c>
      <c r="E29" s="27" t="n">
        <v>22.625</v>
      </c>
      <c r="F29" s="27" t="n">
        <v>1.1902</v>
      </c>
      <c r="G29" s="27" t="n">
        <v>0.0985</v>
      </c>
      <c r="H29" s="27" t="n">
        <v>23.1511</v>
      </c>
      <c r="I29" s="27" t="n">
        <v>1.965</v>
      </c>
    </row>
    <row r="30" customFormat="false" ht="15" hidden="false" customHeight="false" outlineLevel="0" collapsed="false">
      <c r="A30" s="6" t="s">
        <v>251</v>
      </c>
      <c r="B30" s="6" t="s">
        <v>252</v>
      </c>
      <c r="C30" s="6" t="s">
        <v>263</v>
      </c>
      <c r="D30" s="6" t="s">
        <v>137</v>
      </c>
      <c r="E30" s="27" t="n">
        <v>20.49</v>
      </c>
      <c r="F30" s="27" t="n">
        <v>2.5171</v>
      </c>
      <c r="G30" s="27" t="n">
        <v>0.0994</v>
      </c>
      <c r="H30" s="27" t="n">
        <v>41.663</v>
      </c>
      <c r="I30" s="27" t="n">
        <v>1.9349</v>
      </c>
    </row>
    <row r="31" customFormat="false" ht="15" hidden="false" customHeight="false" outlineLevel="0" collapsed="false">
      <c r="A31" s="6" t="s">
        <v>251</v>
      </c>
      <c r="B31" s="6" t="s">
        <v>252</v>
      </c>
      <c r="C31" s="6" t="s">
        <v>263</v>
      </c>
      <c r="D31" s="6" t="s">
        <v>140</v>
      </c>
      <c r="E31" s="27" t="n">
        <v>17.23</v>
      </c>
      <c r="F31" s="27" t="n">
        <v>3.4626</v>
      </c>
      <c r="G31" s="27" t="n">
        <v>0.1006</v>
      </c>
      <c r="H31" s="27" t="n">
        <v>59.1264</v>
      </c>
      <c r="I31" s="27" t="n">
        <v>1.6491</v>
      </c>
    </row>
    <row r="32" customFormat="false" ht="15" hidden="false" customHeight="false" outlineLevel="0" collapsed="false">
      <c r="A32" s="6" t="s">
        <v>251</v>
      </c>
      <c r="B32" s="6" t="s">
        <v>252</v>
      </c>
      <c r="C32" s="6" t="s">
        <v>263</v>
      </c>
      <c r="D32" s="6" t="s">
        <v>125</v>
      </c>
      <c r="E32" s="27" t="n">
        <v>21.57</v>
      </c>
      <c r="F32" s="27" t="n">
        <v>2.6806</v>
      </c>
      <c r="G32" s="27" t="n">
        <v>0.0989</v>
      </c>
      <c r="H32" s="27" t="n">
        <v>53.2539</v>
      </c>
      <c r="I32" s="27" t="n">
        <v>1.941</v>
      </c>
    </row>
    <row r="33" customFormat="false" ht="15" hidden="false" customHeight="false" outlineLevel="0" collapsed="false">
      <c r="A33" s="6" t="s">
        <v>251</v>
      </c>
      <c r="B33" s="6" t="s">
        <v>252</v>
      </c>
      <c r="C33" s="6" t="s">
        <v>263</v>
      </c>
      <c r="D33" s="6" t="s">
        <v>259</v>
      </c>
      <c r="E33" s="27" t="n">
        <v>28.97</v>
      </c>
      <c r="F33" s="27" t="n">
        <v>5.8834</v>
      </c>
      <c r="G33" s="27" t="n">
        <v>0.1001</v>
      </c>
      <c r="H33" s="27" t="n">
        <v>117.2804</v>
      </c>
      <c r="I33" s="27" t="n">
        <v>2</v>
      </c>
    </row>
    <row r="34" customFormat="false" ht="15" hidden="false" customHeight="false" outlineLevel="0" collapsed="false">
      <c r="A34" s="6" t="s">
        <v>251</v>
      </c>
      <c r="B34" s="6" t="s">
        <v>252</v>
      </c>
      <c r="C34" s="6" t="s">
        <v>263</v>
      </c>
      <c r="D34" s="6" t="s">
        <v>260</v>
      </c>
      <c r="E34" s="27" t="n">
        <v>28.925</v>
      </c>
      <c r="F34" s="27" t="n">
        <v>10.5662</v>
      </c>
      <c r="G34" s="27" t="n">
        <v>0.0999</v>
      </c>
      <c r="H34" s="27" t="n">
        <v>208.0828</v>
      </c>
      <c r="I34" s="27" t="n">
        <v>2</v>
      </c>
    </row>
    <row r="35" customFormat="false" ht="15" hidden="false" customHeight="false" outlineLevel="0" collapsed="false">
      <c r="A35" s="6" t="s">
        <v>251</v>
      </c>
      <c r="B35" s="6" t="s">
        <v>252</v>
      </c>
      <c r="C35" s="6" t="s">
        <v>263</v>
      </c>
      <c r="D35" s="6" t="s">
        <v>134</v>
      </c>
      <c r="E35" s="27" t="n">
        <v>22.34</v>
      </c>
      <c r="F35" s="27" t="n">
        <v>14.0006</v>
      </c>
      <c r="G35" s="27" t="n">
        <v>0.1006</v>
      </c>
      <c r="H35" s="27" t="n">
        <v>272.3424</v>
      </c>
      <c r="I35" s="27" t="n">
        <v>1.9149</v>
      </c>
    </row>
    <row r="36" customFormat="false" ht="15" hidden="false" customHeight="false" outlineLevel="0" collapsed="false">
      <c r="A36" s="6" t="s">
        <v>251</v>
      </c>
      <c r="B36" s="6" t="s">
        <v>252</v>
      </c>
      <c r="C36" s="6" t="s">
        <v>263</v>
      </c>
      <c r="D36" s="6" t="s">
        <v>138</v>
      </c>
      <c r="E36" s="27" t="n">
        <v>14.85</v>
      </c>
      <c r="F36" s="27" t="n">
        <v>13.575</v>
      </c>
      <c r="G36" s="27" t="n">
        <v>0.1012</v>
      </c>
      <c r="H36" s="27" t="n">
        <v>266.5962</v>
      </c>
      <c r="I36" s="27" t="n">
        <v>1.9893</v>
      </c>
    </row>
    <row r="37" customFormat="false" ht="15" hidden="false" customHeight="false" outlineLevel="0" collapsed="false">
      <c r="A37" s="6" t="s">
        <v>251</v>
      </c>
      <c r="B37" s="6" t="s">
        <v>252</v>
      </c>
      <c r="C37" s="6" t="s">
        <v>263</v>
      </c>
      <c r="D37" s="6" t="s">
        <v>141</v>
      </c>
      <c r="E37" s="27" t="n">
        <v>7.43</v>
      </c>
      <c r="F37" s="27" t="n">
        <v>9.3754</v>
      </c>
      <c r="G37" s="27" t="n">
        <v>0.1004</v>
      </c>
      <c r="H37" s="27" t="n">
        <v>178.3619</v>
      </c>
      <c r="I37" s="27" t="n">
        <v>2</v>
      </c>
    </row>
    <row r="38" customFormat="false" ht="15" hidden="false" customHeight="false" outlineLevel="0" collapsed="false">
      <c r="A38" s="6" t="s">
        <v>251</v>
      </c>
      <c r="B38" s="6" t="s">
        <v>252</v>
      </c>
      <c r="C38" s="6" t="s">
        <v>263</v>
      </c>
      <c r="D38" s="6" t="s">
        <v>128</v>
      </c>
      <c r="E38" s="27" t="n">
        <v>0.18</v>
      </c>
      <c r="F38" s="27" t="n">
        <v>5.0103</v>
      </c>
      <c r="G38" s="27" t="n">
        <v>0.0846</v>
      </c>
      <c r="H38" s="27" t="n">
        <v>37.6272</v>
      </c>
      <c r="I38" s="27" t="n">
        <v>1.1412</v>
      </c>
    </row>
    <row r="39" customFormat="false" ht="15" hidden="false" customHeight="false" outlineLevel="0" collapsed="false">
      <c r="A39" s="6" t="s">
        <v>251</v>
      </c>
      <c r="B39" s="6" t="s">
        <v>252</v>
      </c>
      <c r="C39" s="6" t="s">
        <v>263</v>
      </c>
      <c r="D39" s="6" t="s">
        <v>261</v>
      </c>
      <c r="E39" s="27" t="n">
        <v>0</v>
      </c>
      <c r="F39" s="27" t="n">
        <v>0</v>
      </c>
      <c r="G39" s="27" t="n">
        <v>0</v>
      </c>
      <c r="H39" s="27" t="n">
        <v>0</v>
      </c>
      <c r="I39" s="27" t="n">
        <v>0</v>
      </c>
    </row>
    <row r="40" customFormat="false" ht="15" hidden="false" customHeight="false" outlineLevel="0" collapsed="false">
      <c r="A40" s="6" t="s">
        <v>251</v>
      </c>
      <c r="B40" s="6" t="s">
        <v>252</v>
      </c>
      <c r="C40" s="6" t="s">
        <v>263</v>
      </c>
      <c r="D40" s="6" t="s">
        <v>262</v>
      </c>
      <c r="E40" s="27" t="n">
        <v>0</v>
      </c>
      <c r="F40" s="27" t="n">
        <v>0</v>
      </c>
      <c r="G40" s="27" t="n">
        <v>0</v>
      </c>
      <c r="H40" s="27" t="n">
        <v>0</v>
      </c>
      <c r="I40" s="27" t="n">
        <v>0</v>
      </c>
    </row>
    <row r="41" customFormat="false" ht="15" hidden="false" customHeight="false" outlineLevel="0" collapsed="false">
      <c r="A41" s="6" t="s">
        <v>251</v>
      </c>
      <c r="B41" s="6" t="s">
        <v>252</v>
      </c>
      <c r="C41" s="6" t="s">
        <v>264</v>
      </c>
      <c r="D41" s="6" t="s">
        <v>254</v>
      </c>
      <c r="E41" s="27" t="n">
        <v>0</v>
      </c>
      <c r="F41" s="27" t="n">
        <v>0</v>
      </c>
      <c r="G41" s="27" t="n">
        <v>0</v>
      </c>
      <c r="H41" s="27" t="n">
        <v>0</v>
      </c>
      <c r="I41" s="27" t="n">
        <v>0</v>
      </c>
    </row>
    <row r="42" customFormat="false" ht="15" hidden="false" customHeight="false" outlineLevel="0" collapsed="false">
      <c r="A42" s="6" t="s">
        <v>251</v>
      </c>
      <c r="B42" s="6" t="s">
        <v>252</v>
      </c>
      <c r="C42" s="6" t="s">
        <v>264</v>
      </c>
      <c r="D42" s="6" t="s">
        <v>255</v>
      </c>
      <c r="E42" s="27" t="n">
        <v>0</v>
      </c>
      <c r="F42" s="27" t="n">
        <v>0</v>
      </c>
      <c r="G42" s="27" t="n">
        <v>0</v>
      </c>
      <c r="H42" s="27" t="n">
        <v>0</v>
      </c>
      <c r="I42" s="27" t="n">
        <v>0</v>
      </c>
    </row>
    <row r="43" customFormat="false" ht="15" hidden="false" customHeight="false" outlineLevel="0" collapsed="false">
      <c r="A43" s="6" t="s">
        <v>251</v>
      </c>
      <c r="B43" s="6" t="s">
        <v>252</v>
      </c>
      <c r="C43" s="6" t="s">
        <v>264</v>
      </c>
      <c r="D43" s="6" t="s">
        <v>256</v>
      </c>
      <c r="E43" s="27" t="n">
        <v>0</v>
      </c>
      <c r="F43" s="27" t="n">
        <v>0</v>
      </c>
      <c r="G43" s="27" t="n">
        <v>0</v>
      </c>
      <c r="H43" s="27" t="n">
        <v>0</v>
      </c>
      <c r="I43" s="27" t="n">
        <v>0</v>
      </c>
    </row>
    <row r="44" customFormat="false" ht="15" hidden="false" customHeight="false" outlineLevel="0" collapsed="false">
      <c r="A44" s="6" t="s">
        <v>251</v>
      </c>
      <c r="B44" s="6" t="s">
        <v>252</v>
      </c>
      <c r="C44" s="6" t="s">
        <v>264</v>
      </c>
      <c r="D44" s="6" t="s">
        <v>124</v>
      </c>
      <c r="E44" s="27" t="n">
        <v>11.705</v>
      </c>
      <c r="F44" s="27" t="n">
        <v>0</v>
      </c>
      <c r="G44" s="27" t="n">
        <v>13.4814</v>
      </c>
      <c r="H44" s="27" t="n">
        <v>0</v>
      </c>
      <c r="I44" s="27" t="n">
        <v>45.3753</v>
      </c>
    </row>
    <row r="45" customFormat="false" ht="15" hidden="false" customHeight="false" outlineLevel="0" collapsed="false">
      <c r="A45" s="6" t="s">
        <v>251</v>
      </c>
      <c r="B45" s="6" t="s">
        <v>252</v>
      </c>
      <c r="C45" s="6" t="s">
        <v>264</v>
      </c>
      <c r="D45" s="6" t="s">
        <v>257</v>
      </c>
      <c r="E45" s="27" t="n">
        <v>17.93</v>
      </c>
      <c r="F45" s="27" t="n">
        <v>0</v>
      </c>
      <c r="G45" s="27" t="n">
        <v>13.5153</v>
      </c>
      <c r="H45" s="27" t="n">
        <v>0</v>
      </c>
      <c r="I45" s="27" t="n">
        <v>189.0406</v>
      </c>
    </row>
    <row r="46" customFormat="false" ht="15" hidden="false" customHeight="false" outlineLevel="0" collapsed="false">
      <c r="A46" s="6" t="s">
        <v>251</v>
      </c>
      <c r="B46" s="6" t="s">
        <v>252</v>
      </c>
      <c r="C46" s="6" t="s">
        <v>264</v>
      </c>
      <c r="D46" s="6" t="s">
        <v>258</v>
      </c>
      <c r="E46" s="27" t="n">
        <v>18.91</v>
      </c>
      <c r="F46" s="27" t="n">
        <v>0</v>
      </c>
      <c r="G46" s="27" t="n">
        <v>13.5054</v>
      </c>
      <c r="H46" s="27" t="n">
        <v>0</v>
      </c>
      <c r="I46" s="27" t="n">
        <v>246.9507</v>
      </c>
    </row>
    <row r="47" customFormat="false" ht="15" hidden="false" customHeight="false" outlineLevel="0" collapsed="false">
      <c r="A47" s="6" t="s">
        <v>251</v>
      </c>
      <c r="B47" s="6" t="s">
        <v>252</v>
      </c>
      <c r="C47" s="6" t="s">
        <v>264</v>
      </c>
      <c r="D47" s="6" t="s">
        <v>133</v>
      </c>
      <c r="E47" s="27" t="n">
        <v>19.7</v>
      </c>
      <c r="F47" s="27" t="n">
        <v>0</v>
      </c>
      <c r="G47" s="27" t="n">
        <v>13.4964</v>
      </c>
      <c r="H47" s="27" t="n">
        <v>0</v>
      </c>
      <c r="I47" s="27" t="n">
        <v>257.7536</v>
      </c>
    </row>
    <row r="48" customFormat="false" ht="15" hidden="false" customHeight="false" outlineLevel="0" collapsed="false">
      <c r="A48" s="6" t="s">
        <v>251</v>
      </c>
      <c r="B48" s="6" t="s">
        <v>252</v>
      </c>
      <c r="C48" s="6" t="s">
        <v>264</v>
      </c>
      <c r="D48" s="6" t="s">
        <v>137</v>
      </c>
      <c r="E48" s="27" t="n">
        <v>19.83</v>
      </c>
      <c r="F48" s="27" t="n">
        <v>0</v>
      </c>
      <c r="G48" s="27" t="n">
        <v>13.5024</v>
      </c>
      <c r="H48" s="27" t="n">
        <v>0</v>
      </c>
      <c r="I48" s="27" t="n">
        <v>268.3553</v>
      </c>
    </row>
    <row r="49" customFormat="false" ht="15" hidden="false" customHeight="false" outlineLevel="0" collapsed="false">
      <c r="A49" s="6" t="s">
        <v>251</v>
      </c>
      <c r="B49" s="6" t="s">
        <v>252</v>
      </c>
      <c r="C49" s="6" t="s">
        <v>264</v>
      </c>
      <c r="D49" s="6" t="s">
        <v>140</v>
      </c>
      <c r="E49" s="27" t="n">
        <v>16.155</v>
      </c>
      <c r="F49" s="27" t="n">
        <v>0</v>
      </c>
      <c r="G49" s="27" t="n">
        <v>13.4823</v>
      </c>
      <c r="H49" s="27" t="n">
        <v>0</v>
      </c>
      <c r="I49" s="27" t="n">
        <v>245.4804</v>
      </c>
    </row>
    <row r="50" customFormat="false" ht="15" hidden="false" customHeight="false" outlineLevel="0" collapsed="false">
      <c r="A50" s="6" t="s">
        <v>251</v>
      </c>
      <c r="B50" s="6" t="s">
        <v>252</v>
      </c>
      <c r="C50" s="6" t="s">
        <v>264</v>
      </c>
      <c r="D50" s="6" t="s">
        <v>125</v>
      </c>
      <c r="E50" s="27" t="n">
        <v>19.42</v>
      </c>
      <c r="F50" s="27" t="n">
        <v>0</v>
      </c>
      <c r="G50" s="27" t="n">
        <v>13.4982</v>
      </c>
      <c r="H50" s="27" t="n">
        <v>0</v>
      </c>
      <c r="I50" s="27" t="n">
        <v>236.9224</v>
      </c>
    </row>
    <row r="51" customFormat="false" ht="15" hidden="false" customHeight="false" outlineLevel="0" collapsed="false">
      <c r="A51" s="6" t="s">
        <v>251</v>
      </c>
      <c r="B51" s="6" t="s">
        <v>252</v>
      </c>
      <c r="C51" s="6" t="s">
        <v>264</v>
      </c>
      <c r="D51" s="6" t="s">
        <v>259</v>
      </c>
      <c r="E51" s="27" t="n">
        <v>20.115</v>
      </c>
      <c r="F51" s="27" t="n">
        <v>0</v>
      </c>
      <c r="G51" s="27" t="n">
        <v>13.4738</v>
      </c>
      <c r="H51" s="27" t="n">
        <v>0</v>
      </c>
      <c r="I51" s="27" t="n">
        <v>266.1209</v>
      </c>
    </row>
    <row r="52" customFormat="false" ht="15" hidden="false" customHeight="false" outlineLevel="0" collapsed="false">
      <c r="A52" s="6" t="s">
        <v>251</v>
      </c>
      <c r="B52" s="6" t="s">
        <v>252</v>
      </c>
      <c r="C52" s="6" t="s">
        <v>264</v>
      </c>
      <c r="D52" s="6" t="s">
        <v>260</v>
      </c>
      <c r="E52" s="27" t="n">
        <v>19.965</v>
      </c>
      <c r="F52" s="27" t="n">
        <v>0</v>
      </c>
      <c r="G52" s="27" t="n">
        <v>13.4879</v>
      </c>
      <c r="H52" s="27" t="n">
        <v>0</v>
      </c>
      <c r="I52" s="27" t="n">
        <v>271.5178</v>
      </c>
    </row>
    <row r="53" customFormat="false" ht="15" hidden="false" customHeight="false" outlineLevel="0" collapsed="false">
      <c r="A53" s="6" t="s">
        <v>251</v>
      </c>
      <c r="B53" s="6" t="s">
        <v>252</v>
      </c>
      <c r="C53" s="6" t="s">
        <v>264</v>
      </c>
      <c r="D53" s="6" t="s">
        <v>134</v>
      </c>
      <c r="E53" s="27" t="n">
        <v>19.44</v>
      </c>
      <c r="F53" s="27" t="n">
        <v>0</v>
      </c>
      <c r="G53" s="27" t="n">
        <v>13.482</v>
      </c>
      <c r="H53" s="27" t="n">
        <v>0</v>
      </c>
      <c r="I53" s="27" t="n">
        <v>268.2151</v>
      </c>
    </row>
    <row r="54" customFormat="false" ht="15" hidden="false" customHeight="false" outlineLevel="0" collapsed="false">
      <c r="A54" s="6" t="s">
        <v>251</v>
      </c>
      <c r="B54" s="6" t="s">
        <v>252</v>
      </c>
      <c r="C54" s="6" t="s">
        <v>264</v>
      </c>
      <c r="D54" s="6" t="s">
        <v>138</v>
      </c>
      <c r="E54" s="27" t="n">
        <v>19.31</v>
      </c>
      <c r="F54" s="27" t="n">
        <v>0</v>
      </c>
      <c r="G54" s="27" t="n">
        <v>13.5043</v>
      </c>
      <c r="H54" s="27" t="n">
        <v>0</v>
      </c>
      <c r="I54" s="27" t="n">
        <v>260.0159</v>
      </c>
    </row>
    <row r="55" customFormat="false" ht="15" hidden="false" customHeight="false" outlineLevel="0" collapsed="false">
      <c r="A55" s="6" t="s">
        <v>251</v>
      </c>
      <c r="B55" s="6" t="s">
        <v>252</v>
      </c>
      <c r="C55" s="6" t="s">
        <v>264</v>
      </c>
      <c r="D55" s="6" t="s">
        <v>141</v>
      </c>
      <c r="E55" s="27" t="n">
        <v>19.82</v>
      </c>
      <c r="F55" s="27" t="n">
        <v>0</v>
      </c>
      <c r="G55" s="27" t="n">
        <v>13.4834</v>
      </c>
      <c r="H55" s="27" t="n">
        <v>0</v>
      </c>
      <c r="I55" s="27" t="n">
        <v>264.3403</v>
      </c>
    </row>
    <row r="56" customFormat="false" ht="15" hidden="false" customHeight="false" outlineLevel="0" collapsed="false">
      <c r="A56" s="6" t="s">
        <v>251</v>
      </c>
      <c r="B56" s="6" t="s">
        <v>252</v>
      </c>
      <c r="C56" s="6" t="s">
        <v>264</v>
      </c>
      <c r="D56" s="6" t="s">
        <v>128</v>
      </c>
      <c r="E56" s="27" t="n">
        <v>13.56</v>
      </c>
      <c r="F56" s="27" t="n">
        <v>0</v>
      </c>
      <c r="G56" s="27" t="n">
        <v>13.5204</v>
      </c>
      <c r="H56" s="27" t="n">
        <v>0</v>
      </c>
      <c r="I56" s="27" t="n">
        <v>251.6354</v>
      </c>
    </row>
    <row r="57" customFormat="false" ht="15" hidden="false" customHeight="false" outlineLevel="0" collapsed="false">
      <c r="A57" s="6" t="s">
        <v>251</v>
      </c>
      <c r="B57" s="6" t="s">
        <v>252</v>
      </c>
      <c r="C57" s="6" t="s">
        <v>264</v>
      </c>
      <c r="D57" s="6" t="s">
        <v>261</v>
      </c>
      <c r="E57" s="27" t="n">
        <v>0.07</v>
      </c>
      <c r="F57" s="27" t="n">
        <v>0</v>
      </c>
      <c r="G57" s="27" t="n">
        <v>13.4319</v>
      </c>
      <c r="H57" s="27" t="n">
        <v>0</v>
      </c>
      <c r="I57" s="27" t="n">
        <v>108.3134</v>
      </c>
    </row>
    <row r="58" customFormat="false" ht="15" hidden="false" customHeight="false" outlineLevel="0" collapsed="false">
      <c r="A58" s="6" t="s">
        <v>251</v>
      </c>
      <c r="B58" s="6" t="s">
        <v>252</v>
      </c>
      <c r="C58" s="6" t="s">
        <v>264</v>
      </c>
      <c r="D58" s="6" t="s">
        <v>262</v>
      </c>
      <c r="E58" s="27" t="n">
        <v>0</v>
      </c>
      <c r="F58" s="27" t="n">
        <v>0</v>
      </c>
      <c r="G58" s="27" t="n">
        <v>0</v>
      </c>
      <c r="H58" s="27" t="n">
        <v>0</v>
      </c>
      <c r="I58" s="27" t="n">
        <v>3.738</v>
      </c>
    </row>
    <row r="59" customFormat="false" ht="15" hidden="false" customHeight="false" outlineLevel="0" collapsed="false">
      <c r="A59" s="6" t="s">
        <v>251</v>
      </c>
      <c r="B59" s="6" t="s">
        <v>252</v>
      </c>
      <c r="C59" s="6" t="s">
        <v>265</v>
      </c>
      <c r="D59" s="6" t="s">
        <v>254</v>
      </c>
      <c r="E59" s="27" t="n">
        <v>0</v>
      </c>
      <c r="F59" s="27" t="n">
        <v>0</v>
      </c>
      <c r="G59" s="27" t="n">
        <v>0</v>
      </c>
      <c r="H59" s="27" t="n">
        <v>0</v>
      </c>
      <c r="I59" s="27" t="n">
        <v>0</v>
      </c>
    </row>
    <row r="60" customFormat="false" ht="15" hidden="false" customHeight="false" outlineLevel="0" collapsed="false">
      <c r="A60" s="6" t="s">
        <v>251</v>
      </c>
      <c r="B60" s="6" t="s">
        <v>252</v>
      </c>
      <c r="C60" s="6" t="s">
        <v>265</v>
      </c>
      <c r="D60" s="6" t="s">
        <v>255</v>
      </c>
      <c r="E60" s="27" t="n">
        <v>0</v>
      </c>
      <c r="F60" s="27" t="n">
        <v>0</v>
      </c>
      <c r="G60" s="27" t="n">
        <v>0</v>
      </c>
      <c r="H60" s="27" t="n">
        <v>0</v>
      </c>
      <c r="I60" s="27" t="n">
        <v>0</v>
      </c>
    </row>
    <row r="61" customFormat="false" ht="15" hidden="false" customHeight="false" outlineLevel="0" collapsed="false">
      <c r="A61" s="6" t="s">
        <v>251</v>
      </c>
      <c r="B61" s="6" t="s">
        <v>252</v>
      </c>
      <c r="C61" s="6" t="s">
        <v>265</v>
      </c>
      <c r="D61" s="6" t="s">
        <v>256</v>
      </c>
      <c r="E61" s="27" t="n">
        <v>0</v>
      </c>
      <c r="F61" s="27" t="n">
        <v>0</v>
      </c>
      <c r="G61" s="27" t="n">
        <v>0</v>
      </c>
      <c r="H61" s="27" t="n">
        <v>0</v>
      </c>
      <c r="I61" s="27" t="n">
        <v>0</v>
      </c>
    </row>
    <row r="62" customFormat="false" ht="15" hidden="false" customHeight="false" outlineLevel="0" collapsed="false">
      <c r="A62" s="6" t="s">
        <v>251</v>
      </c>
      <c r="B62" s="6" t="s">
        <v>252</v>
      </c>
      <c r="C62" s="6" t="s">
        <v>265</v>
      </c>
      <c r="D62" s="6" t="s">
        <v>124</v>
      </c>
      <c r="E62" s="27" t="n">
        <v>0</v>
      </c>
      <c r="F62" s="27" t="n">
        <v>0</v>
      </c>
      <c r="G62" s="27" t="n">
        <v>0</v>
      </c>
      <c r="H62" s="27" t="n">
        <v>0</v>
      </c>
      <c r="I62" s="27" t="n">
        <v>0</v>
      </c>
    </row>
    <row r="63" customFormat="false" ht="15" hidden="false" customHeight="false" outlineLevel="0" collapsed="false">
      <c r="A63" s="6" t="s">
        <v>251</v>
      </c>
      <c r="B63" s="6" t="s">
        <v>252</v>
      </c>
      <c r="C63" s="6" t="s">
        <v>265</v>
      </c>
      <c r="D63" s="6" t="s">
        <v>257</v>
      </c>
      <c r="E63" s="27" t="n">
        <v>6.245</v>
      </c>
      <c r="F63" s="27" t="n">
        <v>0</v>
      </c>
      <c r="G63" s="27" t="n">
        <v>1.5139</v>
      </c>
      <c r="H63" s="27" t="n">
        <v>0</v>
      </c>
      <c r="I63" s="27" t="n">
        <v>7.735</v>
      </c>
    </row>
    <row r="64" customFormat="false" ht="15" hidden="false" customHeight="false" outlineLevel="0" collapsed="false">
      <c r="A64" s="6" t="s">
        <v>251</v>
      </c>
      <c r="B64" s="6" t="s">
        <v>252</v>
      </c>
      <c r="C64" s="6" t="s">
        <v>265</v>
      </c>
      <c r="D64" s="6" t="s">
        <v>258</v>
      </c>
      <c r="E64" s="27" t="n">
        <v>16.73</v>
      </c>
      <c r="F64" s="27" t="n">
        <v>0</v>
      </c>
      <c r="G64" s="27" t="n">
        <v>1.5033</v>
      </c>
      <c r="H64" s="27" t="n">
        <v>0</v>
      </c>
      <c r="I64" s="27" t="n">
        <v>24.6229</v>
      </c>
    </row>
    <row r="65" customFormat="false" ht="15" hidden="false" customHeight="false" outlineLevel="0" collapsed="false">
      <c r="A65" s="6" t="s">
        <v>251</v>
      </c>
      <c r="B65" s="6" t="s">
        <v>252</v>
      </c>
      <c r="C65" s="6" t="s">
        <v>265</v>
      </c>
      <c r="D65" s="6" t="s">
        <v>133</v>
      </c>
      <c r="E65" s="27" t="n">
        <v>18.815</v>
      </c>
      <c r="F65" s="27" t="n">
        <v>0</v>
      </c>
      <c r="G65" s="27" t="n">
        <v>1.4977</v>
      </c>
      <c r="H65" s="27" t="n">
        <v>0</v>
      </c>
      <c r="I65" s="27" t="n">
        <v>28.1864</v>
      </c>
    </row>
    <row r="66" customFormat="false" ht="15" hidden="false" customHeight="false" outlineLevel="0" collapsed="false">
      <c r="A66" s="6" t="s">
        <v>251</v>
      </c>
      <c r="B66" s="6" t="s">
        <v>252</v>
      </c>
      <c r="C66" s="6" t="s">
        <v>265</v>
      </c>
      <c r="D66" s="6" t="s">
        <v>137</v>
      </c>
      <c r="E66" s="27" t="n">
        <v>19.345</v>
      </c>
      <c r="F66" s="27" t="n">
        <v>0</v>
      </c>
      <c r="G66" s="27" t="n">
        <v>1.4989</v>
      </c>
      <c r="H66" s="27" t="n">
        <v>0</v>
      </c>
      <c r="I66" s="27" t="n">
        <v>28.8256</v>
      </c>
    </row>
    <row r="67" customFormat="false" ht="15" hidden="false" customHeight="false" outlineLevel="0" collapsed="false">
      <c r="A67" s="6" t="s">
        <v>251</v>
      </c>
      <c r="B67" s="6" t="s">
        <v>252</v>
      </c>
      <c r="C67" s="6" t="s">
        <v>265</v>
      </c>
      <c r="D67" s="6" t="s">
        <v>140</v>
      </c>
      <c r="E67" s="27" t="n">
        <v>20.085</v>
      </c>
      <c r="F67" s="27" t="n">
        <v>0</v>
      </c>
      <c r="G67" s="27" t="n">
        <v>1.5003</v>
      </c>
      <c r="H67" s="27" t="n">
        <v>0</v>
      </c>
      <c r="I67" s="27" t="n">
        <v>30.1208</v>
      </c>
    </row>
    <row r="68" customFormat="false" ht="15" hidden="false" customHeight="false" outlineLevel="0" collapsed="false">
      <c r="A68" s="6" t="s">
        <v>251</v>
      </c>
      <c r="B68" s="6" t="s">
        <v>252</v>
      </c>
      <c r="C68" s="6" t="s">
        <v>265</v>
      </c>
      <c r="D68" s="6" t="s">
        <v>125</v>
      </c>
      <c r="E68" s="27" t="n">
        <v>16.53</v>
      </c>
      <c r="F68" s="27" t="n">
        <v>0</v>
      </c>
      <c r="G68" s="27" t="n">
        <v>1.507</v>
      </c>
      <c r="H68" s="27" t="n">
        <v>0</v>
      </c>
      <c r="I68" s="27" t="n">
        <v>25.3329</v>
      </c>
    </row>
    <row r="69" customFormat="false" ht="15" hidden="false" customHeight="false" outlineLevel="0" collapsed="false">
      <c r="A69" s="6" t="s">
        <v>251</v>
      </c>
      <c r="B69" s="6" t="s">
        <v>252</v>
      </c>
      <c r="C69" s="6" t="s">
        <v>265</v>
      </c>
      <c r="D69" s="6" t="s">
        <v>259</v>
      </c>
      <c r="E69" s="27" t="n">
        <v>18.795</v>
      </c>
      <c r="F69" s="27" t="n">
        <v>0</v>
      </c>
      <c r="G69" s="27" t="n">
        <v>1.4933</v>
      </c>
      <c r="H69" s="27" t="n">
        <v>0</v>
      </c>
      <c r="I69" s="27" t="n">
        <v>27.9021</v>
      </c>
    </row>
    <row r="70" customFormat="false" ht="15" hidden="false" customHeight="false" outlineLevel="0" collapsed="false">
      <c r="A70" s="6" t="s">
        <v>251</v>
      </c>
      <c r="B70" s="6" t="s">
        <v>252</v>
      </c>
      <c r="C70" s="6" t="s">
        <v>265</v>
      </c>
      <c r="D70" s="6" t="s">
        <v>260</v>
      </c>
      <c r="E70" s="27" t="n">
        <v>20.39</v>
      </c>
      <c r="F70" s="27" t="n">
        <v>0</v>
      </c>
      <c r="G70" s="27" t="n">
        <v>1.5054</v>
      </c>
      <c r="H70" s="27" t="n">
        <v>0</v>
      </c>
      <c r="I70" s="27" t="n">
        <v>30.3844</v>
      </c>
    </row>
    <row r="71" customFormat="false" ht="15" hidden="false" customHeight="false" outlineLevel="0" collapsed="false">
      <c r="A71" s="6" t="s">
        <v>251</v>
      </c>
      <c r="B71" s="6" t="s">
        <v>252</v>
      </c>
      <c r="C71" s="6" t="s">
        <v>265</v>
      </c>
      <c r="D71" s="6" t="s">
        <v>134</v>
      </c>
      <c r="E71" s="27" t="n">
        <v>19.85</v>
      </c>
      <c r="F71" s="27" t="n">
        <v>0</v>
      </c>
      <c r="G71" s="27" t="n">
        <v>1.5087</v>
      </c>
      <c r="H71" s="27" t="n">
        <v>0</v>
      </c>
      <c r="I71" s="27" t="n">
        <v>30.0516</v>
      </c>
    </row>
    <row r="72" customFormat="false" ht="15" hidden="false" customHeight="false" outlineLevel="0" collapsed="false">
      <c r="A72" s="6" t="s">
        <v>251</v>
      </c>
      <c r="B72" s="6" t="s">
        <v>252</v>
      </c>
      <c r="C72" s="6" t="s">
        <v>265</v>
      </c>
      <c r="D72" s="6" t="s">
        <v>138</v>
      </c>
      <c r="E72" s="27" t="n">
        <v>19.88</v>
      </c>
      <c r="F72" s="27" t="n">
        <v>0</v>
      </c>
      <c r="G72" s="27" t="n">
        <v>1.5083</v>
      </c>
      <c r="H72" s="27" t="n">
        <v>0</v>
      </c>
      <c r="I72" s="27" t="n">
        <v>30.1143</v>
      </c>
    </row>
    <row r="73" customFormat="false" ht="15" hidden="false" customHeight="false" outlineLevel="0" collapsed="false">
      <c r="A73" s="6" t="s">
        <v>251</v>
      </c>
      <c r="B73" s="6" t="s">
        <v>252</v>
      </c>
      <c r="C73" s="6" t="s">
        <v>265</v>
      </c>
      <c r="D73" s="6" t="s">
        <v>141</v>
      </c>
      <c r="E73" s="27" t="n">
        <v>18.985</v>
      </c>
      <c r="F73" s="27" t="n">
        <v>0</v>
      </c>
      <c r="G73" s="27" t="n">
        <v>1.5055</v>
      </c>
      <c r="H73" s="27" t="n">
        <v>0</v>
      </c>
      <c r="I73" s="27" t="n">
        <v>28.5444</v>
      </c>
    </row>
    <row r="74" customFormat="false" ht="15" hidden="false" customHeight="false" outlineLevel="0" collapsed="false">
      <c r="A74" s="6" t="s">
        <v>251</v>
      </c>
      <c r="B74" s="6" t="s">
        <v>252</v>
      </c>
      <c r="C74" s="6" t="s">
        <v>265</v>
      </c>
      <c r="D74" s="6" t="s">
        <v>128</v>
      </c>
      <c r="E74" s="27" t="n">
        <v>19.79</v>
      </c>
      <c r="F74" s="27" t="n">
        <v>0</v>
      </c>
      <c r="G74" s="27" t="n">
        <v>1.503</v>
      </c>
      <c r="H74" s="27" t="n">
        <v>0</v>
      </c>
      <c r="I74" s="27" t="n">
        <v>29.7958</v>
      </c>
    </row>
    <row r="75" customFormat="false" ht="15" hidden="false" customHeight="false" outlineLevel="0" collapsed="false">
      <c r="A75" s="6" t="s">
        <v>251</v>
      </c>
      <c r="B75" s="6" t="s">
        <v>252</v>
      </c>
      <c r="C75" s="6" t="s">
        <v>265</v>
      </c>
      <c r="D75" s="6" t="s">
        <v>261</v>
      </c>
      <c r="E75" s="27" t="n">
        <v>18.125</v>
      </c>
      <c r="F75" s="27" t="n">
        <v>0</v>
      </c>
      <c r="G75" s="27" t="n">
        <v>1.4883</v>
      </c>
      <c r="H75" s="27" t="n">
        <v>0</v>
      </c>
      <c r="I75" s="27" t="n">
        <v>27.7432</v>
      </c>
    </row>
    <row r="76" customFormat="false" ht="15" hidden="false" customHeight="false" outlineLevel="0" collapsed="false">
      <c r="A76" s="6" t="s">
        <v>251</v>
      </c>
      <c r="B76" s="6" t="s">
        <v>252</v>
      </c>
      <c r="C76" s="6" t="s">
        <v>265</v>
      </c>
      <c r="D76" s="6" t="s">
        <v>262</v>
      </c>
      <c r="E76" s="27" t="n">
        <v>2.365</v>
      </c>
      <c r="F76" s="27" t="n">
        <v>0</v>
      </c>
      <c r="G76" s="27" t="n">
        <v>1.4933</v>
      </c>
      <c r="H76" s="27" t="n">
        <v>0</v>
      </c>
      <c r="I76" s="27" t="n">
        <v>4.9934</v>
      </c>
    </row>
    <row r="77" customFormat="false" ht="15" hidden="false" customHeight="false" outlineLevel="0" collapsed="false">
      <c r="A77" s="6" t="s">
        <v>251</v>
      </c>
      <c r="B77" s="6" t="s">
        <v>252</v>
      </c>
      <c r="C77" s="6" t="s">
        <v>238</v>
      </c>
      <c r="D77" s="6" t="s">
        <v>254</v>
      </c>
      <c r="E77" s="27" t="n">
        <v>0</v>
      </c>
      <c r="F77" s="27" t="n">
        <v>0</v>
      </c>
      <c r="G77" s="27" t="n">
        <v>0</v>
      </c>
      <c r="H77" s="27" t="n">
        <v>0</v>
      </c>
      <c r="I77" s="27" t="n">
        <v>0</v>
      </c>
    </row>
    <row r="78" customFormat="false" ht="15" hidden="false" customHeight="false" outlineLevel="0" collapsed="false">
      <c r="A78" s="6" t="s">
        <v>251</v>
      </c>
      <c r="B78" s="6" t="s">
        <v>252</v>
      </c>
      <c r="C78" s="6" t="s">
        <v>238</v>
      </c>
      <c r="D78" s="6" t="s">
        <v>255</v>
      </c>
      <c r="E78" s="27" t="n">
        <v>0</v>
      </c>
      <c r="F78" s="27" t="n">
        <v>0</v>
      </c>
      <c r="G78" s="27" t="n">
        <v>0</v>
      </c>
      <c r="H78" s="27" t="n">
        <v>0</v>
      </c>
      <c r="I78" s="27" t="n">
        <v>0</v>
      </c>
    </row>
    <row r="79" customFormat="false" ht="15" hidden="false" customHeight="false" outlineLevel="0" collapsed="false">
      <c r="A79" s="6" t="s">
        <v>251</v>
      </c>
      <c r="B79" s="6" t="s">
        <v>252</v>
      </c>
      <c r="C79" s="6" t="s">
        <v>238</v>
      </c>
      <c r="D79" s="6" t="s">
        <v>256</v>
      </c>
      <c r="E79" s="27" t="n">
        <v>0</v>
      </c>
      <c r="F79" s="27" t="n">
        <v>0</v>
      </c>
      <c r="G79" s="27" t="n">
        <v>0</v>
      </c>
      <c r="H79" s="27" t="n">
        <v>0</v>
      </c>
      <c r="I79" s="27" t="n">
        <v>0</v>
      </c>
    </row>
    <row r="80" customFormat="false" ht="15" hidden="false" customHeight="false" outlineLevel="0" collapsed="false">
      <c r="A80" s="6" t="s">
        <v>251</v>
      </c>
      <c r="B80" s="6" t="s">
        <v>252</v>
      </c>
      <c r="C80" s="6" t="s">
        <v>238</v>
      </c>
      <c r="D80" s="6" t="s">
        <v>124</v>
      </c>
      <c r="E80" s="27" t="n">
        <v>14.52</v>
      </c>
      <c r="F80" s="27" t="n">
        <v>0</v>
      </c>
      <c r="G80" s="27" t="n">
        <v>16.6498</v>
      </c>
      <c r="H80" s="27" t="n">
        <v>0</v>
      </c>
      <c r="I80" s="27" t="n">
        <v>66.9728</v>
      </c>
    </row>
    <row r="81" customFormat="false" ht="15" hidden="false" customHeight="false" outlineLevel="0" collapsed="false">
      <c r="A81" s="6" t="s">
        <v>251</v>
      </c>
      <c r="B81" s="6" t="s">
        <v>252</v>
      </c>
      <c r="C81" s="6" t="s">
        <v>238</v>
      </c>
      <c r="D81" s="6" t="s">
        <v>257</v>
      </c>
      <c r="E81" s="27" t="n">
        <v>18.77</v>
      </c>
      <c r="F81" s="27" t="n">
        <v>0</v>
      </c>
      <c r="G81" s="27" t="n">
        <v>16.8224</v>
      </c>
      <c r="H81" s="27" t="n">
        <v>0</v>
      </c>
      <c r="I81" s="27" t="n">
        <v>229.307</v>
      </c>
    </row>
    <row r="82" customFormat="false" ht="15" hidden="false" customHeight="false" outlineLevel="0" collapsed="false">
      <c r="A82" s="6" t="s">
        <v>251</v>
      </c>
      <c r="B82" s="6" t="s">
        <v>252</v>
      </c>
      <c r="C82" s="6" t="s">
        <v>238</v>
      </c>
      <c r="D82" s="6" t="s">
        <v>258</v>
      </c>
      <c r="E82" s="27" t="n">
        <v>18.825</v>
      </c>
      <c r="F82" s="27" t="n">
        <v>0</v>
      </c>
      <c r="G82" s="27" t="n">
        <v>17.0961</v>
      </c>
      <c r="H82" s="27" t="n">
        <v>0</v>
      </c>
      <c r="I82" s="27" t="n">
        <v>310.7177</v>
      </c>
    </row>
    <row r="83" customFormat="false" ht="15" hidden="false" customHeight="false" outlineLevel="0" collapsed="false">
      <c r="A83" s="6" t="s">
        <v>251</v>
      </c>
      <c r="B83" s="6" t="s">
        <v>252</v>
      </c>
      <c r="C83" s="6" t="s">
        <v>238</v>
      </c>
      <c r="D83" s="6" t="s">
        <v>133</v>
      </c>
      <c r="E83" s="27" t="n">
        <v>22.915</v>
      </c>
      <c r="F83" s="27" t="n">
        <v>0</v>
      </c>
      <c r="G83" s="27" t="n">
        <v>17.8616</v>
      </c>
      <c r="H83" s="27" t="n">
        <v>0</v>
      </c>
      <c r="I83" s="27" t="n">
        <v>342.6831</v>
      </c>
    </row>
    <row r="84" customFormat="false" ht="15" hidden="false" customHeight="false" outlineLevel="0" collapsed="false">
      <c r="A84" s="6" t="s">
        <v>251</v>
      </c>
      <c r="B84" s="6" t="s">
        <v>252</v>
      </c>
      <c r="C84" s="6" t="s">
        <v>238</v>
      </c>
      <c r="D84" s="6" t="s">
        <v>137</v>
      </c>
      <c r="E84" s="27" t="n">
        <v>20.35</v>
      </c>
      <c r="F84" s="27" t="n">
        <v>0</v>
      </c>
      <c r="G84" s="27" t="n">
        <v>19.1944</v>
      </c>
      <c r="H84" s="27" t="n">
        <v>0</v>
      </c>
      <c r="I84" s="27" t="n">
        <v>370.4978</v>
      </c>
    </row>
    <row r="85" customFormat="false" ht="15" hidden="false" customHeight="false" outlineLevel="0" collapsed="false">
      <c r="A85" s="6" t="s">
        <v>251</v>
      </c>
      <c r="B85" s="6" t="s">
        <v>252</v>
      </c>
      <c r="C85" s="6" t="s">
        <v>238</v>
      </c>
      <c r="D85" s="6" t="s">
        <v>140</v>
      </c>
      <c r="E85" s="27" t="n">
        <v>16.86</v>
      </c>
      <c r="F85" s="27" t="n">
        <v>0</v>
      </c>
      <c r="G85" s="27" t="n">
        <v>19.9757</v>
      </c>
      <c r="H85" s="27" t="n">
        <v>0</v>
      </c>
      <c r="I85" s="27" t="n">
        <v>360.5723</v>
      </c>
    </row>
    <row r="86" customFormat="false" ht="15" hidden="false" customHeight="false" outlineLevel="0" collapsed="false">
      <c r="A86" s="6" t="s">
        <v>251</v>
      </c>
      <c r="B86" s="6" t="s">
        <v>252</v>
      </c>
      <c r="C86" s="6" t="s">
        <v>238</v>
      </c>
      <c r="D86" s="6" t="s">
        <v>125</v>
      </c>
      <c r="E86" s="27" t="n">
        <v>22.705</v>
      </c>
      <c r="F86" s="27" t="n">
        <v>0</v>
      </c>
      <c r="G86" s="27" t="n">
        <v>19.3955</v>
      </c>
      <c r="H86" s="27" t="n">
        <v>0</v>
      </c>
      <c r="I86" s="27" t="n">
        <v>348.6868</v>
      </c>
    </row>
    <row r="87" customFormat="false" ht="15" hidden="false" customHeight="false" outlineLevel="0" collapsed="false">
      <c r="A87" s="6" t="s">
        <v>251</v>
      </c>
      <c r="B87" s="6" t="s">
        <v>252</v>
      </c>
      <c r="C87" s="6" t="s">
        <v>238</v>
      </c>
      <c r="D87" s="6" t="s">
        <v>259</v>
      </c>
      <c r="E87" s="27" t="n">
        <v>29.56</v>
      </c>
      <c r="F87" s="27" t="n">
        <v>0</v>
      </c>
      <c r="G87" s="27" t="n">
        <v>23.0899</v>
      </c>
      <c r="H87" s="27" t="n">
        <v>0</v>
      </c>
      <c r="I87" s="27" t="n">
        <v>456.2344</v>
      </c>
    </row>
    <row r="88" customFormat="false" ht="15" hidden="false" customHeight="false" outlineLevel="0" collapsed="false">
      <c r="A88" s="6" t="s">
        <v>251</v>
      </c>
      <c r="B88" s="6" t="s">
        <v>252</v>
      </c>
      <c r="C88" s="6" t="s">
        <v>238</v>
      </c>
      <c r="D88" s="6" t="s">
        <v>260</v>
      </c>
      <c r="E88" s="27" t="n">
        <v>28.33</v>
      </c>
      <c r="F88" s="27" t="n">
        <v>0</v>
      </c>
      <c r="G88" s="27" t="n">
        <v>27.7393</v>
      </c>
      <c r="H88" s="27" t="n">
        <v>0</v>
      </c>
      <c r="I88" s="27" t="n">
        <v>554.109</v>
      </c>
    </row>
    <row r="89" customFormat="false" ht="15" hidden="false" customHeight="false" outlineLevel="0" collapsed="false">
      <c r="A89" s="6" t="s">
        <v>251</v>
      </c>
      <c r="B89" s="6" t="s">
        <v>252</v>
      </c>
      <c r="C89" s="6" t="s">
        <v>238</v>
      </c>
      <c r="D89" s="6" t="s">
        <v>134</v>
      </c>
      <c r="E89" s="27" t="n">
        <v>21.35</v>
      </c>
      <c r="F89" s="27" t="n">
        <v>0</v>
      </c>
      <c r="G89" s="27" t="n">
        <v>30.6935</v>
      </c>
      <c r="H89" s="27" t="n">
        <v>0</v>
      </c>
      <c r="I89" s="27" t="n">
        <v>603.128</v>
      </c>
    </row>
    <row r="90" customFormat="false" ht="15" hidden="false" customHeight="false" outlineLevel="0" collapsed="false">
      <c r="A90" s="6" t="s">
        <v>251</v>
      </c>
      <c r="B90" s="6" t="s">
        <v>252</v>
      </c>
      <c r="C90" s="6" t="s">
        <v>238</v>
      </c>
      <c r="D90" s="6" t="s">
        <v>138</v>
      </c>
      <c r="E90" s="27" t="n">
        <v>14.575</v>
      </c>
      <c r="F90" s="27" t="n">
        <v>0</v>
      </c>
      <c r="G90" s="27" t="n">
        <v>30.0295</v>
      </c>
      <c r="H90" s="27" t="n">
        <v>0</v>
      </c>
      <c r="I90" s="27" t="n">
        <v>585.0015</v>
      </c>
    </row>
    <row r="91" customFormat="false" ht="15" hidden="false" customHeight="false" outlineLevel="0" collapsed="false">
      <c r="A91" s="6" t="s">
        <v>251</v>
      </c>
      <c r="B91" s="6" t="s">
        <v>252</v>
      </c>
      <c r="C91" s="6" t="s">
        <v>238</v>
      </c>
      <c r="D91" s="6" t="s">
        <v>141</v>
      </c>
      <c r="E91" s="27" t="n">
        <v>7.17</v>
      </c>
      <c r="F91" s="27" t="n">
        <v>0</v>
      </c>
      <c r="G91" s="27" t="n">
        <v>25.7117</v>
      </c>
      <c r="H91" s="27" t="n">
        <v>0</v>
      </c>
      <c r="I91" s="27" t="n">
        <v>496.4152</v>
      </c>
    </row>
    <row r="92" customFormat="false" ht="15" hidden="false" customHeight="false" outlineLevel="0" collapsed="false">
      <c r="A92" s="6" t="s">
        <v>251</v>
      </c>
      <c r="B92" s="6" t="s">
        <v>252</v>
      </c>
      <c r="C92" s="6" t="s">
        <v>238</v>
      </c>
      <c r="D92" s="6" t="s">
        <v>128</v>
      </c>
      <c r="E92" s="27" t="n">
        <v>0</v>
      </c>
      <c r="F92" s="27" t="n">
        <v>0</v>
      </c>
      <c r="G92" s="27" t="n">
        <v>0</v>
      </c>
      <c r="H92" s="27" t="n">
        <v>0</v>
      </c>
      <c r="I92" s="27" t="n">
        <v>333.0092</v>
      </c>
    </row>
    <row r="93" customFormat="false" ht="15" hidden="false" customHeight="false" outlineLevel="0" collapsed="false">
      <c r="A93" s="6" t="s">
        <v>251</v>
      </c>
      <c r="B93" s="6" t="s">
        <v>252</v>
      </c>
      <c r="C93" s="6" t="s">
        <v>238</v>
      </c>
      <c r="D93" s="6" t="s">
        <v>261</v>
      </c>
      <c r="E93" s="27" t="n">
        <v>0</v>
      </c>
      <c r="F93" s="27" t="n">
        <v>0</v>
      </c>
      <c r="G93" s="27" t="n">
        <v>0</v>
      </c>
      <c r="H93" s="27" t="n">
        <v>0</v>
      </c>
      <c r="I93" s="27" t="n">
        <v>136.0737</v>
      </c>
    </row>
    <row r="94" customFormat="false" ht="15" hidden="false" customHeight="false" outlineLevel="0" collapsed="false">
      <c r="A94" s="6" t="s">
        <v>251</v>
      </c>
      <c r="B94" s="6" t="s">
        <v>252</v>
      </c>
      <c r="C94" s="6" t="s">
        <v>238</v>
      </c>
      <c r="D94" s="6" t="s">
        <v>262</v>
      </c>
      <c r="E94" s="27" t="n">
        <v>0</v>
      </c>
      <c r="F94" s="27" t="n">
        <v>0</v>
      </c>
      <c r="G94" s="27" t="n">
        <v>0</v>
      </c>
      <c r="H94" s="27" t="n">
        <v>0</v>
      </c>
      <c r="I94" s="27" t="n">
        <v>8.7314</v>
      </c>
    </row>
    <row r="95" customFormat="false" ht="15" hidden="false" customHeight="false" outlineLevel="0" collapsed="false">
      <c r="A95" s="6" t="s">
        <v>251</v>
      </c>
      <c r="B95" s="6" t="s">
        <v>266</v>
      </c>
      <c r="C95" s="6" t="s">
        <v>253</v>
      </c>
      <c r="D95" s="6" t="s">
        <v>254</v>
      </c>
      <c r="E95" s="27" t="n">
        <v>0</v>
      </c>
      <c r="F95" s="27" t="n">
        <v>0</v>
      </c>
      <c r="G95" s="27" t="n">
        <v>0</v>
      </c>
      <c r="H95" s="27" t="n">
        <v>0</v>
      </c>
      <c r="I95" s="27" t="n">
        <v>0</v>
      </c>
    </row>
    <row r="96" customFormat="false" ht="15" hidden="false" customHeight="false" outlineLevel="0" collapsed="false">
      <c r="A96" s="6" t="s">
        <v>251</v>
      </c>
      <c r="B96" s="6" t="s">
        <v>266</v>
      </c>
      <c r="C96" s="6" t="s">
        <v>253</v>
      </c>
      <c r="D96" s="6" t="s">
        <v>255</v>
      </c>
      <c r="E96" s="27" t="n">
        <v>0</v>
      </c>
      <c r="F96" s="27" t="n">
        <v>0</v>
      </c>
      <c r="G96" s="27" t="n">
        <v>0</v>
      </c>
      <c r="H96" s="27" t="n">
        <v>0</v>
      </c>
      <c r="I96" s="27" t="n">
        <v>0</v>
      </c>
    </row>
    <row r="97" customFormat="false" ht="15" hidden="false" customHeight="false" outlineLevel="0" collapsed="false">
      <c r="A97" s="6" t="s">
        <v>251</v>
      </c>
      <c r="B97" s="6" t="s">
        <v>266</v>
      </c>
      <c r="C97" s="6" t="s">
        <v>253</v>
      </c>
      <c r="D97" s="6" t="s">
        <v>256</v>
      </c>
      <c r="E97" s="27" t="n">
        <v>0</v>
      </c>
      <c r="F97" s="27" t="n">
        <v>0</v>
      </c>
      <c r="G97" s="27" t="n">
        <v>0</v>
      </c>
      <c r="H97" s="27" t="n">
        <v>0</v>
      </c>
      <c r="I97" s="27" t="n">
        <v>0</v>
      </c>
    </row>
    <row r="98" customFormat="false" ht="15" hidden="false" customHeight="false" outlineLevel="0" collapsed="false">
      <c r="A98" s="6" t="s">
        <v>251</v>
      </c>
      <c r="B98" s="6" t="s">
        <v>266</v>
      </c>
      <c r="C98" s="6" t="s">
        <v>253</v>
      </c>
      <c r="D98" s="6" t="s">
        <v>124</v>
      </c>
      <c r="E98" s="27" t="n">
        <v>3.88</v>
      </c>
      <c r="F98" s="27" t="n">
        <v>0.0031</v>
      </c>
      <c r="G98" s="27" t="n">
        <v>0.0336</v>
      </c>
      <c r="H98" s="27" t="n">
        <v>0.0122</v>
      </c>
      <c r="I98" s="27" t="n">
        <v>0.1304</v>
      </c>
    </row>
    <row r="99" customFormat="false" ht="15" hidden="false" customHeight="false" outlineLevel="0" collapsed="false">
      <c r="A99" s="6" t="s">
        <v>251</v>
      </c>
      <c r="B99" s="6" t="s">
        <v>266</v>
      </c>
      <c r="C99" s="6" t="s">
        <v>253</v>
      </c>
      <c r="D99" s="6" t="s">
        <v>257</v>
      </c>
      <c r="E99" s="27" t="n">
        <v>4.64</v>
      </c>
      <c r="F99" s="27" t="n">
        <v>0.003</v>
      </c>
      <c r="G99" s="27" t="n">
        <v>0.0335</v>
      </c>
      <c r="H99" s="27" t="n">
        <v>0.0141</v>
      </c>
      <c r="I99" s="27" t="n">
        <v>0.1555</v>
      </c>
    </row>
    <row r="100" customFormat="false" ht="15" hidden="false" customHeight="false" outlineLevel="0" collapsed="false">
      <c r="A100" s="6" t="s">
        <v>251</v>
      </c>
      <c r="B100" s="6" t="s">
        <v>266</v>
      </c>
      <c r="C100" s="6" t="s">
        <v>253</v>
      </c>
      <c r="D100" s="6" t="s">
        <v>258</v>
      </c>
      <c r="E100" s="27" t="n">
        <v>4.78</v>
      </c>
      <c r="F100" s="27" t="n">
        <v>0.0039</v>
      </c>
      <c r="G100" s="27" t="n">
        <v>0.0329</v>
      </c>
      <c r="H100" s="27" t="n">
        <v>0.0185</v>
      </c>
      <c r="I100" s="27" t="n">
        <v>0.1575</v>
      </c>
    </row>
    <row r="101" customFormat="false" ht="15" hidden="false" customHeight="false" outlineLevel="0" collapsed="false">
      <c r="A101" s="6" t="s">
        <v>251</v>
      </c>
      <c r="B101" s="6" t="s">
        <v>266</v>
      </c>
      <c r="C101" s="6" t="s">
        <v>253</v>
      </c>
      <c r="D101" s="6" t="s">
        <v>133</v>
      </c>
      <c r="E101" s="27" t="n">
        <v>5.73</v>
      </c>
      <c r="F101" s="27" t="n">
        <v>0.0048</v>
      </c>
      <c r="G101" s="27" t="n">
        <v>0.0334</v>
      </c>
      <c r="H101" s="27" t="n">
        <v>0.0272</v>
      </c>
      <c r="I101" s="27" t="n">
        <v>0.1901</v>
      </c>
    </row>
    <row r="102" customFormat="false" ht="15" hidden="false" customHeight="false" outlineLevel="0" collapsed="false">
      <c r="A102" s="6" t="s">
        <v>251</v>
      </c>
      <c r="B102" s="6" t="s">
        <v>266</v>
      </c>
      <c r="C102" s="6" t="s">
        <v>253</v>
      </c>
      <c r="D102" s="6" t="s">
        <v>137</v>
      </c>
      <c r="E102" s="27" t="n">
        <v>5.36</v>
      </c>
      <c r="F102" s="27" t="n">
        <v>0.0039</v>
      </c>
      <c r="G102" s="27" t="n">
        <v>0.0333</v>
      </c>
      <c r="H102" s="27" t="n">
        <v>0.0209</v>
      </c>
      <c r="I102" s="27" t="n">
        <v>0.1793</v>
      </c>
    </row>
    <row r="103" customFormat="false" ht="15" hidden="false" customHeight="false" outlineLevel="0" collapsed="false">
      <c r="A103" s="6" t="s">
        <v>251</v>
      </c>
      <c r="B103" s="6" t="s">
        <v>266</v>
      </c>
      <c r="C103" s="6" t="s">
        <v>253</v>
      </c>
      <c r="D103" s="6" t="s">
        <v>140</v>
      </c>
      <c r="E103" s="27" t="n">
        <v>4.375</v>
      </c>
      <c r="F103" s="27" t="n">
        <v>0.0035</v>
      </c>
      <c r="G103" s="27" t="n">
        <v>0.0336</v>
      </c>
      <c r="H103" s="27" t="n">
        <v>0.0152</v>
      </c>
      <c r="I103" s="27" t="n">
        <v>0.1465</v>
      </c>
    </row>
    <row r="104" customFormat="false" ht="15" hidden="false" customHeight="false" outlineLevel="0" collapsed="false">
      <c r="A104" s="6" t="s">
        <v>251</v>
      </c>
      <c r="B104" s="6" t="s">
        <v>266</v>
      </c>
      <c r="C104" s="6" t="s">
        <v>253</v>
      </c>
      <c r="D104" s="6" t="s">
        <v>125</v>
      </c>
      <c r="E104" s="27" t="n">
        <v>5.67</v>
      </c>
      <c r="F104" s="27" t="n">
        <v>0.0042</v>
      </c>
      <c r="G104" s="27" t="n">
        <v>0.0335</v>
      </c>
      <c r="H104" s="27" t="n">
        <v>0.024</v>
      </c>
      <c r="I104" s="27" t="n">
        <v>0.1902</v>
      </c>
    </row>
    <row r="105" customFormat="false" ht="15" hidden="false" customHeight="false" outlineLevel="0" collapsed="false">
      <c r="A105" s="6" t="s">
        <v>251</v>
      </c>
      <c r="B105" s="6" t="s">
        <v>266</v>
      </c>
      <c r="C105" s="6" t="s">
        <v>253</v>
      </c>
      <c r="D105" s="6" t="s">
        <v>259</v>
      </c>
      <c r="E105" s="27" t="n">
        <v>7.435</v>
      </c>
      <c r="F105" s="27" t="n">
        <v>0.0059</v>
      </c>
      <c r="G105" s="27" t="n">
        <v>0.0333</v>
      </c>
      <c r="H105" s="27" t="n">
        <v>0.0439</v>
      </c>
      <c r="I105" s="27" t="n">
        <v>0.2478</v>
      </c>
    </row>
    <row r="106" customFormat="false" ht="15" hidden="false" customHeight="false" outlineLevel="0" collapsed="false">
      <c r="A106" s="6" t="s">
        <v>251</v>
      </c>
      <c r="B106" s="6" t="s">
        <v>266</v>
      </c>
      <c r="C106" s="6" t="s">
        <v>253</v>
      </c>
      <c r="D106" s="6" t="s">
        <v>260</v>
      </c>
      <c r="E106" s="27" t="n">
        <v>7.35</v>
      </c>
      <c r="F106" s="27" t="n">
        <v>0.0068</v>
      </c>
      <c r="G106" s="27" t="n">
        <v>0.0334</v>
      </c>
      <c r="H106" s="27" t="n">
        <v>0.0497</v>
      </c>
      <c r="I106" s="27" t="n">
        <v>0.2456</v>
      </c>
    </row>
    <row r="107" customFormat="false" ht="15" hidden="false" customHeight="false" outlineLevel="0" collapsed="false">
      <c r="A107" s="6" t="s">
        <v>251</v>
      </c>
      <c r="B107" s="6" t="s">
        <v>266</v>
      </c>
      <c r="C107" s="6" t="s">
        <v>253</v>
      </c>
      <c r="D107" s="6" t="s">
        <v>134</v>
      </c>
      <c r="E107" s="27" t="n">
        <v>5.32</v>
      </c>
      <c r="F107" s="27" t="n">
        <v>0.0035</v>
      </c>
      <c r="G107" s="27" t="n">
        <v>0.0329</v>
      </c>
      <c r="H107" s="27" t="n">
        <v>0.0187</v>
      </c>
      <c r="I107" s="27" t="n">
        <v>0.1752</v>
      </c>
    </row>
    <row r="108" customFormat="false" ht="15" hidden="false" customHeight="false" outlineLevel="0" collapsed="false">
      <c r="A108" s="6" t="s">
        <v>251</v>
      </c>
      <c r="B108" s="6" t="s">
        <v>266</v>
      </c>
      <c r="C108" s="6" t="s">
        <v>253</v>
      </c>
      <c r="D108" s="6" t="s">
        <v>138</v>
      </c>
      <c r="E108" s="27" t="n">
        <v>3.5</v>
      </c>
      <c r="F108" s="27" t="n">
        <v>0.0021</v>
      </c>
      <c r="G108" s="27" t="n">
        <v>0.0335</v>
      </c>
      <c r="H108" s="27" t="n">
        <v>0.0072</v>
      </c>
      <c r="I108" s="27" t="n">
        <v>0.1175</v>
      </c>
    </row>
    <row r="109" customFormat="false" ht="15" hidden="false" customHeight="false" outlineLevel="0" collapsed="false">
      <c r="A109" s="6" t="s">
        <v>251</v>
      </c>
      <c r="B109" s="6" t="s">
        <v>266</v>
      </c>
      <c r="C109" s="6" t="s">
        <v>253</v>
      </c>
      <c r="D109" s="6" t="s">
        <v>141</v>
      </c>
      <c r="E109" s="27" t="n">
        <v>1.825</v>
      </c>
      <c r="F109" s="27" t="n">
        <v>0.0009</v>
      </c>
      <c r="G109" s="27" t="n">
        <v>0.0335</v>
      </c>
      <c r="H109" s="27" t="n">
        <v>0.0017</v>
      </c>
      <c r="I109" s="27" t="n">
        <v>0.0612</v>
      </c>
    </row>
    <row r="110" customFormat="false" ht="15" hidden="false" customHeight="false" outlineLevel="0" collapsed="false">
      <c r="A110" s="6" t="s">
        <v>251</v>
      </c>
      <c r="B110" s="6" t="s">
        <v>266</v>
      </c>
      <c r="C110" s="6" t="s">
        <v>253</v>
      </c>
      <c r="D110" s="6" t="s">
        <v>128</v>
      </c>
      <c r="E110" s="27" t="n">
        <v>0</v>
      </c>
      <c r="F110" s="27" t="n">
        <v>0</v>
      </c>
      <c r="G110" s="27" t="n">
        <v>0</v>
      </c>
      <c r="H110" s="27" t="n">
        <v>0</v>
      </c>
      <c r="I110" s="27" t="n">
        <v>0.0001</v>
      </c>
    </row>
    <row r="111" customFormat="false" ht="15" hidden="false" customHeight="false" outlineLevel="0" collapsed="false">
      <c r="A111" s="6" t="s">
        <v>251</v>
      </c>
      <c r="B111" s="6" t="s">
        <v>266</v>
      </c>
      <c r="C111" s="6" t="s">
        <v>253</v>
      </c>
      <c r="D111" s="6" t="s">
        <v>261</v>
      </c>
      <c r="E111" s="27" t="n">
        <v>0</v>
      </c>
      <c r="F111" s="27" t="n">
        <v>0</v>
      </c>
      <c r="G111" s="27" t="n">
        <v>0</v>
      </c>
      <c r="H111" s="27" t="n">
        <v>0</v>
      </c>
      <c r="I111" s="27" t="n">
        <v>0</v>
      </c>
    </row>
    <row r="112" customFormat="false" ht="15" hidden="false" customHeight="false" outlineLevel="0" collapsed="false">
      <c r="A112" s="6" t="s">
        <v>251</v>
      </c>
      <c r="B112" s="6" t="s">
        <v>266</v>
      </c>
      <c r="C112" s="6" t="s">
        <v>253</v>
      </c>
      <c r="D112" s="6" t="s">
        <v>262</v>
      </c>
      <c r="E112" s="27" t="n">
        <v>0</v>
      </c>
      <c r="F112" s="27" t="n">
        <v>0</v>
      </c>
      <c r="G112" s="27" t="n">
        <v>0</v>
      </c>
      <c r="H112" s="27" t="n">
        <v>0</v>
      </c>
      <c r="I112" s="27" t="n">
        <v>0</v>
      </c>
    </row>
    <row r="113" customFormat="false" ht="15" hidden="false" customHeight="false" outlineLevel="0" collapsed="false">
      <c r="A113" s="6" t="s">
        <v>251</v>
      </c>
      <c r="B113" s="6" t="s">
        <v>266</v>
      </c>
      <c r="C113" s="6" t="s">
        <v>263</v>
      </c>
      <c r="D113" s="6" t="s">
        <v>254</v>
      </c>
      <c r="E113" s="27" t="n">
        <v>0</v>
      </c>
      <c r="F113" s="27" t="n">
        <v>0</v>
      </c>
      <c r="G113" s="27" t="n">
        <v>0</v>
      </c>
      <c r="H113" s="27" t="n">
        <v>0</v>
      </c>
      <c r="I113" s="27" t="n">
        <v>0</v>
      </c>
    </row>
    <row r="114" customFormat="false" ht="15" hidden="false" customHeight="false" outlineLevel="0" collapsed="false">
      <c r="A114" s="6" t="s">
        <v>251</v>
      </c>
      <c r="B114" s="6" t="s">
        <v>266</v>
      </c>
      <c r="C114" s="6" t="s">
        <v>263</v>
      </c>
      <c r="D114" s="6" t="s">
        <v>255</v>
      </c>
      <c r="E114" s="27" t="n">
        <v>0</v>
      </c>
      <c r="F114" s="27" t="n">
        <v>0</v>
      </c>
      <c r="G114" s="27" t="n">
        <v>0</v>
      </c>
      <c r="H114" s="27" t="n">
        <v>0</v>
      </c>
      <c r="I114" s="27" t="n">
        <v>0</v>
      </c>
    </row>
    <row r="115" customFormat="false" ht="15" hidden="false" customHeight="false" outlineLevel="0" collapsed="false">
      <c r="A115" s="6" t="s">
        <v>251</v>
      </c>
      <c r="B115" s="6" t="s">
        <v>266</v>
      </c>
      <c r="C115" s="6" t="s">
        <v>263</v>
      </c>
      <c r="D115" s="6" t="s">
        <v>256</v>
      </c>
      <c r="E115" s="27" t="n">
        <v>0</v>
      </c>
      <c r="F115" s="27" t="n">
        <v>0</v>
      </c>
      <c r="G115" s="27" t="n">
        <v>0</v>
      </c>
      <c r="H115" s="27" t="n">
        <v>0</v>
      </c>
      <c r="I115" s="27" t="n">
        <v>0</v>
      </c>
    </row>
    <row r="116" customFormat="false" ht="15" hidden="false" customHeight="false" outlineLevel="0" collapsed="false">
      <c r="A116" s="6" t="s">
        <v>251</v>
      </c>
      <c r="B116" s="6" t="s">
        <v>266</v>
      </c>
      <c r="C116" s="6" t="s">
        <v>263</v>
      </c>
      <c r="D116" s="6" t="s">
        <v>124</v>
      </c>
      <c r="E116" s="27" t="n">
        <v>3.705</v>
      </c>
      <c r="F116" s="27" t="n">
        <v>0.0017</v>
      </c>
      <c r="G116" s="27" t="n">
        <v>0.097</v>
      </c>
      <c r="H116" s="27" t="n">
        <v>0.0063</v>
      </c>
      <c r="I116" s="27" t="n">
        <v>0.3563</v>
      </c>
    </row>
    <row r="117" customFormat="false" ht="15" hidden="false" customHeight="false" outlineLevel="0" collapsed="false">
      <c r="A117" s="6" t="s">
        <v>251</v>
      </c>
      <c r="B117" s="6" t="s">
        <v>266</v>
      </c>
      <c r="C117" s="6" t="s">
        <v>263</v>
      </c>
      <c r="D117" s="6" t="s">
        <v>257</v>
      </c>
      <c r="E117" s="27" t="n">
        <v>4.59</v>
      </c>
      <c r="F117" s="27" t="n">
        <v>0.0028</v>
      </c>
      <c r="G117" s="27" t="n">
        <v>0.1038</v>
      </c>
      <c r="H117" s="27" t="n">
        <v>0.013</v>
      </c>
      <c r="I117" s="27" t="n">
        <v>0.4747</v>
      </c>
    </row>
    <row r="118" customFormat="false" ht="15" hidden="false" customHeight="false" outlineLevel="0" collapsed="false">
      <c r="A118" s="6" t="s">
        <v>251</v>
      </c>
      <c r="B118" s="6" t="s">
        <v>266</v>
      </c>
      <c r="C118" s="6" t="s">
        <v>263</v>
      </c>
      <c r="D118" s="6" t="s">
        <v>258</v>
      </c>
      <c r="E118" s="27" t="n">
        <v>4.78</v>
      </c>
      <c r="F118" s="27" t="n">
        <v>0.0056</v>
      </c>
      <c r="G118" s="27" t="n">
        <v>0.1025</v>
      </c>
      <c r="H118" s="27" t="n">
        <v>0.0269</v>
      </c>
      <c r="I118" s="27" t="n">
        <v>0.4918</v>
      </c>
    </row>
    <row r="119" customFormat="false" ht="15" hidden="false" customHeight="false" outlineLevel="0" collapsed="false">
      <c r="A119" s="6" t="s">
        <v>251</v>
      </c>
      <c r="B119" s="6" t="s">
        <v>266</v>
      </c>
      <c r="C119" s="6" t="s">
        <v>263</v>
      </c>
      <c r="D119" s="6" t="s">
        <v>133</v>
      </c>
      <c r="E119" s="27" t="n">
        <v>5.68</v>
      </c>
      <c r="F119" s="27" t="n">
        <v>0.0064</v>
      </c>
      <c r="G119" s="27" t="n">
        <v>0.0975</v>
      </c>
      <c r="H119" s="27" t="n">
        <v>0.0364</v>
      </c>
      <c r="I119" s="27" t="n">
        <v>0.552</v>
      </c>
    </row>
    <row r="120" customFormat="false" ht="15" hidden="false" customHeight="false" outlineLevel="0" collapsed="false">
      <c r="A120" s="6" t="s">
        <v>251</v>
      </c>
      <c r="B120" s="6" t="s">
        <v>266</v>
      </c>
      <c r="C120" s="6" t="s">
        <v>263</v>
      </c>
      <c r="D120" s="6" t="s">
        <v>137</v>
      </c>
      <c r="E120" s="27" t="n">
        <v>5.43</v>
      </c>
      <c r="F120" s="27" t="n">
        <v>0.0064</v>
      </c>
      <c r="G120" s="27" t="n">
        <v>0.1021</v>
      </c>
      <c r="H120" s="27" t="n">
        <v>0.0346</v>
      </c>
      <c r="I120" s="27" t="n">
        <v>0.5545</v>
      </c>
    </row>
    <row r="121" customFormat="false" ht="15" hidden="false" customHeight="false" outlineLevel="0" collapsed="false">
      <c r="A121" s="6" t="s">
        <v>251</v>
      </c>
      <c r="B121" s="6" t="s">
        <v>266</v>
      </c>
      <c r="C121" s="6" t="s">
        <v>263</v>
      </c>
      <c r="D121" s="6" t="s">
        <v>140</v>
      </c>
      <c r="E121" s="27" t="n">
        <v>4.34</v>
      </c>
      <c r="F121" s="27" t="n">
        <v>0.0054</v>
      </c>
      <c r="G121" s="27" t="n">
        <v>0.1011</v>
      </c>
      <c r="H121" s="27" t="n">
        <v>0.0236</v>
      </c>
      <c r="I121" s="27" t="n">
        <v>0.4407</v>
      </c>
    </row>
    <row r="122" customFormat="false" ht="15" hidden="false" customHeight="false" outlineLevel="0" collapsed="false">
      <c r="A122" s="6" t="s">
        <v>251</v>
      </c>
      <c r="B122" s="6" t="s">
        <v>266</v>
      </c>
      <c r="C122" s="6" t="s">
        <v>263</v>
      </c>
      <c r="D122" s="6" t="s">
        <v>125</v>
      </c>
      <c r="E122" s="27" t="n">
        <v>5.535</v>
      </c>
      <c r="F122" s="27" t="n">
        <v>0.0063</v>
      </c>
      <c r="G122" s="27" t="n">
        <v>0.0995</v>
      </c>
      <c r="H122" s="27" t="n">
        <v>0.033</v>
      </c>
      <c r="I122" s="27" t="n">
        <v>0.545</v>
      </c>
    </row>
    <row r="123" customFormat="false" ht="15" hidden="false" customHeight="false" outlineLevel="0" collapsed="false">
      <c r="A123" s="6" t="s">
        <v>251</v>
      </c>
      <c r="B123" s="6" t="s">
        <v>266</v>
      </c>
      <c r="C123" s="6" t="s">
        <v>263</v>
      </c>
      <c r="D123" s="6" t="s">
        <v>259</v>
      </c>
      <c r="E123" s="27" t="n">
        <v>7.54</v>
      </c>
      <c r="F123" s="27" t="n">
        <v>0.0116</v>
      </c>
      <c r="G123" s="27" t="n">
        <v>0.1011</v>
      </c>
      <c r="H123" s="27" t="n">
        <v>0.089</v>
      </c>
      <c r="I123" s="27" t="n">
        <v>0.761</v>
      </c>
    </row>
    <row r="124" customFormat="false" ht="15" hidden="false" customHeight="false" outlineLevel="0" collapsed="false">
      <c r="A124" s="6" t="s">
        <v>251</v>
      </c>
      <c r="B124" s="6" t="s">
        <v>266</v>
      </c>
      <c r="C124" s="6" t="s">
        <v>263</v>
      </c>
      <c r="D124" s="6" t="s">
        <v>260</v>
      </c>
      <c r="E124" s="27" t="n">
        <v>7.38</v>
      </c>
      <c r="F124" s="27" t="n">
        <v>0.013</v>
      </c>
      <c r="G124" s="27" t="n">
        <v>0.1011</v>
      </c>
      <c r="H124" s="27" t="n">
        <v>0.0956</v>
      </c>
      <c r="I124" s="27" t="n">
        <v>0.7492</v>
      </c>
    </row>
    <row r="125" customFormat="false" ht="15" hidden="false" customHeight="false" outlineLevel="0" collapsed="false">
      <c r="A125" s="6" t="s">
        <v>251</v>
      </c>
      <c r="B125" s="6" t="s">
        <v>266</v>
      </c>
      <c r="C125" s="6" t="s">
        <v>263</v>
      </c>
      <c r="D125" s="6" t="s">
        <v>134</v>
      </c>
      <c r="E125" s="27" t="n">
        <v>5.4</v>
      </c>
      <c r="F125" s="27" t="n">
        <v>0.0042</v>
      </c>
      <c r="G125" s="27" t="n">
        <v>0.096</v>
      </c>
      <c r="H125" s="27" t="n">
        <v>0.0231</v>
      </c>
      <c r="I125" s="27" t="n">
        <v>0.5207</v>
      </c>
    </row>
    <row r="126" customFormat="false" ht="15" hidden="false" customHeight="false" outlineLevel="0" collapsed="false">
      <c r="A126" s="6" t="s">
        <v>251</v>
      </c>
      <c r="B126" s="6" t="s">
        <v>266</v>
      </c>
      <c r="C126" s="6" t="s">
        <v>263</v>
      </c>
      <c r="D126" s="6" t="s">
        <v>138</v>
      </c>
      <c r="E126" s="27" t="n">
        <v>3.545</v>
      </c>
      <c r="F126" s="27" t="n">
        <v>0.0018</v>
      </c>
      <c r="G126" s="27" t="n">
        <v>0.0982</v>
      </c>
      <c r="H126" s="27" t="n">
        <v>0.0065</v>
      </c>
      <c r="I126" s="27" t="n">
        <v>0.3515</v>
      </c>
    </row>
    <row r="127" customFormat="false" ht="15" hidden="false" customHeight="false" outlineLevel="0" collapsed="false">
      <c r="A127" s="6" t="s">
        <v>251</v>
      </c>
      <c r="B127" s="6" t="s">
        <v>266</v>
      </c>
      <c r="C127" s="6" t="s">
        <v>263</v>
      </c>
      <c r="D127" s="6" t="s">
        <v>141</v>
      </c>
      <c r="E127" s="27" t="n">
        <v>1.895</v>
      </c>
      <c r="F127" s="27" t="n">
        <v>0.0011</v>
      </c>
      <c r="G127" s="27" t="n">
        <v>0.0999</v>
      </c>
      <c r="H127" s="27" t="n">
        <v>0.002</v>
      </c>
      <c r="I127" s="27" t="n">
        <v>0.1896</v>
      </c>
    </row>
    <row r="128" customFormat="false" ht="15" hidden="false" customHeight="false" outlineLevel="0" collapsed="false">
      <c r="A128" s="6" t="s">
        <v>251</v>
      </c>
      <c r="B128" s="6" t="s">
        <v>266</v>
      </c>
      <c r="C128" s="6" t="s">
        <v>263</v>
      </c>
      <c r="D128" s="6" t="s">
        <v>128</v>
      </c>
      <c r="E128" s="27" t="n">
        <v>0.045</v>
      </c>
      <c r="F128" s="27" t="n">
        <v>0</v>
      </c>
      <c r="G128" s="27" t="n">
        <v>0.0856</v>
      </c>
      <c r="H128" s="27" t="n">
        <v>0</v>
      </c>
      <c r="I128" s="27" t="n">
        <v>0.0039</v>
      </c>
    </row>
    <row r="129" customFormat="false" ht="15" hidden="false" customHeight="false" outlineLevel="0" collapsed="false">
      <c r="A129" s="6" t="s">
        <v>251</v>
      </c>
      <c r="B129" s="6" t="s">
        <v>266</v>
      </c>
      <c r="C129" s="6" t="s">
        <v>263</v>
      </c>
      <c r="D129" s="6" t="s">
        <v>261</v>
      </c>
      <c r="E129" s="27" t="n">
        <v>0</v>
      </c>
      <c r="F129" s="27" t="n">
        <v>0</v>
      </c>
      <c r="G129" s="27" t="n">
        <v>0</v>
      </c>
      <c r="H129" s="27" t="n">
        <v>0</v>
      </c>
      <c r="I129" s="27" t="n">
        <v>0</v>
      </c>
    </row>
    <row r="130" customFormat="false" ht="15" hidden="false" customHeight="false" outlineLevel="0" collapsed="false">
      <c r="A130" s="6" t="s">
        <v>251</v>
      </c>
      <c r="B130" s="6" t="s">
        <v>266</v>
      </c>
      <c r="C130" s="6" t="s">
        <v>263</v>
      </c>
      <c r="D130" s="6" t="s">
        <v>262</v>
      </c>
      <c r="E130" s="27" t="n">
        <v>0</v>
      </c>
      <c r="F130" s="27" t="n">
        <v>0</v>
      </c>
      <c r="G130" s="27" t="n">
        <v>0</v>
      </c>
      <c r="H130" s="27" t="n">
        <v>0</v>
      </c>
      <c r="I130" s="27" t="n">
        <v>0</v>
      </c>
    </row>
    <row r="131" customFormat="false" ht="15" hidden="false" customHeight="false" outlineLevel="0" collapsed="false">
      <c r="A131" s="6" t="s">
        <v>251</v>
      </c>
      <c r="B131" s="6" t="s">
        <v>266</v>
      </c>
      <c r="C131" s="6" t="s">
        <v>264</v>
      </c>
      <c r="D131" s="6" t="s">
        <v>254</v>
      </c>
      <c r="E131" s="27" t="n">
        <v>0</v>
      </c>
      <c r="F131" s="27" t="n">
        <v>0</v>
      </c>
      <c r="G131" s="27" t="n">
        <v>0</v>
      </c>
      <c r="H131" s="27" t="n">
        <v>0</v>
      </c>
      <c r="I131" s="27" t="n">
        <v>0</v>
      </c>
    </row>
    <row r="132" customFormat="false" ht="15" hidden="false" customHeight="false" outlineLevel="0" collapsed="false">
      <c r="A132" s="6" t="s">
        <v>251</v>
      </c>
      <c r="B132" s="6" t="s">
        <v>266</v>
      </c>
      <c r="C132" s="6" t="s">
        <v>264</v>
      </c>
      <c r="D132" s="6" t="s">
        <v>255</v>
      </c>
      <c r="E132" s="27" t="n">
        <v>0</v>
      </c>
      <c r="F132" s="27" t="n">
        <v>0</v>
      </c>
      <c r="G132" s="27" t="n">
        <v>0</v>
      </c>
      <c r="H132" s="27" t="n">
        <v>0</v>
      </c>
      <c r="I132" s="27" t="n">
        <v>0</v>
      </c>
    </row>
    <row r="133" customFormat="false" ht="15" hidden="false" customHeight="false" outlineLevel="0" collapsed="false">
      <c r="A133" s="6" t="s">
        <v>251</v>
      </c>
      <c r="B133" s="6" t="s">
        <v>266</v>
      </c>
      <c r="C133" s="6" t="s">
        <v>264</v>
      </c>
      <c r="D133" s="6" t="s">
        <v>256</v>
      </c>
      <c r="E133" s="27" t="n">
        <v>0</v>
      </c>
      <c r="F133" s="27" t="n">
        <v>0</v>
      </c>
      <c r="G133" s="27" t="n">
        <v>0</v>
      </c>
      <c r="H133" s="27" t="n">
        <v>0</v>
      </c>
      <c r="I133" s="27" t="n">
        <v>0</v>
      </c>
    </row>
    <row r="134" customFormat="false" ht="15" hidden="false" customHeight="false" outlineLevel="0" collapsed="false">
      <c r="A134" s="6" t="s">
        <v>251</v>
      </c>
      <c r="B134" s="6" t="s">
        <v>266</v>
      </c>
      <c r="C134" s="6" t="s">
        <v>264</v>
      </c>
      <c r="D134" s="6" t="s">
        <v>124</v>
      </c>
      <c r="E134" s="27" t="n">
        <v>3.32</v>
      </c>
      <c r="F134" s="27" t="n">
        <v>0</v>
      </c>
      <c r="G134" s="27" t="n">
        <v>13.5115</v>
      </c>
      <c r="H134" s="27" t="n">
        <v>0</v>
      </c>
      <c r="I134" s="27" t="n">
        <v>13.4818</v>
      </c>
    </row>
    <row r="135" customFormat="false" ht="15" hidden="false" customHeight="false" outlineLevel="0" collapsed="false">
      <c r="A135" s="6" t="s">
        <v>251</v>
      </c>
      <c r="B135" s="6" t="s">
        <v>266</v>
      </c>
      <c r="C135" s="6" t="s">
        <v>264</v>
      </c>
      <c r="D135" s="6" t="s">
        <v>257</v>
      </c>
      <c r="E135" s="27" t="n">
        <v>4.45</v>
      </c>
      <c r="F135" s="27" t="n">
        <v>0</v>
      </c>
      <c r="G135" s="27" t="n">
        <v>13.517</v>
      </c>
      <c r="H135" s="27" t="n">
        <v>0</v>
      </c>
      <c r="I135" s="27" t="n">
        <v>50.3918</v>
      </c>
    </row>
    <row r="136" customFormat="false" ht="15" hidden="false" customHeight="false" outlineLevel="0" collapsed="false">
      <c r="A136" s="6" t="s">
        <v>251</v>
      </c>
      <c r="B136" s="6" t="s">
        <v>266</v>
      </c>
      <c r="C136" s="6" t="s">
        <v>264</v>
      </c>
      <c r="D136" s="6" t="s">
        <v>258</v>
      </c>
      <c r="E136" s="27" t="n">
        <v>4.78</v>
      </c>
      <c r="F136" s="27" t="n">
        <v>0</v>
      </c>
      <c r="G136" s="27" t="n">
        <v>13.5062</v>
      </c>
      <c r="H136" s="27" t="n">
        <v>0</v>
      </c>
      <c r="I136" s="27" t="n">
        <v>62.6555</v>
      </c>
    </row>
    <row r="137" customFormat="false" ht="15" hidden="false" customHeight="false" outlineLevel="0" collapsed="false">
      <c r="A137" s="6" t="s">
        <v>251</v>
      </c>
      <c r="B137" s="6" t="s">
        <v>266</v>
      </c>
      <c r="C137" s="6" t="s">
        <v>264</v>
      </c>
      <c r="D137" s="6" t="s">
        <v>133</v>
      </c>
      <c r="E137" s="27" t="n">
        <v>5.63</v>
      </c>
      <c r="F137" s="27" t="n">
        <v>0</v>
      </c>
      <c r="G137" s="27" t="n">
        <v>13.5439</v>
      </c>
      <c r="H137" s="27" t="n">
        <v>0</v>
      </c>
      <c r="I137" s="27" t="n">
        <v>67.7329</v>
      </c>
    </row>
    <row r="138" customFormat="false" ht="15" hidden="false" customHeight="false" outlineLevel="0" collapsed="false">
      <c r="A138" s="6" t="s">
        <v>251</v>
      </c>
      <c r="B138" s="6" t="s">
        <v>266</v>
      </c>
      <c r="C138" s="6" t="s">
        <v>264</v>
      </c>
      <c r="D138" s="6" t="s">
        <v>137</v>
      </c>
      <c r="E138" s="27" t="n">
        <v>5.48</v>
      </c>
      <c r="F138" s="27" t="n">
        <v>0</v>
      </c>
      <c r="G138" s="27" t="n">
        <v>13.5394</v>
      </c>
      <c r="H138" s="27" t="n">
        <v>0</v>
      </c>
      <c r="I138" s="27" t="n">
        <v>74.6601</v>
      </c>
    </row>
    <row r="139" customFormat="false" ht="15" hidden="false" customHeight="false" outlineLevel="0" collapsed="false">
      <c r="A139" s="6" t="s">
        <v>251</v>
      </c>
      <c r="B139" s="6" t="s">
        <v>266</v>
      </c>
      <c r="C139" s="6" t="s">
        <v>264</v>
      </c>
      <c r="D139" s="6" t="s">
        <v>140</v>
      </c>
      <c r="E139" s="27" t="n">
        <v>4.42</v>
      </c>
      <c r="F139" s="27" t="n">
        <v>0</v>
      </c>
      <c r="G139" s="27" t="n">
        <v>13.5345</v>
      </c>
      <c r="H139" s="27" t="n">
        <v>0</v>
      </c>
      <c r="I139" s="27" t="n">
        <v>69.7287</v>
      </c>
    </row>
    <row r="140" customFormat="false" ht="15" hidden="false" customHeight="false" outlineLevel="0" collapsed="false">
      <c r="A140" s="6" t="s">
        <v>251</v>
      </c>
      <c r="B140" s="6" t="s">
        <v>266</v>
      </c>
      <c r="C140" s="6" t="s">
        <v>264</v>
      </c>
      <c r="D140" s="6" t="s">
        <v>125</v>
      </c>
      <c r="E140" s="27" t="n">
        <v>5.1</v>
      </c>
      <c r="F140" s="27" t="n">
        <v>0</v>
      </c>
      <c r="G140" s="27" t="n">
        <v>13.522</v>
      </c>
      <c r="H140" s="27" t="n">
        <v>0</v>
      </c>
      <c r="I140" s="27" t="n">
        <v>61.5898</v>
      </c>
    </row>
    <row r="141" customFormat="false" ht="15" hidden="false" customHeight="false" outlineLevel="0" collapsed="false">
      <c r="A141" s="6" t="s">
        <v>251</v>
      </c>
      <c r="B141" s="6" t="s">
        <v>266</v>
      </c>
      <c r="C141" s="6" t="s">
        <v>264</v>
      </c>
      <c r="D141" s="6" t="s">
        <v>259</v>
      </c>
      <c r="E141" s="27" t="n">
        <v>7.57</v>
      </c>
      <c r="F141" s="27" t="n">
        <v>0</v>
      </c>
      <c r="G141" s="27" t="n">
        <v>13.5172</v>
      </c>
      <c r="H141" s="27" t="n">
        <v>0</v>
      </c>
      <c r="I141" s="27" t="n">
        <v>81.8521</v>
      </c>
    </row>
    <row r="142" customFormat="false" ht="15" hidden="false" customHeight="false" outlineLevel="0" collapsed="false">
      <c r="A142" s="6" t="s">
        <v>251</v>
      </c>
      <c r="B142" s="6" t="s">
        <v>266</v>
      </c>
      <c r="C142" s="6" t="s">
        <v>264</v>
      </c>
      <c r="D142" s="6" t="s">
        <v>260</v>
      </c>
      <c r="E142" s="27" t="n">
        <v>7.49</v>
      </c>
      <c r="F142" s="27" t="n">
        <v>0</v>
      </c>
      <c r="G142" s="27" t="n">
        <v>13.4597</v>
      </c>
      <c r="H142" s="27" t="n">
        <v>0</v>
      </c>
      <c r="I142" s="27" t="n">
        <v>101.2777</v>
      </c>
    </row>
    <row r="143" customFormat="false" ht="15" hidden="false" customHeight="false" outlineLevel="0" collapsed="false">
      <c r="A143" s="6" t="s">
        <v>251</v>
      </c>
      <c r="B143" s="6" t="s">
        <v>266</v>
      </c>
      <c r="C143" s="6" t="s">
        <v>264</v>
      </c>
      <c r="D143" s="6" t="s">
        <v>134</v>
      </c>
      <c r="E143" s="27" t="n">
        <v>5.595</v>
      </c>
      <c r="F143" s="27" t="n">
        <v>0</v>
      </c>
      <c r="G143" s="27" t="n">
        <v>13.5297</v>
      </c>
      <c r="H143" s="27" t="n">
        <v>0</v>
      </c>
      <c r="I143" s="27" t="n">
        <v>92.5918</v>
      </c>
    </row>
    <row r="144" customFormat="false" ht="15" hidden="false" customHeight="false" outlineLevel="0" collapsed="false">
      <c r="A144" s="6" t="s">
        <v>251</v>
      </c>
      <c r="B144" s="6" t="s">
        <v>266</v>
      </c>
      <c r="C144" s="6" t="s">
        <v>264</v>
      </c>
      <c r="D144" s="6" t="s">
        <v>138</v>
      </c>
      <c r="E144" s="27" t="n">
        <v>3.895</v>
      </c>
      <c r="F144" s="27" t="n">
        <v>0</v>
      </c>
      <c r="G144" s="27" t="n">
        <v>13.5085</v>
      </c>
      <c r="H144" s="27" t="n">
        <v>0</v>
      </c>
      <c r="I144" s="27" t="n">
        <v>69.3024</v>
      </c>
    </row>
    <row r="145" customFormat="false" ht="15" hidden="false" customHeight="false" outlineLevel="0" collapsed="false">
      <c r="A145" s="6" t="s">
        <v>251</v>
      </c>
      <c r="B145" s="6" t="s">
        <v>266</v>
      </c>
      <c r="C145" s="6" t="s">
        <v>264</v>
      </c>
      <c r="D145" s="6" t="s">
        <v>141</v>
      </c>
      <c r="E145" s="27" t="n">
        <v>1.95</v>
      </c>
      <c r="F145" s="27" t="n">
        <v>0</v>
      </c>
      <c r="G145" s="27" t="n">
        <v>13.5258</v>
      </c>
      <c r="H145" s="27" t="n">
        <v>0</v>
      </c>
      <c r="I145" s="27" t="n">
        <v>42.6634</v>
      </c>
    </row>
    <row r="146" customFormat="false" ht="15" hidden="false" customHeight="false" outlineLevel="0" collapsed="false">
      <c r="A146" s="6" t="s">
        <v>251</v>
      </c>
      <c r="B146" s="6" t="s">
        <v>266</v>
      </c>
      <c r="C146" s="6" t="s">
        <v>264</v>
      </c>
      <c r="D146" s="6" t="s">
        <v>128</v>
      </c>
      <c r="E146" s="27" t="n">
        <v>0.185</v>
      </c>
      <c r="F146" s="27" t="n">
        <v>0</v>
      </c>
      <c r="G146" s="27" t="n">
        <v>13.2918</v>
      </c>
      <c r="H146" s="27" t="n">
        <v>0</v>
      </c>
      <c r="I146" s="27" t="n">
        <v>19.0779</v>
      </c>
    </row>
    <row r="147" customFormat="false" ht="15" hidden="false" customHeight="false" outlineLevel="0" collapsed="false">
      <c r="A147" s="6" t="s">
        <v>251</v>
      </c>
      <c r="B147" s="6" t="s">
        <v>266</v>
      </c>
      <c r="C147" s="6" t="s">
        <v>264</v>
      </c>
      <c r="D147" s="6" t="s">
        <v>261</v>
      </c>
      <c r="E147" s="27" t="n">
        <v>0</v>
      </c>
      <c r="F147" s="27" t="n">
        <v>0</v>
      </c>
      <c r="G147" s="27" t="n">
        <v>0</v>
      </c>
      <c r="H147" s="27" t="n">
        <v>0</v>
      </c>
      <c r="I147" s="27" t="n">
        <v>2.0826</v>
      </c>
    </row>
    <row r="148" customFormat="false" ht="15" hidden="false" customHeight="false" outlineLevel="0" collapsed="false">
      <c r="A148" s="6" t="s">
        <v>251</v>
      </c>
      <c r="B148" s="6" t="s">
        <v>266</v>
      </c>
      <c r="C148" s="6" t="s">
        <v>264</v>
      </c>
      <c r="D148" s="6" t="s">
        <v>262</v>
      </c>
      <c r="E148" s="27" t="n">
        <v>0</v>
      </c>
      <c r="F148" s="27" t="n">
        <v>0</v>
      </c>
      <c r="G148" s="27" t="n">
        <v>0</v>
      </c>
      <c r="H148" s="27" t="n">
        <v>0</v>
      </c>
      <c r="I148" s="27" t="n">
        <v>0</v>
      </c>
    </row>
    <row r="149" customFormat="false" ht="15" hidden="false" customHeight="false" outlineLevel="0" collapsed="false">
      <c r="A149" s="6" t="s">
        <v>251</v>
      </c>
      <c r="B149" s="6" t="s">
        <v>266</v>
      </c>
      <c r="C149" s="6" t="s">
        <v>265</v>
      </c>
      <c r="D149" s="6" t="s">
        <v>254</v>
      </c>
      <c r="E149" s="27" t="n">
        <v>0</v>
      </c>
      <c r="F149" s="27" t="n">
        <v>0</v>
      </c>
      <c r="G149" s="27" t="n">
        <v>0</v>
      </c>
      <c r="H149" s="27" t="n">
        <v>0</v>
      </c>
      <c r="I149" s="27" t="n">
        <v>0</v>
      </c>
    </row>
    <row r="150" customFormat="false" ht="15" hidden="false" customHeight="false" outlineLevel="0" collapsed="false">
      <c r="A150" s="6" t="s">
        <v>251</v>
      </c>
      <c r="B150" s="6" t="s">
        <v>266</v>
      </c>
      <c r="C150" s="6" t="s">
        <v>265</v>
      </c>
      <c r="D150" s="6" t="s">
        <v>255</v>
      </c>
      <c r="E150" s="27" t="n">
        <v>0</v>
      </c>
      <c r="F150" s="27" t="n">
        <v>0</v>
      </c>
      <c r="G150" s="27" t="n">
        <v>0</v>
      </c>
      <c r="H150" s="27" t="n">
        <v>0</v>
      </c>
      <c r="I150" s="27" t="n">
        <v>0</v>
      </c>
    </row>
    <row r="151" customFormat="false" ht="15" hidden="false" customHeight="false" outlineLevel="0" collapsed="false">
      <c r="A151" s="6" t="s">
        <v>251</v>
      </c>
      <c r="B151" s="6" t="s">
        <v>266</v>
      </c>
      <c r="C151" s="6" t="s">
        <v>265</v>
      </c>
      <c r="D151" s="6" t="s">
        <v>256</v>
      </c>
      <c r="E151" s="27" t="n">
        <v>0</v>
      </c>
      <c r="F151" s="27" t="n">
        <v>0</v>
      </c>
      <c r="G151" s="27" t="n">
        <v>0</v>
      </c>
      <c r="H151" s="27" t="n">
        <v>0</v>
      </c>
      <c r="I151" s="27" t="n">
        <v>0</v>
      </c>
    </row>
    <row r="152" customFormat="false" ht="15" hidden="false" customHeight="false" outlineLevel="0" collapsed="false">
      <c r="A152" s="6" t="s">
        <v>251</v>
      </c>
      <c r="B152" s="6" t="s">
        <v>266</v>
      </c>
      <c r="C152" s="6" t="s">
        <v>265</v>
      </c>
      <c r="D152" s="6" t="s">
        <v>124</v>
      </c>
      <c r="E152" s="27" t="n">
        <v>0</v>
      </c>
      <c r="F152" s="27" t="n">
        <v>0</v>
      </c>
      <c r="G152" s="27" t="n">
        <v>0</v>
      </c>
      <c r="H152" s="27" t="n">
        <v>0</v>
      </c>
      <c r="I152" s="27" t="n">
        <v>0</v>
      </c>
    </row>
    <row r="153" customFormat="false" ht="15" hidden="false" customHeight="false" outlineLevel="0" collapsed="false">
      <c r="A153" s="6" t="s">
        <v>251</v>
      </c>
      <c r="B153" s="6" t="s">
        <v>266</v>
      </c>
      <c r="C153" s="6" t="s">
        <v>265</v>
      </c>
      <c r="D153" s="6" t="s">
        <v>257</v>
      </c>
      <c r="E153" s="27" t="n">
        <v>1.815</v>
      </c>
      <c r="F153" s="27" t="n">
        <v>0</v>
      </c>
      <c r="G153" s="27" t="n">
        <v>1.4809</v>
      </c>
      <c r="H153" s="27" t="n">
        <v>0</v>
      </c>
      <c r="I153" s="27" t="n">
        <v>2.2429</v>
      </c>
    </row>
    <row r="154" customFormat="false" ht="15" hidden="false" customHeight="false" outlineLevel="0" collapsed="false">
      <c r="A154" s="6" t="s">
        <v>251</v>
      </c>
      <c r="B154" s="6" t="s">
        <v>266</v>
      </c>
      <c r="C154" s="6" t="s">
        <v>265</v>
      </c>
      <c r="D154" s="6" t="s">
        <v>258</v>
      </c>
      <c r="E154" s="27" t="n">
        <v>4.34</v>
      </c>
      <c r="F154" s="27" t="n">
        <v>0</v>
      </c>
      <c r="G154" s="27" t="n">
        <v>1.4953</v>
      </c>
      <c r="H154" s="27" t="n">
        <v>0</v>
      </c>
      <c r="I154" s="27" t="n">
        <v>6.3819</v>
      </c>
    </row>
    <row r="155" customFormat="false" ht="15" hidden="false" customHeight="false" outlineLevel="0" collapsed="false">
      <c r="A155" s="6" t="s">
        <v>251</v>
      </c>
      <c r="B155" s="6" t="s">
        <v>266</v>
      </c>
      <c r="C155" s="6" t="s">
        <v>265</v>
      </c>
      <c r="D155" s="6" t="s">
        <v>133</v>
      </c>
      <c r="E155" s="27" t="n">
        <v>4.795</v>
      </c>
      <c r="F155" s="27" t="n">
        <v>0</v>
      </c>
      <c r="G155" s="27" t="n">
        <v>1.5088</v>
      </c>
      <c r="H155" s="27" t="n">
        <v>0</v>
      </c>
      <c r="I155" s="27" t="n">
        <v>7.2613</v>
      </c>
    </row>
    <row r="156" customFormat="false" ht="15" hidden="false" customHeight="false" outlineLevel="0" collapsed="false">
      <c r="A156" s="6" t="s">
        <v>251</v>
      </c>
      <c r="B156" s="6" t="s">
        <v>266</v>
      </c>
      <c r="C156" s="6" t="s">
        <v>265</v>
      </c>
      <c r="D156" s="6" t="s">
        <v>137</v>
      </c>
      <c r="E156" s="27" t="n">
        <v>5.145</v>
      </c>
      <c r="F156" s="27" t="n">
        <v>0</v>
      </c>
      <c r="G156" s="27" t="n">
        <v>1.507</v>
      </c>
      <c r="H156" s="27" t="n">
        <v>0</v>
      </c>
      <c r="I156" s="27" t="n">
        <v>7.6454</v>
      </c>
    </row>
    <row r="157" customFormat="false" ht="15" hidden="false" customHeight="false" outlineLevel="0" collapsed="false">
      <c r="A157" s="6" t="s">
        <v>251</v>
      </c>
      <c r="B157" s="6" t="s">
        <v>266</v>
      </c>
      <c r="C157" s="6" t="s">
        <v>265</v>
      </c>
      <c r="D157" s="6" t="s">
        <v>140</v>
      </c>
      <c r="E157" s="27" t="n">
        <v>5.51</v>
      </c>
      <c r="F157" s="27" t="n">
        <v>0</v>
      </c>
      <c r="G157" s="27" t="n">
        <v>1.4851</v>
      </c>
      <c r="H157" s="27" t="n">
        <v>0</v>
      </c>
      <c r="I157" s="27" t="n">
        <v>8.196</v>
      </c>
    </row>
    <row r="158" customFormat="false" ht="15" hidden="false" customHeight="false" outlineLevel="0" collapsed="false">
      <c r="A158" s="6" t="s">
        <v>251</v>
      </c>
      <c r="B158" s="6" t="s">
        <v>266</v>
      </c>
      <c r="C158" s="6" t="s">
        <v>265</v>
      </c>
      <c r="D158" s="6" t="s">
        <v>125</v>
      </c>
      <c r="E158" s="27" t="n">
        <v>4.925</v>
      </c>
      <c r="F158" s="27" t="n">
        <v>0</v>
      </c>
      <c r="G158" s="27" t="n">
        <v>1.506</v>
      </c>
      <c r="H158" s="27" t="n">
        <v>0</v>
      </c>
      <c r="I158" s="27" t="n">
        <v>7.549</v>
      </c>
    </row>
    <row r="159" customFormat="false" ht="15" hidden="false" customHeight="false" outlineLevel="0" collapsed="false">
      <c r="A159" s="6" t="s">
        <v>251</v>
      </c>
      <c r="B159" s="6" t="s">
        <v>266</v>
      </c>
      <c r="C159" s="6" t="s">
        <v>265</v>
      </c>
      <c r="D159" s="6" t="s">
        <v>259</v>
      </c>
      <c r="E159" s="27" t="n">
        <v>4.445</v>
      </c>
      <c r="F159" s="27" t="n">
        <v>0</v>
      </c>
      <c r="G159" s="27" t="n">
        <v>1.5007</v>
      </c>
      <c r="H159" s="27" t="n">
        <v>0</v>
      </c>
      <c r="I159" s="27" t="n">
        <v>6.5847</v>
      </c>
    </row>
    <row r="160" customFormat="false" ht="15" hidden="false" customHeight="false" outlineLevel="0" collapsed="false">
      <c r="A160" s="6" t="s">
        <v>251</v>
      </c>
      <c r="B160" s="6" t="s">
        <v>266</v>
      </c>
      <c r="C160" s="6" t="s">
        <v>265</v>
      </c>
      <c r="D160" s="6" t="s">
        <v>260</v>
      </c>
      <c r="E160" s="27" t="n">
        <v>7.07</v>
      </c>
      <c r="F160" s="27" t="n">
        <v>0</v>
      </c>
      <c r="G160" s="27" t="n">
        <v>1.4939</v>
      </c>
      <c r="H160" s="27" t="n">
        <v>0</v>
      </c>
      <c r="I160" s="27" t="n">
        <v>10.2043</v>
      </c>
    </row>
    <row r="161" customFormat="false" ht="15" hidden="false" customHeight="false" outlineLevel="0" collapsed="false">
      <c r="A161" s="6" t="s">
        <v>251</v>
      </c>
      <c r="B161" s="6" t="s">
        <v>266</v>
      </c>
      <c r="C161" s="6" t="s">
        <v>265</v>
      </c>
      <c r="D161" s="6" t="s">
        <v>134</v>
      </c>
      <c r="E161" s="27" t="n">
        <v>7.63</v>
      </c>
      <c r="F161" s="27" t="n">
        <v>0</v>
      </c>
      <c r="G161" s="27" t="n">
        <v>1.5122</v>
      </c>
      <c r="H161" s="27" t="n">
        <v>0</v>
      </c>
      <c r="I161" s="27" t="n">
        <v>11.6119</v>
      </c>
    </row>
    <row r="162" customFormat="false" ht="15" hidden="false" customHeight="false" outlineLevel="0" collapsed="false">
      <c r="A162" s="6" t="s">
        <v>251</v>
      </c>
      <c r="B162" s="6" t="s">
        <v>266</v>
      </c>
      <c r="C162" s="6" t="s">
        <v>265</v>
      </c>
      <c r="D162" s="6" t="s">
        <v>138</v>
      </c>
      <c r="E162" s="27" t="n">
        <v>6.27</v>
      </c>
      <c r="F162" s="27" t="n">
        <v>0</v>
      </c>
      <c r="G162" s="27" t="n">
        <v>1.4946</v>
      </c>
      <c r="H162" s="27" t="n">
        <v>0</v>
      </c>
      <c r="I162" s="27" t="n">
        <v>9.5105</v>
      </c>
    </row>
    <row r="163" customFormat="false" ht="15" hidden="false" customHeight="false" outlineLevel="0" collapsed="false">
      <c r="A163" s="6" t="s">
        <v>251</v>
      </c>
      <c r="B163" s="6" t="s">
        <v>266</v>
      </c>
      <c r="C163" s="6" t="s">
        <v>265</v>
      </c>
      <c r="D163" s="6" t="s">
        <v>141</v>
      </c>
      <c r="E163" s="27" t="n">
        <v>4.54</v>
      </c>
      <c r="F163" s="27" t="n">
        <v>0</v>
      </c>
      <c r="G163" s="27" t="n">
        <v>1.4873</v>
      </c>
      <c r="H163" s="27" t="n">
        <v>0</v>
      </c>
      <c r="I163" s="27" t="n">
        <v>7.0817</v>
      </c>
    </row>
    <row r="164" customFormat="false" ht="15" hidden="false" customHeight="false" outlineLevel="0" collapsed="false">
      <c r="A164" s="6" t="s">
        <v>251</v>
      </c>
      <c r="B164" s="6" t="s">
        <v>266</v>
      </c>
      <c r="C164" s="6" t="s">
        <v>265</v>
      </c>
      <c r="D164" s="6" t="s">
        <v>128</v>
      </c>
      <c r="E164" s="27" t="n">
        <v>2.55</v>
      </c>
      <c r="F164" s="27" t="n">
        <v>0</v>
      </c>
      <c r="G164" s="27" t="n">
        <v>1.4993</v>
      </c>
      <c r="H164" s="27" t="n">
        <v>0</v>
      </c>
      <c r="I164" s="27" t="n">
        <v>3.9777</v>
      </c>
    </row>
    <row r="165" customFormat="false" ht="15" hidden="false" customHeight="false" outlineLevel="0" collapsed="false">
      <c r="A165" s="6" t="s">
        <v>251</v>
      </c>
      <c r="B165" s="6" t="s">
        <v>266</v>
      </c>
      <c r="C165" s="6" t="s">
        <v>265</v>
      </c>
      <c r="D165" s="6" t="s">
        <v>261</v>
      </c>
      <c r="E165" s="27" t="n">
        <v>0.83</v>
      </c>
      <c r="F165" s="27" t="n">
        <v>0</v>
      </c>
      <c r="G165" s="27" t="n">
        <v>1.4982</v>
      </c>
      <c r="H165" s="27" t="n">
        <v>0</v>
      </c>
      <c r="I165" s="27" t="n">
        <v>1.4787</v>
      </c>
    </row>
    <row r="166" customFormat="false" ht="15" hidden="false" customHeight="false" outlineLevel="0" collapsed="false">
      <c r="A166" s="6" t="s">
        <v>251</v>
      </c>
      <c r="B166" s="6" t="s">
        <v>266</v>
      </c>
      <c r="C166" s="6" t="s">
        <v>265</v>
      </c>
      <c r="D166" s="6" t="s">
        <v>262</v>
      </c>
      <c r="E166" s="27" t="n">
        <v>0</v>
      </c>
      <c r="F166" s="27" t="n">
        <v>0</v>
      </c>
      <c r="G166" s="27" t="n">
        <v>0</v>
      </c>
      <c r="H166" s="27" t="n">
        <v>0</v>
      </c>
      <c r="I166" s="27" t="n">
        <v>0</v>
      </c>
    </row>
    <row r="167" customFormat="false" ht="15" hidden="false" customHeight="false" outlineLevel="0" collapsed="false">
      <c r="A167" s="6" t="s">
        <v>251</v>
      </c>
      <c r="B167" s="6" t="s">
        <v>266</v>
      </c>
      <c r="C167" s="6" t="s">
        <v>238</v>
      </c>
      <c r="D167" s="6" t="s">
        <v>254</v>
      </c>
      <c r="E167" s="27" t="n">
        <v>0</v>
      </c>
      <c r="F167" s="27" t="n">
        <v>0</v>
      </c>
      <c r="G167" s="27" t="n">
        <v>0</v>
      </c>
      <c r="H167" s="27" t="n">
        <v>0</v>
      </c>
      <c r="I167" s="27" t="n">
        <v>0</v>
      </c>
    </row>
    <row r="168" customFormat="false" ht="15" hidden="false" customHeight="false" outlineLevel="0" collapsed="false">
      <c r="A168" s="6" t="s">
        <v>251</v>
      </c>
      <c r="B168" s="6" t="s">
        <v>266</v>
      </c>
      <c r="C168" s="6" t="s">
        <v>238</v>
      </c>
      <c r="D168" s="6" t="s">
        <v>255</v>
      </c>
      <c r="E168" s="27" t="n">
        <v>0</v>
      </c>
      <c r="F168" s="27" t="n">
        <v>0</v>
      </c>
      <c r="G168" s="27" t="n">
        <v>0</v>
      </c>
      <c r="H168" s="27" t="n">
        <v>0</v>
      </c>
      <c r="I168" s="27" t="n">
        <v>0</v>
      </c>
    </row>
    <row r="169" customFormat="false" ht="15" hidden="false" customHeight="false" outlineLevel="0" collapsed="false">
      <c r="A169" s="6" t="s">
        <v>251</v>
      </c>
      <c r="B169" s="6" t="s">
        <v>266</v>
      </c>
      <c r="C169" s="6" t="s">
        <v>238</v>
      </c>
      <c r="D169" s="6" t="s">
        <v>256</v>
      </c>
      <c r="E169" s="27" t="n">
        <v>0</v>
      </c>
      <c r="F169" s="27" t="n">
        <v>0</v>
      </c>
      <c r="G169" s="27" t="n">
        <v>0</v>
      </c>
      <c r="H169" s="27" t="n">
        <v>0</v>
      </c>
      <c r="I169" s="27" t="n">
        <v>0</v>
      </c>
    </row>
    <row r="170" customFormat="false" ht="15" hidden="false" customHeight="false" outlineLevel="0" collapsed="false">
      <c r="A170" s="6" t="s">
        <v>251</v>
      </c>
      <c r="B170" s="6" t="s">
        <v>266</v>
      </c>
      <c r="C170" s="6" t="s">
        <v>238</v>
      </c>
      <c r="D170" s="6" t="s">
        <v>124</v>
      </c>
      <c r="E170" s="27" t="n">
        <v>3.88</v>
      </c>
      <c r="F170" s="27" t="n">
        <v>0</v>
      </c>
      <c r="G170" s="27" t="n">
        <v>16.5294</v>
      </c>
      <c r="H170" s="27" t="n">
        <v>0</v>
      </c>
      <c r="I170" s="27" t="n">
        <v>18.9765</v>
      </c>
    </row>
    <row r="171" customFormat="false" ht="15" hidden="false" customHeight="false" outlineLevel="0" collapsed="false">
      <c r="A171" s="6" t="s">
        <v>251</v>
      </c>
      <c r="B171" s="6" t="s">
        <v>266</v>
      </c>
      <c r="C171" s="6" t="s">
        <v>238</v>
      </c>
      <c r="D171" s="6" t="s">
        <v>257</v>
      </c>
      <c r="E171" s="27" t="n">
        <v>4.64</v>
      </c>
      <c r="F171" s="27" t="n">
        <v>0</v>
      </c>
      <c r="G171" s="27" t="n">
        <v>16.5845</v>
      </c>
      <c r="H171" s="27" t="n">
        <v>0</v>
      </c>
      <c r="I171" s="27" t="n">
        <v>59.7213</v>
      </c>
    </row>
    <row r="172" customFormat="false" ht="15" hidden="false" customHeight="false" outlineLevel="0" collapsed="false">
      <c r="A172" s="6" t="s">
        <v>251</v>
      </c>
      <c r="B172" s="6" t="s">
        <v>266</v>
      </c>
      <c r="C172" s="6" t="s">
        <v>238</v>
      </c>
      <c r="D172" s="6" t="s">
        <v>258</v>
      </c>
      <c r="E172" s="27" t="n">
        <v>4.78</v>
      </c>
      <c r="F172" s="27" t="n">
        <v>0</v>
      </c>
      <c r="G172" s="27" t="n">
        <v>16.5859</v>
      </c>
      <c r="H172" s="27" t="n">
        <v>0</v>
      </c>
      <c r="I172" s="27" t="n">
        <v>76.5079</v>
      </c>
    </row>
    <row r="173" customFormat="false" ht="15" hidden="false" customHeight="false" outlineLevel="0" collapsed="false">
      <c r="A173" s="6" t="s">
        <v>251</v>
      </c>
      <c r="B173" s="6" t="s">
        <v>266</v>
      </c>
      <c r="C173" s="6" t="s">
        <v>238</v>
      </c>
      <c r="D173" s="6" t="s">
        <v>133</v>
      </c>
      <c r="E173" s="27" t="n">
        <v>5.73</v>
      </c>
      <c r="F173" s="27" t="n">
        <v>0</v>
      </c>
      <c r="G173" s="27" t="n">
        <v>16.5938</v>
      </c>
      <c r="H173" s="27" t="n">
        <v>0</v>
      </c>
      <c r="I173" s="27" t="n">
        <v>83.8564</v>
      </c>
    </row>
    <row r="174" customFormat="false" ht="15" hidden="false" customHeight="false" outlineLevel="0" collapsed="false">
      <c r="A174" s="6" t="s">
        <v>251</v>
      </c>
      <c r="B174" s="6" t="s">
        <v>266</v>
      </c>
      <c r="C174" s="6" t="s">
        <v>238</v>
      </c>
      <c r="D174" s="6" t="s">
        <v>137</v>
      </c>
      <c r="E174" s="27" t="n">
        <v>5.36</v>
      </c>
      <c r="F174" s="27" t="n">
        <v>0</v>
      </c>
      <c r="G174" s="27" t="n">
        <v>16.6088</v>
      </c>
      <c r="H174" s="27" t="n">
        <v>0</v>
      </c>
      <c r="I174" s="27" t="n">
        <v>90.8448</v>
      </c>
    </row>
    <row r="175" customFormat="false" ht="15" hidden="false" customHeight="false" outlineLevel="0" collapsed="false">
      <c r="A175" s="6" t="s">
        <v>251</v>
      </c>
      <c r="B175" s="6" t="s">
        <v>266</v>
      </c>
      <c r="C175" s="6" t="s">
        <v>238</v>
      </c>
      <c r="D175" s="6" t="s">
        <v>140</v>
      </c>
      <c r="E175" s="27" t="n">
        <v>4.375</v>
      </c>
      <c r="F175" s="27" t="n">
        <v>0</v>
      </c>
      <c r="G175" s="27" t="n">
        <v>16.6053</v>
      </c>
      <c r="H175" s="27" t="n">
        <v>0</v>
      </c>
      <c r="I175" s="27" t="n">
        <v>84.7293</v>
      </c>
    </row>
    <row r="176" customFormat="false" ht="15" hidden="false" customHeight="false" outlineLevel="0" collapsed="false">
      <c r="A176" s="6" t="s">
        <v>251</v>
      </c>
      <c r="B176" s="6" t="s">
        <v>266</v>
      </c>
      <c r="C176" s="6" t="s">
        <v>238</v>
      </c>
      <c r="D176" s="6" t="s">
        <v>125</v>
      </c>
      <c r="E176" s="27" t="n">
        <v>5.67</v>
      </c>
      <c r="F176" s="27" t="n">
        <v>0</v>
      </c>
      <c r="G176" s="27" t="n">
        <v>16.5894</v>
      </c>
      <c r="H176" s="27" t="n">
        <v>0</v>
      </c>
      <c r="I176" s="27" t="n">
        <v>77.5733</v>
      </c>
    </row>
    <row r="177" customFormat="false" ht="15" hidden="false" customHeight="false" outlineLevel="0" collapsed="false">
      <c r="A177" s="6" t="s">
        <v>251</v>
      </c>
      <c r="B177" s="6" t="s">
        <v>266</v>
      </c>
      <c r="C177" s="6" t="s">
        <v>238</v>
      </c>
      <c r="D177" s="6" t="s">
        <v>259</v>
      </c>
      <c r="E177" s="27" t="n">
        <v>7.435</v>
      </c>
      <c r="F177" s="27" t="n">
        <v>0</v>
      </c>
      <c r="G177" s="27" t="n">
        <v>16.5723</v>
      </c>
      <c r="H177" s="27" t="n">
        <v>0</v>
      </c>
      <c r="I177" s="27" t="n">
        <v>100.2595</v>
      </c>
    </row>
    <row r="178" customFormat="false" ht="15" hidden="false" customHeight="false" outlineLevel="0" collapsed="false">
      <c r="A178" s="6" t="s">
        <v>251</v>
      </c>
      <c r="B178" s="6" t="s">
        <v>266</v>
      </c>
      <c r="C178" s="6" t="s">
        <v>238</v>
      </c>
      <c r="D178" s="6" t="s">
        <v>260</v>
      </c>
      <c r="E178" s="27" t="n">
        <v>7.35</v>
      </c>
      <c r="F178" s="27" t="n">
        <v>0</v>
      </c>
      <c r="G178" s="27" t="n">
        <v>16.5245</v>
      </c>
      <c r="H178" s="27" t="n">
        <v>0</v>
      </c>
      <c r="I178" s="27" t="n">
        <v>123.1034</v>
      </c>
    </row>
    <row r="179" customFormat="false" ht="15" hidden="false" customHeight="false" outlineLevel="0" collapsed="false">
      <c r="A179" s="6" t="s">
        <v>251</v>
      </c>
      <c r="B179" s="6" t="s">
        <v>266</v>
      </c>
      <c r="C179" s="6" t="s">
        <v>238</v>
      </c>
      <c r="D179" s="6" t="s">
        <v>134</v>
      </c>
      <c r="E179" s="27" t="n">
        <v>5.32</v>
      </c>
      <c r="F179" s="27" t="n">
        <v>0</v>
      </c>
      <c r="G179" s="27" t="n">
        <v>16.5691</v>
      </c>
      <c r="H179" s="27" t="n">
        <v>0</v>
      </c>
      <c r="I179" s="27" t="n">
        <v>112.6763</v>
      </c>
    </row>
    <row r="180" customFormat="false" ht="15" hidden="false" customHeight="false" outlineLevel="0" collapsed="false">
      <c r="A180" s="6" t="s">
        <v>251</v>
      </c>
      <c r="B180" s="6" t="s">
        <v>266</v>
      </c>
      <c r="C180" s="6" t="s">
        <v>238</v>
      </c>
      <c r="D180" s="6" t="s">
        <v>138</v>
      </c>
      <c r="E180" s="27" t="n">
        <v>3.5</v>
      </c>
      <c r="F180" s="27" t="n">
        <v>0</v>
      </c>
      <c r="G180" s="27" t="n">
        <v>16.5559</v>
      </c>
      <c r="H180" s="27" t="n">
        <v>0</v>
      </c>
      <c r="I180" s="27" t="n">
        <v>84.514</v>
      </c>
    </row>
    <row r="181" customFormat="false" ht="15" hidden="false" customHeight="false" outlineLevel="0" collapsed="false">
      <c r="A181" s="6" t="s">
        <v>251</v>
      </c>
      <c r="B181" s="6" t="s">
        <v>266</v>
      </c>
      <c r="C181" s="6" t="s">
        <v>238</v>
      </c>
      <c r="D181" s="6" t="s">
        <v>141</v>
      </c>
      <c r="E181" s="27" t="n">
        <v>1.825</v>
      </c>
      <c r="F181" s="27" t="n">
        <v>0</v>
      </c>
      <c r="G181" s="27" t="n">
        <v>16.5829</v>
      </c>
      <c r="H181" s="27" t="n">
        <v>0</v>
      </c>
      <c r="I181" s="27" t="n">
        <v>52.6985</v>
      </c>
    </row>
    <row r="182" customFormat="false" ht="15" hidden="false" customHeight="false" outlineLevel="0" collapsed="false">
      <c r="A182" s="6" t="s">
        <v>251</v>
      </c>
      <c r="B182" s="6" t="s">
        <v>266</v>
      </c>
      <c r="C182" s="6" t="s">
        <v>238</v>
      </c>
      <c r="D182" s="6" t="s">
        <v>128</v>
      </c>
      <c r="E182" s="27" t="n">
        <v>0</v>
      </c>
      <c r="F182" s="27" t="n">
        <v>0</v>
      </c>
      <c r="G182" s="27" t="n">
        <v>0</v>
      </c>
      <c r="H182" s="27" t="n">
        <v>0</v>
      </c>
      <c r="I182" s="27" t="n">
        <v>23.1871</v>
      </c>
    </row>
    <row r="183" customFormat="false" ht="15" hidden="false" customHeight="false" outlineLevel="0" collapsed="false">
      <c r="A183" s="6" t="s">
        <v>251</v>
      </c>
      <c r="B183" s="6" t="s">
        <v>266</v>
      </c>
      <c r="C183" s="6" t="s">
        <v>238</v>
      </c>
      <c r="D183" s="6" t="s">
        <v>261</v>
      </c>
      <c r="E183" s="27" t="n">
        <v>0</v>
      </c>
      <c r="F183" s="27" t="n">
        <v>0</v>
      </c>
      <c r="G183" s="27" t="n">
        <v>0</v>
      </c>
      <c r="H183" s="27" t="n">
        <v>0</v>
      </c>
      <c r="I183" s="27" t="n">
        <v>3.5613</v>
      </c>
    </row>
    <row r="184" customFormat="false" ht="15" hidden="false" customHeight="false" outlineLevel="0" collapsed="false">
      <c r="A184" s="6" t="s">
        <v>251</v>
      </c>
      <c r="B184" s="6" t="s">
        <v>266</v>
      </c>
      <c r="C184" s="6" t="s">
        <v>238</v>
      </c>
      <c r="D184" s="6" t="s">
        <v>262</v>
      </c>
      <c r="E184" s="27" t="n">
        <v>0</v>
      </c>
      <c r="F184" s="27" t="n">
        <v>0</v>
      </c>
      <c r="G184" s="27" t="n">
        <v>0</v>
      </c>
      <c r="H184" s="27" t="n">
        <v>0</v>
      </c>
      <c r="I184" s="27" t="n">
        <v>0</v>
      </c>
    </row>
    <row r="185" customFormat="false" ht="15" hidden="false" customHeight="false" outlineLevel="0" collapsed="false">
      <c r="A185" s="6" t="s">
        <v>267</v>
      </c>
      <c r="B185" s="6" t="s">
        <v>252</v>
      </c>
      <c r="C185" s="6" t="s">
        <v>253</v>
      </c>
      <c r="D185" s="6" t="s">
        <v>254</v>
      </c>
      <c r="E185" s="27" t="n">
        <v>0</v>
      </c>
      <c r="F185" s="27" t="n">
        <v>0</v>
      </c>
      <c r="G185" s="27" t="n">
        <v>0</v>
      </c>
      <c r="H185" s="27" t="n">
        <v>0</v>
      </c>
      <c r="I185" s="27" t="n">
        <v>0</v>
      </c>
    </row>
    <row r="186" customFormat="false" ht="15" hidden="false" customHeight="false" outlineLevel="0" collapsed="false">
      <c r="A186" s="6" t="s">
        <v>267</v>
      </c>
      <c r="B186" s="6" t="s">
        <v>252</v>
      </c>
      <c r="C186" s="6" t="s">
        <v>253</v>
      </c>
      <c r="D186" s="6" t="s">
        <v>255</v>
      </c>
      <c r="E186" s="27" t="n">
        <v>0</v>
      </c>
      <c r="F186" s="27" t="n">
        <v>0</v>
      </c>
      <c r="G186" s="27" t="n">
        <v>0</v>
      </c>
      <c r="H186" s="27" t="n">
        <v>0</v>
      </c>
      <c r="I186" s="27" t="n">
        <v>0</v>
      </c>
    </row>
    <row r="187" customFormat="false" ht="15" hidden="false" customHeight="false" outlineLevel="0" collapsed="false">
      <c r="A187" s="6" t="s">
        <v>267</v>
      </c>
      <c r="B187" s="6" t="s">
        <v>252</v>
      </c>
      <c r="C187" s="6" t="s">
        <v>253</v>
      </c>
      <c r="D187" s="6" t="s">
        <v>256</v>
      </c>
      <c r="E187" s="27" t="n">
        <v>0</v>
      </c>
      <c r="F187" s="27" t="n">
        <v>0</v>
      </c>
      <c r="G187" s="27" t="n">
        <v>0</v>
      </c>
      <c r="H187" s="27" t="n">
        <v>0</v>
      </c>
      <c r="I187" s="27" t="n">
        <v>0</v>
      </c>
    </row>
    <row r="188" customFormat="false" ht="15" hidden="false" customHeight="false" outlineLevel="0" collapsed="false">
      <c r="A188" s="6" t="s">
        <v>267</v>
      </c>
      <c r="B188" s="6" t="s">
        <v>252</v>
      </c>
      <c r="C188" s="6" t="s">
        <v>253</v>
      </c>
      <c r="D188" s="6" t="s">
        <v>124</v>
      </c>
      <c r="E188" s="27" t="n">
        <v>14.52</v>
      </c>
      <c r="F188" s="27" t="n">
        <v>0.0184</v>
      </c>
      <c r="G188" s="27" t="n">
        <v>0.0333</v>
      </c>
      <c r="H188" s="27" t="n">
        <v>0.2669</v>
      </c>
      <c r="I188" s="27" t="n">
        <v>0.4809</v>
      </c>
    </row>
    <row r="189" customFormat="false" ht="15" hidden="false" customHeight="false" outlineLevel="0" collapsed="false">
      <c r="A189" s="6" t="s">
        <v>267</v>
      </c>
      <c r="B189" s="6" t="s">
        <v>252</v>
      </c>
      <c r="C189" s="6" t="s">
        <v>253</v>
      </c>
      <c r="D189" s="6" t="s">
        <v>257</v>
      </c>
      <c r="E189" s="27" t="n">
        <v>18.77</v>
      </c>
      <c r="F189" s="27" t="n">
        <v>0.0291</v>
      </c>
      <c r="G189" s="27" t="n">
        <v>0.0334</v>
      </c>
      <c r="H189" s="27" t="n">
        <v>0.5419</v>
      </c>
      <c r="I189" s="27" t="n">
        <v>0.6245</v>
      </c>
    </row>
    <row r="190" customFormat="false" ht="15" hidden="false" customHeight="false" outlineLevel="0" collapsed="false">
      <c r="A190" s="6" t="s">
        <v>267</v>
      </c>
      <c r="B190" s="6" t="s">
        <v>252</v>
      </c>
      <c r="C190" s="6" t="s">
        <v>253</v>
      </c>
      <c r="D190" s="6" t="s">
        <v>258</v>
      </c>
      <c r="E190" s="27" t="n">
        <v>18.615</v>
      </c>
      <c r="F190" s="27" t="n">
        <v>0.0358</v>
      </c>
      <c r="G190" s="27" t="n">
        <v>0.0332</v>
      </c>
      <c r="H190" s="27" t="n">
        <v>0.6705</v>
      </c>
      <c r="I190" s="27" t="n">
        <v>0.6199</v>
      </c>
    </row>
    <row r="191" customFormat="false" ht="15" hidden="false" customHeight="false" outlineLevel="0" collapsed="false">
      <c r="A191" s="6" t="s">
        <v>267</v>
      </c>
      <c r="B191" s="6" t="s">
        <v>252</v>
      </c>
      <c r="C191" s="6" t="s">
        <v>253</v>
      </c>
      <c r="D191" s="6" t="s">
        <v>133</v>
      </c>
      <c r="E191" s="27" t="n">
        <v>21.535</v>
      </c>
      <c r="F191" s="27" t="n">
        <v>0.0547</v>
      </c>
      <c r="G191" s="27" t="n">
        <v>0.0335</v>
      </c>
      <c r="H191" s="27" t="n">
        <v>1.173</v>
      </c>
      <c r="I191" s="27" t="n">
        <v>0.7183</v>
      </c>
    </row>
    <row r="192" customFormat="false" ht="15" hidden="false" customHeight="false" outlineLevel="0" collapsed="false">
      <c r="A192" s="6" t="s">
        <v>267</v>
      </c>
      <c r="B192" s="6" t="s">
        <v>252</v>
      </c>
      <c r="C192" s="6" t="s">
        <v>253</v>
      </c>
      <c r="D192" s="6" t="s">
        <v>137</v>
      </c>
      <c r="E192" s="27" t="n">
        <v>18.48</v>
      </c>
      <c r="F192" s="27" t="n">
        <v>0.036</v>
      </c>
      <c r="G192" s="27" t="n">
        <v>0.0334</v>
      </c>
      <c r="H192" s="27" t="n">
        <v>0.6662</v>
      </c>
      <c r="I192" s="27" t="n">
        <v>0.6193</v>
      </c>
    </row>
    <row r="193" customFormat="false" ht="15" hidden="false" customHeight="false" outlineLevel="0" collapsed="false">
      <c r="A193" s="6" t="s">
        <v>267</v>
      </c>
      <c r="B193" s="6" t="s">
        <v>252</v>
      </c>
      <c r="C193" s="6" t="s">
        <v>253</v>
      </c>
      <c r="D193" s="6" t="s">
        <v>140</v>
      </c>
      <c r="E193" s="27" t="n">
        <v>15.44</v>
      </c>
      <c r="F193" s="27" t="n">
        <v>0.0197</v>
      </c>
      <c r="G193" s="27" t="n">
        <v>0.0332</v>
      </c>
      <c r="H193" s="27" t="n">
        <v>0.3076</v>
      </c>
      <c r="I193" s="27" t="n">
        <v>0.5163</v>
      </c>
    </row>
    <row r="194" customFormat="false" ht="15" hidden="false" customHeight="false" outlineLevel="0" collapsed="false">
      <c r="A194" s="6" t="s">
        <v>267</v>
      </c>
      <c r="B194" s="6" t="s">
        <v>252</v>
      </c>
      <c r="C194" s="6" t="s">
        <v>253</v>
      </c>
      <c r="D194" s="6" t="s">
        <v>125</v>
      </c>
      <c r="E194" s="27" t="n">
        <v>21.385</v>
      </c>
      <c r="F194" s="27" t="n">
        <v>0.064</v>
      </c>
      <c r="G194" s="27" t="n">
        <v>0.0332</v>
      </c>
      <c r="H194" s="27" t="n">
        <v>1.3496</v>
      </c>
      <c r="I194" s="27" t="n">
        <v>0.705</v>
      </c>
    </row>
    <row r="195" customFormat="false" ht="15" hidden="false" customHeight="false" outlineLevel="0" collapsed="false">
      <c r="A195" s="6" t="s">
        <v>267</v>
      </c>
      <c r="B195" s="6" t="s">
        <v>252</v>
      </c>
      <c r="C195" s="6" t="s">
        <v>253</v>
      </c>
      <c r="D195" s="6" t="s">
        <v>259</v>
      </c>
      <c r="E195" s="27" t="n">
        <v>21.26</v>
      </c>
      <c r="F195" s="27" t="n">
        <v>0.0707</v>
      </c>
      <c r="G195" s="27" t="n">
        <v>0.0334</v>
      </c>
      <c r="H195" s="27" t="n">
        <v>1.516</v>
      </c>
      <c r="I195" s="27" t="n">
        <v>0.713</v>
      </c>
    </row>
    <row r="196" customFormat="false" ht="15" hidden="false" customHeight="false" outlineLevel="0" collapsed="false">
      <c r="A196" s="6" t="s">
        <v>267</v>
      </c>
      <c r="B196" s="6" t="s">
        <v>252</v>
      </c>
      <c r="C196" s="6" t="s">
        <v>253</v>
      </c>
      <c r="D196" s="6" t="s">
        <v>260</v>
      </c>
      <c r="E196" s="27" t="n">
        <v>19.735</v>
      </c>
      <c r="F196" s="27" t="n">
        <v>0.0602</v>
      </c>
      <c r="G196" s="27" t="n">
        <v>0.0334</v>
      </c>
      <c r="H196" s="27" t="n">
        <v>1.1919</v>
      </c>
      <c r="I196" s="27" t="n">
        <v>0.6594</v>
      </c>
    </row>
    <row r="197" customFormat="false" ht="15" hidden="false" customHeight="false" outlineLevel="0" collapsed="false">
      <c r="A197" s="6" t="s">
        <v>267</v>
      </c>
      <c r="B197" s="6" t="s">
        <v>252</v>
      </c>
      <c r="C197" s="6" t="s">
        <v>253</v>
      </c>
      <c r="D197" s="6" t="s">
        <v>134</v>
      </c>
      <c r="E197" s="27" t="n">
        <v>17.25</v>
      </c>
      <c r="F197" s="27" t="n">
        <v>0.0302</v>
      </c>
      <c r="G197" s="27" t="n">
        <v>0.0333</v>
      </c>
      <c r="H197" s="27" t="n">
        <v>0.5233</v>
      </c>
      <c r="I197" s="27" t="n">
        <v>0.5757</v>
      </c>
    </row>
    <row r="198" customFormat="false" ht="15" hidden="false" customHeight="false" outlineLevel="0" collapsed="false">
      <c r="A198" s="6" t="s">
        <v>267</v>
      </c>
      <c r="B198" s="6" t="s">
        <v>252</v>
      </c>
      <c r="C198" s="6" t="s">
        <v>253</v>
      </c>
      <c r="D198" s="6" t="s">
        <v>138</v>
      </c>
      <c r="E198" s="27" t="n">
        <v>13.165</v>
      </c>
      <c r="F198" s="27" t="n">
        <v>0.0161</v>
      </c>
      <c r="G198" s="27" t="n">
        <v>0.0334</v>
      </c>
      <c r="H198" s="27" t="n">
        <v>0.213</v>
      </c>
      <c r="I198" s="27" t="n">
        <v>0.4404</v>
      </c>
    </row>
    <row r="199" customFormat="false" ht="15" hidden="false" customHeight="false" outlineLevel="0" collapsed="false">
      <c r="A199" s="6" t="s">
        <v>267</v>
      </c>
      <c r="B199" s="6" t="s">
        <v>252</v>
      </c>
      <c r="C199" s="6" t="s">
        <v>253</v>
      </c>
      <c r="D199" s="6" t="s">
        <v>141</v>
      </c>
      <c r="E199" s="27" t="n">
        <v>7.17</v>
      </c>
      <c r="F199" s="27" t="n">
        <v>0.0062</v>
      </c>
      <c r="G199" s="27" t="n">
        <v>0.0333</v>
      </c>
      <c r="H199" s="27" t="n">
        <v>0.0448</v>
      </c>
      <c r="I199" s="27" t="n">
        <v>0.2393</v>
      </c>
    </row>
    <row r="200" customFormat="false" ht="15" hidden="false" customHeight="false" outlineLevel="0" collapsed="false">
      <c r="A200" s="6" t="s">
        <v>267</v>
      </c>
      <c r="B200" s="6" t="s">
        <v>252</v>
      </c>
      <c r="C200" s="6" t="s">
        <v>253</v>
      </c>
      <c r="D200" s="6" t="s">
        <v>128</v>
      </c>
      <c r="E200" s="27" t="n">
        <v>0</v>
      </c>
      <c r="F200" s="27" t="n">
        <v>0</v>
      </c>
      <c r="G200" s="27" t="n">
        <v>0</v>
      </c>
      <c r="H200" s="27" t="n">
        <v>0</v>
      </c>
      <c r="I200" s="27" t="n">
        <v>0.0001</v>
      </c>
    </row>
    <row r="201" customFormat="false" ht="15" hidden="false" customHeight="false" outlineLevel="0" collapsed="false">
      <c r="A201" s="6" t="s">
        <v>267</v>
      </c>
      <c r="B201" s="6" t="s">
        <v>252</v>
      </c>
      <c r="C201" s="6" t="s">
        <v>253</v>
      </c>
      <c r="D201" s="6" t="s">
        <v>261</v>
      </c>
      <c r="E201" s="27" t="n">
        <v>0</v>
      </c>
      <c r="F201" s="27" t="n">
        <v>0</v>
      </c>
      <c r="G201" s="27" t="n">
        <v>0</v>
      </c>
      <c r="H201" s="27" t="n">
        <v>0</v>
      </c>
      <c r="I201" s="27" t="n">
        <v>0</v>
      </c>
    </row>
    <row r="202" customFormat="false" ht="15" hidden="false" customHeight="false" outlineLevel="0" collapsed="false">
      <c r="A202" s="6" t="s">
        <v>267</v>
      </c>
      <c r="B202" s="6" t="s">
        <v>252</v>
      </c>
      <c r="C202" s="6" t="s">
        <v>253</v>
      </c>
      <c r="D202" s="6" t="s">
        <v>262</v>
      </c>
      <c r="E202" s="27" t="n">
        <v>0</v>
      </c>
      <c r="F202" s="27" t="n">
        <v>0</v>
      </c>
      <c r="G202" s="27" t="n">
        <v>0</v>
      </c>
      <c r="H202" s="27" t="n">
        <v>0</v>
      </c>
      <c r="I202" s="27" t="n">
        <v>0</v>
      </c>
    </row>
    <row r="203" customFormat="false" ht="15" hidden="false" customHeight="false" outlineLevel="0" collapsed="false">
      <c r="A203" s="6" t="s">
        <v>267</v>
      </c>
      <c r="B203" s="6" t="s">
        <v>252</v>
      </c>
      <c r="C203" s="6" t="s">
        <v>263</v>
      </c>
      <c r="D203" s="6" t="s">
        <v>254</v>
      </c>
      <c r="E203" s="27" t="n">
        <v>0</v>
      </c>
      <c r="F203" s="27" t="n">
        <v>0</v>
      </c>
      <c r="G203" s="27" t="n">
        <v>0</v>
      </c>
      <c r="H203" s="27" t="n">
        <v>0</v>
      </c>
      <c r="I203" s="27" t="n">
        <v>0</v>
      </c>
    </row>
    <row r="204" customFormat="false" ht="15" hidden="false" customHeight="false" outlineLevel="0" collapsed="false">
      <c r="A204" s="6" t="s">
        <v>267</v>
      </c>
      <c r="B204" s="6" t="s">
        <v>252</v>
      </c>
      <c r="C204" s="6" t="s">
        <v>263</v>
      </c>
      <c r="D204" s="6" t="s">
        <v>255</v>
      </c>
      <c r="E204" s="27" t="n">
        <v>0</v>
      </c>
      <c r="F204" s="27" t="n">
        <v>0</v>
      </c>
      <c r="G204" s="27" t="n">
        <v>0</v>
      </c>
      <c r="H204" s="27" t="n">
        <v>0</v>
      </c>
      <c r="I204" s="27" t="n">
        <v>0</v>
      </c>
    </row>
    <row r="205" customFormat="false" ht="15" hidden="false" customHeight="false" outlineLevel="0" collapsed="false">
      <c r="A205" s="6" t="s">
        <v>267</v>
      </c>
      <c r="B205" s="6" t="s">
        <v>252</v>
      </c>
      <c r="C205" s="6" t="s">
        <v>263</v>
      </c>
      <c r="D205" s="6" t="s">
        <v>256</v>
      </c>
      <c r="E205" s="27" t="n">
        <v>0</v>
      </c>
      <c r="F205" s="27" t="n">
        <v>0</v>
      </c>
      <c r="G205" s="27" t="n">
        <v>0</v>
      </c>
      <c r="H205" s="27" t="n">
        <v>0</v>
      </c>
      <c r="I205" s="27" t="n">
        <v>0</v>
      </c>
    </row>
    <row r="206" customFormat="false" ht="15" hidden="false" customHeight="false" outlineLevel="0" collapsed="false">
      <c r="A206" s="6" t="s">
        <v>267</v>
      </c>
      <c r="B206" s="6" t="s">
        <v>252</v>
      </c>
      <c r="C206" s="6" t="s">
        <v>263</v>
      </c>
      <c r="D206" s="6" t="s">
        <v>124</v>
      </c>
      <c r="E206" s="27" t="n">
        <v>13.675</v>
      </c>
      <c r="F206" s="27" t="n">
        <v>0.0798</v>
      </c>
      <c r="G206" s="27" t="n">
        <v>0.0988</v>
      </c>
      <c r="H206" s="27" t="n">
        <v>1.0779</v>
      </c>
      <c r="I206" s="27" t="n">
        <v>1.3295</v>
      </c>
    </row>
    <row r="207" customFormat="false" ht="15" hidden="false" customHeight="false" outlineLevel="0" collapsed="false">
      <c r="A207" s="6" t="s">
        <v>267</v>
      </c>
      <c r="B207" s="6" t="s">
        <v>252</v>
      </c>
      <c r="C207" s="6" t="s">
        <v>263</v>
      </c>
      <c r="D207" s="6" t="s">
        <v>257</v>
      </c>
      <c r="E207" s="27" t="n">
        <v>18.665</v>
      </c>
      <c r="F207" s="27" t="n">
        <v>0.2161</v>
      </c>
      <c r="G207" s="27" t="n">
        <v>0.0989</v>
      </c>
      <c r="H207" s="27" t="n">
        <v>3.8686</v>
      </c>
      <c r="I207" s="27" t="n">
        <v>1.788</v>
      </c>
    </row>
    <row r="208" customFormat="false" ht="15" hidden="false" customHeight="false" outlineLevel="0" collapsed="false">
      <c r="A208" s="6" t="s">
        <v>267</v>
      </c>
      <c r="B208" s="6" t="s">
        <v>252</v>
      </c>
      <c r="C208" s="6" t="s">
        <v>263</v>
      </c>
      <c r="D208" s="6" t="s">
        <v>258</v>
      </c>
      <c r="E208" s="27" t="n">
        <v>18.75</v>
      </c>
      <c r="F208" s="27" t="n">
        <v>0.4612</v>
      </c>
      <c r="G208" s="27" t="n">
        <v>0.0998</v>
      </c>
      <c r="H208" s="27" t="n">
        <v>8.4942</v>
      </c>
      <c r="I208" s="27" t="n">
        <v>1.8649</v>
      </c>
    </row>
    <row r="209" customFormat="false" ht="15" hidden="false" customHeight="false" outlineLevel="0" collapsed="false">
      <c r="A209" s="6" t="s">
        <v>267</v>
      </c>
      <c r="B209" s="6" t="s">
        <v>252</v>
      </c>
      <c r="C209" s="6" t="s">
        <v>263</v>
      </c>
      <c r="D209" s="6" t="s">
        <v>133</v>
      </c>
      <c r="E209" s="27" t="n">
        <v>21.39</v>
      </c>
      <c r="F209" s="27" t="n">
        <v>0.8933</v>
      </c>
      <c r="G209" s="27" t="n">
        <v>0.0995</v>
      </c>
      <c r="H209" s="27" t="n">
        <v>17.7635</v>
      </c>
      <c r="I209" s="27" t="n">
        <v>1.9653</v>
      </c>
    </row>
    <row r="210" customFormat="false" ht="15" hidden="false" customHeight="false" outlineLevel="0" collapsed="false">
      <c r="A210" s="6" t="s">
        <v>267</v>
      </c>
      <c r="B210" s="6" t="s">
        <v>252</v>
      </c>
      <c r="C210" s="6" t="s">
        <v>263</v>
      </c>
      <c r="D210" s="6" t="s">
        <v>137</v>
      </c>
      <c r="E210" s="27" t="n">
        <v>18.58</v>
      </c>
      <c r="F210" s="27" t="n">
        <v>0.9321</v>
      </c>
      <c r="G210" s="27" t="n">
        <v>0.0983</v>
      </c>
      <c r="H210" s="27" t="n">
        <v>17.3205</v>
      </c>
      <c r="I210" s="27" t="n">
        <v>1.9457</v>
      </c>
    </row>
    <row r="211" customFormat="false" ht="15" hidden="false" customHeight="false" outlineLevel="0" collapsed="false">
      <c r="A211" s="6" t="s">
        <v>267</v>
      </c>
      <c r="B211" s="6" t="s">
        <v>252</v>
      </c>
      <c r="C211" s="6" t="s">
        <v>263</v>
      </c>
      <c r="D211" s="6" t="s">
        <v>140</v>
      </c>
      <c r="E211" s="27" t="n">
        <v>15.69</v>
      </c>
      <c r="F211" s="27" t="n">
        <v>0.8283</v>
      </c>
      <c r="G211" s="27" t="n">
        <v>0.1</v>
      </c>
      <c r="H211" s="27" t="n">
        <v>14.2327</v>
      </c>
      <c r="I211" s="27" t="n">
        <v>1.6116</v>
      </c>
    </row>
    <row r="212" customFormat="false" ht="15" hidden="false" customHeight="false" outlineLevel="0" collapsed="false">
      <c r="A212" s="6" t="s">
        <v>267</v>
      </c>
      <c r="B212" s="6" t="s">
        <v>252</v>
      </c>
      <c r="C212" s="6" t="s">
        <v>263</v>
      </c>
      <c r="D212" s="6" t="s">
        <v>125</v>
      </c>
      <c r="E212" s="27" t="n">
        <v>20.905</v>
      </c>
      <c r="F212" s="27" t="n">
        <v>0.6855</v>
      </c>
      <c r="G212" s="27" t="n">
        <v>0.1005</v>
      </c>
      <c r="H212" s="27" t="n">
        <v>12.3103</v>
      </c>
      <c r="I212" s="27" t="n">
        <v>1.8774</v>
      </c>
    </row>
    <row r="213" customFormat="false" ht="15" hidden="false" customHeight="false" outlineLevel="0" collapsed="false">
      <c r="A213" s="6" t="s">
        <v>267</v>
      </c>
      <c r="B213" s="6" t="s">
        <v>252</v>
      </c>
      <c r="C213" s="6" t="s">
        <v>263</v>
      </c>
      <c r="D213" s="6" t="s">
        <v>259</v>
      </c>
      <c r="E213" s="27" t="n">
        <v>21.4</v>
      </c>
      <c r="F213" s="27" t="n">
        <v>1.9101</v>
      </c>
      <c r="G213" s="27" t="n">
        <v>0.1003</v>
      </c>
      <c r="H213" s="27" t="n">
        <v>37.9195</v>
      </c>
      <c r="I213" s="27" t="n">
        <v>2</v>
      </c>
    </row>
    <row r="214" customFormat="false" ht="15" hidden="false" customHeight="false" outlineLevel="0" collapsed="false">
      <c r="A214" s="6" t="s">
        <v>267</v>
      </c>
      <c r="B214" s="6" t="s">
        <v>252</v>
      </c>
      <c r="C214" s="6" t="s">
        <v>263</v>
      </c>
      <c r="D214" s="6" t="s">
        <v>260</v>
      </c>
      <c r="E214" s="27" t="n">
        <v>19.88</v>
      </c>
      <c r="F214" s="27" t="n">
        <v>2.3242</v>
      </c>
      <c r="G214" s="27" t="n">
        <v>0.1013</v>
      </c>
      <c r="H214" s="27" t="n">
        <v>45.8144</v>
      </c>
      <c r="I214" s="27" t="n">
        <v>2</v>
      </c>
    </row>
    <row r="215" customFormat="false" ht="15" hidden="false" customHeight="false" outlineLevel="0" collapsed="false">
      <c r="A215" s="6" t="s">
        <v>267</v>
      </c>
      <c r="B215" s="6" t="s">
        <v>252</v>
      </c>
      <c r="C215" s="6" t="s">
        <v>263</v>
      </c>
      <c r="D215" s="6" t="s">
        <v>134</v>
      </c>
      <c r="E215" s="27" t="n">
        <v>17.455</v>
      </c>
      <c r="F215" s="27" t="n">
        <v>2.1082</v>
      </c>
      <c r="G215" s="27" t="n">
        <v>0.1012</v>
      </c>
      <c r="H215" s="27" t="n">
        <v>35.8651</v>
      </c>
      <c r="I215" s="27" t="n">
        <v>1.8697</v>
      </c>
    </row>
    <row r="216" customFormat="false" ht="15" hidden="false" customHeight="false" outlineLevel="0" collapsed="false">
      <c r="A216" s="6" t="s">
        <v>267</v>
      </c>
      <c r="B216" s="6" t="s">
        <v>252</v>
      </c>
      <c r="C216" s="6" t="s">
        <v>263</v>
      </c>
      <c r="D216" s="6" t="s">
        <v>138</v>
      </c>
      <c r="E216" s="27" t="n">
        <v>13.3</v>
      </c>
      <c r="F216" s="27" t="n">
        <v>1.6574</v>
      </c>
      <c r="G216" s="27" t="n">
        <v>0.1005</v>
      </c>
      <c r="H216" s="27" t="n">
        <v>27.4047</v>
      </c>
      <c r="I216" s="27" t="n">
        <v>1.5894</v>
      </c>
    </row>
    <row r="217" customFormat="false" ht="15" hidden="false" customHeight="false" outlineLevel="0" collapsed="false">
      <c r="A217" s="6" t="s">
        <v>267</v>
      </c>
      <c r="B217" s="6" t="s">
        <v>252</v>
      </c>
      <c r="C217" s="6" t="s">
        <v>263</v>
      </c>
      <c r="D217" s="6" t="s">
        <v>141</v>
      </c>
      <c r="E217" s="27" t="n">
        <v>7.435</v>
      </c>
      <c r="F217" s="27" t="n">
        <v>0.193</v>
      </c>
      <c r="G217" s="27" t="n">
        <v>0.1012</v>
      </c>
      <c r="H217" s="27" t="n">
        <v>2.8111</v>
      </c>
      <c r="I217" s="27" t="n">
        <v>0.8632</v>
      </c>
    </row>
    <row r="218" customFormat="false" ht="15" hidden="false" customHeight="false" outlineLevel="0" collapsed="false">
      <c r="A218" s="6" t="s">
        <v>267</v>
      </c>
      <c r="B218" s="6" t="s">
        <v>252</v>
      </c>
      <c r="C218" s="6" t="s">
        <v>263</v>
      </c>
      <c r="D218" s="6" t="s">
        <v>128</v>
      </c>
      <c r="E218" s="27" t="n">
        <v>0.2</v>
      </c>
      <c r="F218" s="27" t="n">
        <v>0.005</v>
      </c>
      <c r="G218" s="27" t="n">
        <v>0.0802</v>
      </c>
      <c r="H218" s="27" t="n">
        <v>0.001</v>
      </c>
      <c r="I218" s="27" t="n">
        <v>0.0201</v>
      </c>
    </row>
    <row r="219" customFormat="false" ht="15" hidden="false" customHeight="false" outlineLevel="0" collapsed="false">
      <c r="A219" s="6" t="s">
        <v>267</v>
      </c>
      <c r="B219" s="6" t="s">
        <v>252</v>
      </c>
      <c r="C219" s="6" t="s">
        <v>263</v>
      </c>
      <c r="D219" s="6" t="s">
        <v>261</v>
      </c>
      <c r="E219" s="27" t="n">
        <v>0</v>
      </c>
      <c r="F219" s="27" t="n">
        <v>0</v>
      </c>
      <c r="G219" s="27" t="n">
        <v>0</v>
      </c>
      <c r="H219" s="27" t="n">
        <v>0</v>
      </c>
      <c r="I219" s="27" t="n">
        <v>0</v>
      </c>
    </row>
    <row r="220" customFormat="false" ht="15" hidden="false" customHeight="false" outlineLevel="0" collapsed="false">
      <c r="A220" s="6" t="s">
        <v>267</v>
      </c>
      <c r="B220" s="6" t="s">
        <v>252</v>
      </c>
      <c r="C220" s="6" t="s">
        <v>263</v>
      </c>
      <c r="D220" s="6" t="s">
        <v>262</v>
      </c>
      <c r="E220" s="27" t="n">
        <v>0</v>
      </c>
      <c r="F220" s="27" t="n">
        <v>0</v>
      </c>
      <c r="G220" s="27" t="n">
        <v>0</v>
      </c>
      <c r="H220" s="27" t="n">
        <v>0</v>
      </c>
      <c r="I220" s="27" t="n">
        <v>0</v>
      </c>
    </row>
    <row r="221" customFormat="false" ht="15" hidden="false" customHeight="false" outlineLevel="0" collapsed="false">
      <c r="A221" s="6" t="s">
        <v>267</v>
      </c>
      <c r="B221" s="6" t="s">
        <v>252</v>
      </c>
      <c r="C221" s="6" t="s">
        <v>264</v>
      </c>
      <c r="D221" s="6" t="s">
        <v>254</v>
      </c>
      <c r="E221" s="27" t="n">
        <v>0</v>
      </c>
      <c r="F221" s="27" t="n">
        <v>0</v>
      </c>
      <c r="G221" s="27" t="n">
        <v>0</v>
      </c>
      <c r="H221" s="27" t="n">
        <v>0</v>
      </c>
      <c r="I221" s="27" t="n">
        <v>0</v>
      </c>
    </row>
    <row r="222" customFormat="false" ht="15" hidden="false" customHeight="false" outlineLevel="0" collapsed="false">
      <c r="A222" s="6" t="s">
        <v>267</v>
      </c>
      <c r="B222" s="6" t="s">
        <v>252</v>
      </c>
      <c r="C222" s="6" t="s">
        <v>264</v>
      </c>
      <c r="D222" s="6" t="s">
        <v>255</v>
      </c>
      <c r="E222" s="27" t="n">
        <v>0</v>
      </c>
      <c r="F222" s="27" t="n">
        <v>0</v>
      </c>
      <c r="G222" s="27" t="n">
        <v>0</v>
      </c>
      <c r="H222" s="27" t="n">
        <v>0</v>
      </c>
      <c r="I222" s="27" t="n">
        <v>0</v>
      </c>
    </row>
    <row r="223" customFormat="false" ht="15" hidden="false" customHeight="false" outlineLevel="0" collapsed="false">
      <c r="A223" s="6" t="s">
        <v>267</v>
      </c>
      <c r="B223" s="6" t="s">
        <v>252</v>
      </c>
      <c r="C223" s="6" t="s">
        <v>264</v>
      </c>
      <c r="D223" s="6" t="s">
        <v>256</v>
      </c>
      <c r="E223" s="27" t="n">
        <v>0</v>
      </c>
      <c r="F223" s="27" t="n">
        <v>0</v>
      </c>
      <c r="G223" s="27" t="n">
        <v>0</v>
      </c>
      <c r="H223" s="27" t="n">
        <v>0</v>
      </c>
      <c r="I223" s="27" t="n">
        <v>0</v>
      </c>
    </row>
    <row r="224" customFormat="false" ht="15" hidden="false" customHeight="false" outlineLevel="0" collapsed="false">
      <c r="A224" s="6" t="s">
        <v>267</v>
      </c>
      <c r="B224" s="6" t="s">
        <v>252</v>
      </c>
      <c r="C224" s="6" t="s">
        <v>264</v>
      </c>
      <c r="D224" s="6" t="s">
        <v>124</v>
      </c>
      <c r="E224" s="27" t="n">
        <v>11.705</v>
      </c>
      <c r="F224" s="27" t="n">
        <v>0</v>
      </c>
      <c r="G224" s="27" t="n">
        <v>13.4814</v>
      </c>
      <c r="H224" s="27" t="n">
        <v>0</v>
      </c>
      <c r="I224" s="27" t="n">
        <v>45.3753</v>
      </c>
    </row>
    <row r="225" customFormat="false" ht="15" hidden="false" customHeight="false" outlineLevel="0" collapsed="false">
      <c r="A225" s="6" t="s">
        <v>267</v>
      </c>
      <c r="B225" s="6" t="s">
        <v>252</v>
      </c>
      <c r="C225" s="6" t="s">
        <v>264</v>
      </c>
      <c r="D225" s="6" t="s">
        <v>257</v>
      </c>
      <c r="E225" s="27" t="n">
        <v>17.93</v>
      </c>
      <c r="F225" s="27" t="n">
        <v>0</v>
      </c>
      <c r="G225" s="27" t="n">
        <v>13.5153</v>
      </c>
      <c r="H225" s="27" t="n">
        <v>0</v>
      </c>
      <c r="I225" s="27" t="n">
        <v>189.0406</v>
      </c>
    </row>
    <row r="226" customFormat="false" ht="15" hidden="false" customHeight="false" outlineLevel="0" collapsed="false">
      <c r="A226" s="6" t="s">
        <v>267</v>
      </c>
      <c r="B226" s="6" t="s">
        <v>252</v>
      </c>
      <c r="C226" s="6" t="s">
        <v>264</v>
      </c>
      <c r="D226" s="6" t="s">
        <v>258</v>
      </c>
      <c r="E226" s="27" t="n">
        <v>18.87</v>
      </c>
      <c r="F226" s="27" t="n">
        <v>0</v>
      </c>
      <c r="G226" s="27" t="n">
        <v>13.4992</v>
      </c>
      <c r="H226" s="27" t="n">
        <v>0</v>
      </c>
      <c r="I226" s="27" t="n">
        <v>246.9364</v>
      </c>
    </row>
    <row r="227" customFormat="false" ht="15" hidden="false" customHeight="false" outlineLevel="0" collapsed="false">
      <c r="A227" s="6" t="s">
        <v>267</v>
      </c>
      <c r="B227" s="6" t="s">
        <v>252</v>
      </c>
      <c r="C227" s="6" t="s">
        <v>264</v>
      </c>
      <c r="D227" s="6" t="s">
        <v>133</v>
      </c>
      <c r="E227" s="27" t="n">
        <v>19.355</v>
      </c>
      <c r="F227" s="27" t="n">
        <v>0</v>
      </c>
      <c r="G227" s="27" t="n">
        <v>13.4816</v>
      </c>
      <c r="H227" s="27" t="n">
        <v>0</v>
      </c>
      <c r="I227" s="27" t="n">
        <v>255.9533</v>
      </c>
    </row>
    <row r="228" customFormat="false" ht="15" hidden="false" customHeight="false" outlineLevel="0" collapsed="false">
      <c r="A228" s="6" t="s">
        <v>267</v>
      </c>
      <c r="B228" s="6" t="s">
        <v>252</v>
      </c>
      <c r="C228" s="6" t="s">
        <v>264</v>
      </c>
      <c r="D228" s="6" t="s">
        <v>137</v>
      </c>
      <c r="E228" s="27" t="n">
        <v>19.785</v>
      </c>
      <c r="F228" s="27" t="n">
        <v>0</v>
      </c>
      <c r="G228" s="27" t="n">
        <v>13.5215</v>
      </c>
      <c r="H228" s="27" t="n">
        <v>0</v>
      </c>
      <c r="I228" s="27" t="n">
        <v>266.3306</v>
      </c>
    </row>
    <row r="229" customFormat="false" ht="15" hidden="false" customHeight="false" outlineLevel="0" collapsed="false">
      <c r="A229" s="6" t="s">
        <v>267</v>
      </c>
      <c r="B229" s="6" t="s">
        <v>252</v>
      </c>
      <c r="C229" s="6" t="s">
        <v>264</v>
      </c>
      <c r="D229" s="6" t="s">
        <v>140</v>
      </c>
      <c r="E229" s="27" t="n">
        <v>16.445</v>
      </c>
      <c r="F229" s="27" t="n">
        <v>0</v>
      </c>
      <c r="G229" s="27" t="n">
        <v>13.4966</v>
      </c>
      <c r="H229" s="27" t="n">
        <v>0</v>
      </c>
      <c r="I229" s="27" t="n">
        <v>249.1425</v>
      </c>
    </row>
    <row r="230" customFormat="false" ht="15" hidden="false" customHeight="false" outlineLevel="0" collapsed="false">
      <c r="A230" s="6" t="s">
        <v>267</v>
      </c>
      <c r="B230" s="6" t="s">
        <v>252</v>
      </c>
      <c r="C230" s="6" t="s">
        <v>264</v>
      </c>
      <c r="D230" s="6" t="s">
        <v>125</v>
      </c>
      <c r="E230" s="27" t="n">
        <v>18.305</v>
      </c>
      <c r="F230" s="27" t="n">
        <v>0</v>
      </c>
      <c r="G230" s="27" t="n">
        <v>13.5268</v>
      </c>
      <c r="H230" s="27" t="n">
        <v>0</v>
      </c>
      <c r="I230" s="27" t="n">
        <v>230.0487</v>
      </c>
    </row>
    <row r="231" customFormat="false" ht="15" hidden="false" customHeight="false" outlineLevel="0" collapsed="false">
      <c r="A231" s="6" t="s">
        <v>267</v>
      </c>
      <c r="B231" s="6" t="s">
        <v>252</v>
      </c>
      <c r="C231" s="6" t="s">
        <v>264</v>
      </c>
      <c r="D231" s="6" t="s">
        <v>259</v>
      </c>
      <c r="E231" s="27" t="n">
        <v>19.9</v>
      </c>
      <c r="F231" s="27" t="n">
        <v>0</v>
      </c>
      <c r="G231" s="27" t="n">
        <v>13.4817</v>
      </c>
      <c r="H231" s="27" t="n">
        <v>0</v>
      </c>
      <c r="I231" s="27" t="n">
        <v>257.2467</v>
      </c>
    </row>
    <row r="232" customFormat="false" ht="15" hidden="false" customHeight="false" outlineLevel="0" collapsed="false">
      <c r="A232" s="6" t="s">
        <v>267</v>
      </c>
      <c r="B232" s="6" t="s">
        <v>252</v>
      </c>
      <c r="C232" s="6" t="s">
        <v>264</v>
      </c>
      <c r="D232" s="6" t="s">
        <v>260</v>
      </c>
      <c r="E232" s="27" t="n">
        <v>19.87</v>
      </c>
      <c r="F232" s="27" t="n">
        <v>0</v>
      </c>
      <c r="G232" s="27" t="n">
        <v>13.4854</v>
      </c>
      <c r="H232" s="27" t="n">
        <v>0</v>
      </c>
      <c r="I232" s="27" t="n">
        <v>268.829</v>
      </c>
    </row>
    <row r="233" customFormat="false" ht="15" hidden="false" customHeight="false" outlineLevel="0" collapsed="false">
      <c r="A233" s="6" t="s">
        <v>267</v>
      </c>
      <c r="B233" s="6" t="s">
        <v>252</v>
      </c>
      <c r="C233" s="6" t="s">
        <v>264</v>
      </c>
      <c r="D233" s="6" t="s">
        <v>134</v>
      </c>
      <c r="E233" s="27" t="n">
        <v>18.97</v>
      </c>
      <c r="F233" s="27" t="n">
        <v>0</v>
      </c>
      <c r="G233" s="27" t="n">
        <v>13.4844</v>
      </c>
      <c r="H233" s="27" t="n">
        <v>0</v>
      </c>
      <c r="I233" s="27" t="n">
        <v>265.3977</v>
      </c>
    </row>
    <row r="234" customFormat="false" ht="15" hidden="false" customHeight="false" outlineLevel="0" collapsed="false">
      <c r="A234" s="6" t="s">
        <v>267</v>
      </c>
      <c r="B234" s="6" t="s">
        <v>252</v>
      </c>
      <c r="C234" s="6" t="s">
        <v>264</v>
      </c>
      <c r="D234" s="6" t="s">
        <v>138</v>
      </c>
      <c r="E234" s="27" t="n">
        <v>15.935</v>
      </c>
      <c r="F234" s="27" t="n">
        <v>0</v>
      </c>
      <c r="G234" s="27" t="n">
        <v>13.5003</v>
      </c>
      <c r="H234" s="27" t="n">
        <v>0</v>
      </c>
      <c r="I234" s="27" t="n">
        <v>237.565</v>
      </c>
    </row>
    <row r="235" customFormat="false" ht="15" hidden="false" customHeight="false" outlineLevel="0" collapsed="false">
      <c r="A235" s="6" t="s">
        <v>267</v>
      </c>
      <c r="B235" s="6" t="s">
        <v>252</v>
      </c>
      <c r="C235" s="6" t="s">
        <v>264</v>
      </c>
      <c r="D235" s="6" t="s">
        <v>141</v>
      </c>
      <c r="E235" s="27" t="n">
        <v>9.495</v>
      </c>
      <c r="F235" s="27" t="n">
        <v>0</v>
      </c>
      <c r="G235" s="27" t="n">
        <v>13.5197</v>
      </c>
      <c r="H235" s="27" t="n">
        <v>0</v>
      </c>
      <c r="I235" s="27" t="n">
        <v>193.2063</v>
      </c>
    </row>
    <row r="236" customFormat="false" ht="15" hidden="false" customHeight="false" outlineLevel="0" collapsed="false">
      <c r="A236" s="6" t="s">
        <v>267</v>
      </c>
      <c r="B236" s="6" t="s">
        <v>252</v>
      </c>
      <c r="C236" s="6" t="s">
        <v>264</v>
      </c>
      <c r="D236" s="6" t="s">
        <v>128</v>
      </c>
      <c r="E236" s="27" t="n">
        <v>0.76</v>
      </c>
      <c r="F236" s="27" t="n">
        <v>0</v>
      </c>
      <c r="G236" s="27" t="n">
        <v>13.4884</v>
      </c>
      <c r="H236" s="27" t="n">
        <v>0</v>
      </c>
      <c r="I236" s="27" t="n">
        <v>86.2959</v>
      </c>
    </row>
    <row r="237" customFormat="false" ht="15" hidden="false" customHeight="false" outlineLevel="0" collapsed="false">
      <c r="A237" s="6" t="s">
        <v>267</v>
      </c>
      <c r="B237" s="6" t="s">
        <v>252</v>
      </c>
      <c r="C237" s="6" t="s">
        <v>264</v>
      </c>
      <c r="D237" s="6" t="s">
        <v>261</v>
      </c>
      <c r="E237" s="27" t="n">
        <v>0</v>
      </c>
      <c r="F237" s="27" t="n">
        <v>0</v>
      </c>
      <c r="G237" s="27" t="n">
        <v>0</v>
      </c>
      <c r="H237" s="27" t="n">
        <v>0</v>
      </c>
      <c r="I237" s="27" t="n">
        <v>7.2959</v>
      </c>
    </row>
    <row r="238" customFormat="false" ht="15" hidden="false" customHeight="false" outlineLevel="0" collapsed="false">
      <c r="A238" s="6" t="s">
        <v>267</v>
      </c>
      <c r="B238" s="6" t="s">
        <v>252</v>
      </c>
      <c r="C238" s="6" t="s">
        <v>264</v>
      </c>
      <c r="D238" s="6" t="s">
        <v>262</v>
      </c>
      <c r="E238" s="27" t="n">
        <v>0</v>
      </c>
      <c r="F238" s="27" t="n">
        <v>0</v>
      </c>
      <c r="G238" s="27" t="n">
        <v>0</v>
      </c>
      <c r="H238" s="27" t="n">
        <v>0</v>
      </c>
      <c r="I238" s="27" t="n">
        <v>0</v>
      </c>
    </row>
    <row r="239" customFormat="false" ht="15" hidden="false" customHeight="false" outlineLevel="0" collapsed="false">
      <c r="A239" s="6" t="s">
        <v>267</v>
      </c>
      <c r="B239" s="6" t="s">
        <v>252</v>
      </c>
      <c r="C239" s="6" t="s">
        <v>265</v>
      </c>
      <c r="D239" s="6" t="s">
        <v>254</v>
      </c>
      <c r="E239" s="27" t="n">
        <v>0</v>
      </c>
      <c r="F239" s="27" t="n">
        <v>0</v>
      </c>
      <c r="G239" s="27" t="n">
        <v>0</v>
      </c>
      <c r="H239" s="27" t="n">
        <v>0</v>
      </c>
      <c r="I239" s="27" t="n">
        <v>0</v>
      </c>
    </row>
    <row r="240" customFormat="false" ht="15" hidden="false" customHeight="false" outlineLevel="0" collapsed="false">
      <c r="A240" s="6" t="s">
        <v>267</v>
      </c>
      <c r="B240" s="6" t="s">
        <v>252</v>
      </c>
      <c r="C240" s="6" t="s">
        <v>265</v>
      </c>
      <c r="D240" s="6" t="s">
        <v>255</v>
      </c>
      <c r="E240" s="27" t="n">
        <v>0</v>
      </c>
      <c r="F240" s="27" t="n">
        <v>0</v>
      </c>
      <c r="G240" s="27" t="n">
        <v>0</v>
      </c>
      <c r="H240" s="27" t="n">
        <v>0</v>
      </c>
      <c r="I240" s="27" t="n">
        <v>0</v>
      </c>
    </row>
    <row r="241" customFormat="false" ht="15" hidden="false" customHeight="false" outlineLevel="0" collapsed="false">
      <c r="A241" s="6" t="s">
        <v>267</v>
      </c>
      <c r="B241" s="6" t="s">
        <v>252</v>
      </c>
      <c r="C241" s="6" t="s">
        <v>265</v>
      </c>
      <c r="D241" s="6" t="s">
        <v>256</v>
      </c>
      <c r="E241" s="27" t="n">
        <v>0</v>
      </c>
      <c r="F241" s="27" t="n">
        <v>0</v>
      </c>
      <c r="G241" s="27" t="n">
        <v>0</v>
      </c>
      <c r="H241" s="27" t="n">
        <v>0</v>
      </c>
      <c r="I241" s="27" t="n">
        <v>0</v>
      </c>
    </row>
    <row r="242" customFormat="false" ht="15" hidden="false" customHeight="false" outlineLevel="0" collapsed="false">
      <c r="A242" s="6" t="s">
        <v>267</v>
      </c>
      <c r="B242" s="6" t="s">
        <v>252</v>
      </c>
      <c r="C242" s="6" t="s">
        <v>265</v>
      </c>
      <c r="D242" s="6" t="s">
        <v>124</v>
      </c>
      <c r="E242" s="27" t="n">
        <v>0</v>
      </c>
      <c r="F242" s="27" t="n">
        <v>0</v>
      </c>
      <c r="G242" s="27" t="n">
        <v>0</v>
      </c>
      <c r="H242" s="27" t="n">
        <v>0</v>
      </c>
      <c r="I242" s="27" t="n">
        <v>0</v>
      </c>
    </row>
    <row r="243" customFormat="false" ht="15" hidden="false" customHeight="false" outlineLevel="0" collapsed="false">
      <c r="A243" s="6" t="s">
        <v>267</v>
      </c>
      <c r="B243" s="6" t="s">
        <v>252</v>
      </c>
      <c r="C243" s="6" t="s">
        <v>265</v>
      </c>
      <c r="D243" s="6" t="s">
        <v>257</v>
      </c>
      <c r="E243" s="27" t="n">
        <v>6.245</v>
      </c>
      <c r="F243" s="27" t="n">
        <v>0</v>
      </c>
      <c r="G243" s="27" t="n">
        <v>1.5139</v>
      </c>
      <c r="H243" s="27" t="n">
        <v>0</v>
      </c>
      <c r="I243" s="27" t="n">
        <v>7.735</v>
      </c>
    </row>
    <row r="244" customFormat="false" ht="15" hidden="false" customHeight="false" outlineLevel="0" collapsed="false">
      <c r="A244" s="6" t="s">
        <v>267</v>
      </c>
      <c r="B244" s="6" t="s">
        <v>252</v>
      </c>
      <c r="C244" s="6" t="s">
        <v>265</v>
      </c>
      <c r="D244" s="6" t="s">
        <v>258</v>
      </c>
      <c r="E244" s="27" t="n">
        <v>16.73</v>
      </c>
      <c r="F244" s="27" t="n">
        <v>0</v>
      </c>
      <c r="G244" s="27" t="n">
        <v>1.5033</v>
      </c>
      <c r="H244" s="27" t="n">
        <v>0</v>
      </c>
      <c r="I244" s="27" t="n">
        <v>24.6229</v>
      </c>
    </row>
    <row r="245" customFormat="false" ht="15" hidden="false" customHeight="false" outlineLevel="0" collapsed="false">
      <c r="A245" s="6" t="s">
        <v>267</v>
      </c>
      <c r="B245" s="6" t="s">
        <v>252</v>
      </c>
      <c r="C245" s="6" t="s">
        <v>265</v>
      </c>
      <c r="D245" s="6" t="s">
        <v>133</v>
      </c>
      <c r="E245" s="27" t="n">
        <v>18.8</v>
      </c>
      <c r="F245" s="27" t="n">
        <v>0</v>
      </c>
      <c r="G245" s="27" t="n">
        <v>1.4983</v>
      </c>
      <c r="H245" s="27" t="n">
        <v>0</v>
      </c>
      <c r="I245" s="27" t="n">
        <v>28.2333</v>
      </c>
    </row>
    <row r="246" customFormat="false" ht="15" hidden="false" customHeight="false" outlineLevel="0" collapsed="false">
      <c r="A246" s="6" t="s">
        <v>267</v>
      </c>
      <c r="B246" s="6" t="s">
        <v>252</v>
      </c>
      <c r="C246" s="6" t="s">
        <v>265</v>
      </c>
      <c r="D246" s="6" t="s">
        <v>137</v>
      </c>
      <c r="E246" s="27" t="n">
        <v>19.075</v>
      </c>
      <c r="F246" s="27" t="n">
        <v>0</v>
      </c>
      <c r="G246" s="27" t="n">
        <v>1.5048</v>
      </c>
      <c r="H246" s="27" t="n">
        <v>0</v>
      </c>
      <c r="I246" s="27" t="n">
        <v>28.6113</v>
      </c>
    </row>
    <row r="247" customFormat="false" ht="15" hidden="false" customHeight="false" outlineLevel="0" collapsed="false">
      <c r="A247" s="6" t="s">
        <v>267</v>
      </c>
      <c r="B247" s="6" t="s">
        <v>252</v>
      </c>
      <c r="C247" s="6" t="s">
        <v>265</v>
      </c>
      <c r="D247" s="6" t="s">
        <v>140</v>
      </c>
      <c r="E247" s="27" t="n">
        <v>20.11</v>
      </c>
      <c r="F247" s="27" t="n">
        <v>0</v>
      </c>
      <c r="G247" s="27" t="n">
        <v>1.5008</v>
      </c>
      <c r="H247" s="27" t="n">
        <v>0</v>
      </c>
      <c r="I247" s="27" t="n">
        <v>30.1731</v>
      </c>
    </row>
    <row r="248" customFormat="false" ht="15" hidden="false" customHeight="false" outlineLevel="0" collapsed="false">
      <c r="A248" s="6" t="s">
        <v>267</v>
      </c>
      <c r="B248" s="6" t="s">
        <v>252</v>
      </c>
      <c r="C248" s="6" t="s">
        <v>265</v>
      </c>
      <c r="D248" s="6" t="s">
        <v>125</v>
      </c>
      <c r="E248" s="27" t="n">
        <v>17.055</v>
      </c>
      <c r="F248" s="27" t="n">
        <v>0</v>
      </c>
      <c r="G248" s="27" t="n">
        <v>1.5064</v>
      </c>
      <c r="H248" s="27" t="n">
        <v>0</v>
      </c>
      <c r="I248" s="27" t="n">
        <v>26.135</v>
      </c>
    </row>
    <row r="249" customFormat="false" ht="15" hidden="false" customHeight="false" outlineLevel="0" collapsed="false">
      <c r="A249" s="6" t="s">
        <v>267</v>
      </c>
      <c r="B249" s="6" t="s">
        <v>252</v>
      </c>
      <c r="C249" s="6" t="s">
        <v>265</v>
      </c>
      <c r="D249" s="6" t="s">
        <v>259</v>
      </c>
      <c r="E249" s="27" t="n">
        <v>17.47</v>
      </c>
      <c r="F249" s="27" t="n">
        <v>0</v>
      </c>
      <c r="G249" s="27" t="n">
        <v>1.5008</v>
      </c>
      <c r="H249" s="27" t="n">
        <v>0</v>
      </c>
      <c r="I249" s="27" t="n">
        <v>25.9481</v>
      </c>
    </row>
    <row r="250" customFormat="false" ht="15" hidden="false" customHeight="false" outlineLevel="0" collapsed="false">
      <c r="A250" s="6" t="s">
        <v>267</v>
      </c>
      <c r="B250" s="6" t="s">
        <v>252</v>
      </c>
      <c r="C250" s="6" t="s">
        <v>265</v>
      </c>
      <c r="D250" s="6" t="s">
        <v>260</v>
      </c>
      <c r="E250" s="27" t="n">
        <v>19.88</v>
      </c>
      <c r="F250" s="27" t="n">
        <v>0</v>
      </c>
      <c r="G250" s="27" t="n">
        <v>1.5055</v>
      </c>
      <c r="H250" s="27" t="n">
        <v>0</v>
      </c>
      <c r="I250" s="27" t="n">
        <v>29.7705</v>
      </c>
    </row>
    <row r="251" customFormat="false" ht="15" hidden="false" customHeight="false" outlineLevel="0" collapsed="false">
      <c r="A251" s="6" t="s">
        <v>267</v>
      </c>
      <c r="B251" s="6" t="s">
        <v>252</v>
      </c>
      <c r="C251" s="6" t="s">
        <v>265</v>
      </c>
      <c r="D251" s="6" t="s">
        <v>134</v>
      </c>
      <c r="E251" s="27" t="n">
        <v>20.13</v>
      </c>
      <c r="F251" s="27" t="n">
        <v>0</v>
      </c>
      <c r="G251" s="27" t="n">
        <v>1.4998</v>
      </c>
      <c r="H251" s="27" t="n">
        <v>0</v>
      </c>
      <c r="I251" s="27" t="n">
        <v>30.0959</v>
      </c>
    </row>
    <row r="252" customFormat="false" ht="15" hidden="false" customHeight="false" outlineLevel="0" collapsed="false">
      <c r="A252" s="6" t="s">
        <v>267</v>
      </c>
      <c r="B252" s="6" t="s">
        <v>252</v>
      </c>
      <c r="C252" s="6" t="s">
        <v>265</v>
      </c>
      <c r="D252" s="6" t="s">
        <v>138</v>
      </c>
      <c r="E252" s="27" t="n">
        <v>19.45</v>
      </c>
      <c r="F252" s="27" t="n">
        <v>0</v>
      </c>
      <c r="G252" s="27" t="n">
        <v>1.5034</v>
      </c>
      <c r="H252" s="27" t="n">
        <v>0</v>
      </c>
      <c r="I252" s="27" t="n">
        <v>29.5501</v>
      </c>
    </row>
    <row r="253" customFormat="false" ht="15" hidden="false" customHeight="false" outlineLevel="0" collapsed="false">
      <c r="A253" s="6" t="s">
        <v>267</v>
      </c>
      <c r="B253" s="6" t="s">
        <v>252</v>
      </c>
      <c r="C253" s="6" t="s">
        <v>265</v>
      </c>
      <c r="D253" s="6" t="s">
        <v>141</v>
      </c>
      <c r="E253" s="27" t="n">
        <v>16.255</v>
      </c>
      <c r="F253" s="27" t="n">
        <v>0</v>
      </c>
      <c r="G253" s="27" t="n">
        <v>1.4985</v>
      </c>
      <c r="H253" s="27" t="n">
        <v>0</v>
      </c>
      <c r="I253" s="27" t="n">
        <v>24.4286</v>
      </c>
    </row>
    <row r="254" customFormat="false" ht="15" hidden="false" customHeight="false" outlineLevel="0" collapsed="false">
      <c r="A254" s="6" t="s">
        <v>267</v>
      </c>
      <c r="B254" s="6" t="s">
        <v>252</v>
      </c>
      <c r="C254" s="6" t="s">
        <v>265</v>
      </c>
      <c r="D254" s="6" t="s">
        <v>128</v>
      </c>
      <c r="E254" s="27" t="n">
        <v>13.015</v>
      </c>
      <c r="F254" s="27" t="n">
        <v>0</v>
      </c>
      <c r="G254" s="27" t="n">
        <v>1.5065</v>
      </c>
      <c r="H254" s="27" t="n">
        <v>0</v>
      </c>
      <c r="I254" s="27" t="n">
        <v>20.6831</v>
      </c>
    </row>
    <row r="255" customFormat="false" ht="15" hidden="false" customHeight="false" outlineLevel="0" collapsed="false">
      <c r="A255" s="6" t="s">
        <v>267</v>
      </c>
      <c r="B255" s="6" t="s">
        <v>252</v>
      </c>
      <c r="C255" s="6" t="s">
        <v>265</v>
      </c>
      <c r="D255" s="6" t="s">
        <v>261</v>
      </c>
      <c r="E255" s="27" t="n">
        <v>3.11</v>
      </c>
      <c r="F255" s="27" t="n">
        <v>0</v>
      </c>
      <c r="G255" s="27" t="n">
        <v>1.5255</v>
      </c>
      <c r="H255" s="27" t="n">
        <v>0</v>
      </c>
      <c r="I255" s="27" t="n">
        <v>5.6517</v>
      </c>
    </row>
    <row r="256" customFormat="false" ht="15" hidden="false" customHeight="false" outlineLevel="0" collapsed="false">
      <c r="A256" s="6" t="s">
        <v>267</v>
      </c>
      <c r="B256" s="6" t="s">
        <v>252</v>
      </c>
      <c r="C256" s="6" t="s">
        <v>265</v>
      </c>
      <c r="D256" s="6" t="s">
        <v>262</v>
      </c>
      <c r="E256" s="27" t="n">
        <v>0</v>
      </c>
      <c r="F256" s="27" t="n">
        <v>0</v>
      </c>
      <c r="G256" s="27" t="n">
        <v>0</v>
      </c>
      <c r="H256" s="27" t="n">
        <v>0</v>
      </c>
      <c r="I256" s="27" t="n">
        <v>0</v>
      </c>
    </row>
    <row r="257" customFormat="false" ht="15" hidden="false" customHeight="false" outlineLevel="0" collapsed="false">
      <c r="A257" s="6" t="s">
        <v>267</v>
      </c>
      <c r="B257" s="6" t="s">
        <v>252</v>
      </c>
      <c r="C257" s="6" t="s">
        <v>238</v>
      </c>
      <c r="D257" s="6" t="s">
        <v>254</v>
      </c>
      <c r="E257" s="27" t="n">
        <v>0</v>
      </c>
      <c r="F257" s="27" t="n">
        <v>0</v>
      </c>
      <c r="G257" s="27" t="n">
        <v>0</v>
      </c>
      <c r="H257" s="27" t="n">
        <v>0</v>
      </c>
      <c r="I257" s="27" t="n">
        <v>0</v>
      </c>
    </row>
    <row r="258" customFormat="false" ht="15" hidden="false" customHeight="false" outlineLevel="0" collapsed="false">
      <c r="A258" s="6" t="s">
        <v>267</v>
      </c>
      <c r="B258" s="6" t="s">
        <v>252</v>
      </c>
      <c r="C258" s="6" t="s">
        <v>238</v>
      </c>
      <c r="D258" s="6" t="s">
        <v>255</v>
      </c>
      <c r="E258" s="27" t="n">
        <v>0</v>
      </c>
      <c r="F258" s="27" t="n">
        <v>0</v>
      </c>
      <c r="G258" s="27" t="n">
        <v>0</v>
      </c>
      <c r="H258" s="27" t="n">
        <v>0</v>
      </c>
      <c r="I258" s="27" t="n">
        <v>0</v>
      </c>
    </row>
    <row r="259" customFormat="false" ht="15" hidden="false" customHeight="false" outlineLevel="0" collapsed="false">
      <c r="A259" s="6" t="s">
        <v>267</v>
      </c>
      <c r="B259" s="6" t="s">
        <v>252</v>
      </c>
      <c r="C259" s="6" t="s">
        <v>238</v>
      </c>
      <c r="D259" s="6" t="s">
        <v>256</v>
      </c>
      <c r="E259" s="27" t="n">
        <v>0</v>
      </c>
      <c r="F259" s="27" t="n">
        <v>0</v>
      </c>
      <c r="G259" s="27" t="n">
        <v>0</v>
      </c>
      <c r="H259" s="27" t="n">
        <v>0</v>
      </c>
      <c r="I259" s="27" t="n">
        <v>0</v>
      </c>
    </row>
    <row r="260" customFormat="false" ht="15" hidden="false" customHeight="false" outlineLevel="0" collapsed="false">
      <c r="A260" s="6" t="s">
        <v>267</v>
      </c>
      <c r="B260" s="6" t="s">
        <v>252</v>
      </c>
      <c r="C260" s="6" t="s">
        <v>238</v>
      </c>
      <c r="D260" s="6" t="s">
        <v>124</v>
      </c>
      <c r="E260" s="27" t="n">
        <v>14.52</v>
      </c>
      <c r="F260" s="27" t="n">
        <v>0</v>
      </c>
      <c r="G260" s="27" t="n">
        <v>16.6498</v>
      </c>
      <c r="H260" s="27" t="n">
        <v>0</v>
      </c>
      <c r="I260" s="27" t="n">
        <v>66.9728</v>
      </c>
    </row>
    <row r="261" customFormat="false" ht="15" hidden="false" customHeight="false" outlineLevel="0" collapsed="false">
      <c r="A261" s="6" t="s">
        <v>267</v>
      </c>
      <c r="B261" s="6" t="s">
        <v>252</v>
      </c>
      <c r="C261" s="6" t="s">
        <v>238</v>
      </c>
      <c r="D261" s="6" t="s">
        <v>257</v>
      </c>
      <c r="E261" s="27" t="n">
        <v>18.77</v>
      </c>
      <c r="F261" s="27" t="n">
        <v>0</v>
      </c>
      <c r="G261" s="27" t="n">
        <v>16.8224</v>
      </c>
      <c r="H261" s="27" t="n">
        <v>0</v>
      </c>
      <c r="I261" s="27" t="n">
        <v>229.307</v>
      </c>
    </row>
    <row r="262" customFormat="false" ht="15" hidden="false" customHeight="false" outlineLevel="0" collapsed="false">
      <c r="A262" s="6" t="s">
        <v>267</v>
      </c>
      <c r="B262" s="6" t="s">
        <v>252</v>
      </c>
      <c r="C262" s="6" t="s">
        <v>238</v>
      </c>
      <c r="D262" s="6" t="s">
        <v>258</v>
      </c>
      <c r="E262" s="27" t="n">
        <v>18.615</v>
      </c>
      <c r="F262" s="27" t="n">
        <v>0</v>
      </c>
      <c r="G262" s="27" t="n">
        <v>17.0443</v>
      </c>
      <c r="H262" s="27" t="n">
        <v>0</v>
      </c>
      <c r="I262" s="27" t="n">
        <v>309.7027</v>
      </c>
    </row>
    <row r="263" customFormat="false" ht="15" hidden="false" customHeight="false" outlineLevel="0" collapsed="false">
      <c r="A263" s="6" t="s">
        <v>267</v>
      </c>
      <c r="B263" s="6" t="s">
        <v>252</v>
      </c>
      <c r="C263" s="6" t="s">
        <v>238</v>
      </c>
      <c r="D263" s="6" t="s">
        <v>133</v>
      </c>
      <c r="E263" s="27" t="n">
        <v>21.535</v>
      </c>
      <c r="F263" s="27" t="n">
        <v>0</v>
      </c>
      <c r="G263" s="27" t="n">
        <v>17.5146</v>
      </c>
      <c r="H263" s="27" t="n">
        <v>0</v>
      </c>
      <c r="I263" s="27" t="n">
        <v>334.275</v>
      </c>
    </row>
    <row r="264" customFormat="false" ht="15" hidden="false" customHeight="false" outlineLevel="0" collapsed="false">
      <c r="A264" s="6" t="s">
        <v>267</v>
      </c>
      <c r="B264" s="6" t="s">
        <v>252</v>
      </c>
      <c r="C264" s="6" t="s">
        <v>238</v>
      </c>
      <c r="D264" s="6" t="s">
        <v>137</v>
      </c>
      <c r="E264" s="27" t="n">
        <v>18.48</v>
      </c>
      <c r="F264" s="27" t="n">
        <v>0</v>
      </c>
      <c r="G264" s="27" t="n">
        <v>17.5289</v>
      </c>
      <c r="H264" s="27" t="n">
        <v>0</v>
      </c>
      <c r="I264" s="27" t="n">
        <v>342.9346</v>
      </c>
    </row>
    <row r="265" customFormat="false" ht="15" hidden="false" customHeight="false" outlineLevel="0" collapsed="false">
      <c r="A265" s="6" t="s">
        <v>267</v>
      </c>
      <c r="B265" s="6" t="s">
        <v>252</v>
      </c>
      <c r="C265" s="6" t="s">
        <v>238</v>
      </c>
      <c r="D265" s="6" t="s">
        <v>140</v>
      </c>
      <c r="E265" s="27" t="n">
        <v>15.44</v>
      </c>
      <c r="F265" s="27" t="n">
        <v>0</v>
      </c>
      <c r="G265" s="27" t="n">
        <v>17.3505</v>
      </c>
      <c r="H265" s="27" t="n">
        <v>0</v>
      </c>
      <c r="I265" s="27" t="n">
        <v>318.8024</v>
      </c>
    </row>
    <row r="266" customFormat="false" ht="15" hidden="false" customHeight="false" outlineLevel="0" collapsed="false">
      <c r="A266" s="6" t="s">
        <v>267</v>
      </c>
      <c r="B266" s="6" t="s">
        <v>252</v>
      </c>
      <c r="C266" s="6" t="s">
        <v>238</v>
      </c>
      <c r="D266" s="6" t="s">
        <v>125</v>
      </c>
      <c r="E266" s="27" t="n">
        <v>21.385</v>
      </c>
      <c r="F266" s="27" t="n">
        <v>0</v>
      </c>
      <c r="G266" s="27" t="n">
        <v>17.3838</v>
      </c>
      <c r="H266" s="27" t="n">
        <v>0</v>
      </c>
      <c r="I266" s="27" t="n">
        <v>299.6038</v>
      </c>
    </row>
    <row r="267" customFormat="false" ht="15" hidden="false" customHeight="false" outlineLevel="0" collapsed="false">
      <c r="A267" s="6" t="s">
        <v>267</v>
      </c>
      <c r="B267" s="6" t="s">
        <v>252</v>
      </c>
      <c r="C267" s="6" t="s">
        <v>238</v>
      </c>
      <c r="D267" s="6" t="s">
        <v>259</v>
      </c>
      <c r="E267" s="27" t="n">
        <v>21.26</v>
      </c>
      <c r="F267" s="27" t="n">
        <v>0</v>
      </c>
      <c r="G267" s="27" t="n">
        <v>18.5442</v>
      </c>
      <c r="H267" s="27" t="n">
        <v>0</v>
      </c>
      <c r="I267" s="27" t="n">
        <v>354.1081</v>
      </c>
    </row>
    <row r="268" customFormat="false" ht="15" hidden="false" customHeight="false" outlineLevel="0" collapsed="false">
      <c r="A268" s="6" t="s">
        <v>267</v>
      </c>
      <c r="B268" s="6" t="s">
        <v>252</v>
      </c>
      <c r="C268" s="6" t="s">
        <v>238</v>
      </c>
      <c r="D268" s="6" t="s">
        <v>260</v>
      </c>
      <c r="E268" s="27" t="n">
        <v>19.735</v>
      </c>
      <c r="F268" s="27" t="n">
        <v>0</v>
      </c>
      <c r="G268" s="27" t="n">
        <v>18.9445</v>
      </c>
      <c r="H268" s="27" t="n">
        <v>0</v>
      </c>
      <c r="I268" s="27" t="n">
        <v>376.3418</v>
      </c>
    </row>
    <row r="269" customFormat="false" ht="15" hidden="false" customHeight="false" outlineLevel="0" collapsed="false">
      <c r="A269" s="6" t="s">
        <v>267</v>
      </c>
      <c r="B269" s="6" t="s">
        <v>252</v>
      </c>
      <c r="C269" s="6" t="s">
        <v>238</v>
      </c>
      <c r="D269" s="6" t="s">
        <v>134</v>
      </c>
      <c r="E269" s="27" t="n">
        <v>17.25</v>
      </c>
      <c r="F269" s="27" t="n">
        <v>0</v>
      </c>
      <c r="G269" s="27" t="n">
        <v>18.6722</v>
      </c>
      <c r="H269" s="27" t="n">
        <v>0</v>
      </c>
      <c r="I269" s="27" t="n">
        <v>360.4729</v>
      </c>
    </row>
    <row r="270" customFormat="false" ht="15" hidden="false" customHeight="false" outlineLevel="0" collapsed="false">
      <c r="A270" s="6" t="s">
        <v>267</v>
      </c>
      <c r="B270" s="6" t="s">
        <v>252</v>
      </c>
      <c r="C270" s="6" t="s">
        <v>238</v>
      </c>
      <c r="D270" s="6" t="s">
        <v>138</v>
      </c>
      <c r="E270" s="27" t="n">
        <v>13.165</v>
      </c>
      <c r="F270" s="27" t="n">
        <v>0</v>
      </c>
      <c r="G270" s="27" t="n">
        <v>18.1485</v>
      </c>
      <c r="H270" s="27" t="n">
        <v>0</v>
      </c>
      <c r="I270" s="27" t="n">
        <v>318.2133</v>
      </c>
    </row>
    <row r="271" customFormat="false" ht="15" hidden="false" customHeight="false" outlineLevel="0" collapsed="false">
      <c r="A271" s="6" t="s">
        <v>267</v>
      </c>
      <c r="B271" s="6" t="s">
        <v>252</v>
      </c>
      <c r="C271" s="6" t="s">
        <v>238</v>
      </c>
      <c r="D271" s="6" t="s">
        <v>141</v>
      </c>
      <c r="E271" s="27" t="n">
        <v>7.17</v>
      </c>
      <c r="F271" s="27" t="n">
        <v>0</v>
      </c>
      <c r="G271" s="27" t="n">
        <v>16.7783</v>
      </c>
      <c r="H271" s="27" t="n">
        <v>0</v>
      </c>
      <c r="I271" s="27" t="n">
        <v>233.7609</v>
      </c>
    </row>
    <row r="272" customFormat="false" ht="15" hidden="false" customHeight="false" outlineLevel="0" collapsed="false">
      <c r="A272" s="6" t="s">
        <v>267</v>
      </c>
      <c r="B272" s="6" t="s">
        <v>252</v>
      </c>
      <c r="C272" s="6" t="s">
        <v>238</v>
      </c>
      <c r="D272" s="6" t="s">
        <v>128</v>
      </c>
      <c r="E272" s="27" t="n">
        <v>0</v>
      </c>
      <c r="F272" s="27" t="n">
        <v>0</v>
      </c>
      <c r="G272" s="27" t="n">
        <v>0</v>
      </c>
      <c r="H272" s="27" t="n">
        <v>0</v>
      </c>
      <c r="I272" s="27" t="n">
        <v>107.544</v>
      </c>
    </row>
    <row r="273" customFormat="false" ht="15" hidden="false" customHeight="false" outlineLevel="0" collapsed="false">
      <c r="A273" s="6" t="s">
        <v>267</v>
      </c>
      <c r="B273" s="6" t="s">
        <v>252</v>
      </c>
      <c r="C273" s="6" t="s">
        <v>238</v>
      </c>
      <c r="D273" s="6" t="s">
        <v>261</v>
      </c>
      <c r="E273" s="27" t="n">
        <v>0</v>
      </c>
      <c r="F273" s="27" t="n">
        <v>0</v>
      </c>
      <c r="G273" s="27" t="n">
        <v>0</v>
      </c>
      <c r="H273" s="27" t="n">
        <v>0</v>
      </c>
      <c r="I273" s="27" t="n">
        <v>12.9476</v>
      </c>
    </row>
    <row r="274" customFormat="false" ht="15" hidden="false" customHeight="false" outlineLevel="0" collapsed="false">
      <c r="A274" s="6" t="s">
        <v>267</v>
      </c>
      <c r="B274" s="6" t="s">
        <v>252</v>
      </c>
      <c r="C274" s="6" t="s">
        <v>238</v>
      </c>
      <c r="D274" s="6" t="s">
        <v>262</v>
      </c>
      <c r="E274" s="27" t="n">
        <v>0</v>
      </c>
      <c r="F274" s="27" t="n">
        <v>0</v>
      </c>
      <c r="G274" s="27" t="n">
        <v>0</v>
      </c>
      <c r="H274" s="27" t="n">
        <v>0</v>
      </c>
      <c r="I274" s="27" t="n">
        <v>0</v>
      </c>
    </row>
    <row r="275" customFormat="false" ht="15" hidden="false" customHeight="false" outlineLevel="0" collapsed="false">
      <c r="A275" s="6" t="s">
        <v>267</v>
      </c>
      <c r="B275" s="6" t="s">
        <v>266</v>
      </c>
      <c r="C275" s="6" t="s">
        <v>253</v>
      </c>
      <c r="D275" s="6" t="s">
        <v>254</v>
      </c>
      <c r="E275" s="27" t="n">
        <v>0</v>
      </c>
      <c r="F275" s="27" t="n">
        <v>0</v>
      </c>
      <c r="G275" s="27" t="n">
        <v>0</v>
      </c>
      <c r="H275" s="27" t="n">
        <v>0</v>
      </c>
      <c r="I275" s="27" t="n">
        <v>0</v>
      </c>
    </row>
    <row r="276" customFormat="false" ht="15" hidden="false" customHeight="false" outlineLevel="0" collapsed="false">
      <c r="A276" s="6" t="s">
        <v>267</v>
      </c>
      <c r="B276" s="6" t="s">
        <v>266</v>
      </c>
      <c r="C276" s="6" t="s">
        <v>253</v>
      </c>
      <c r="D276" s="6" t="s">
        <v>255</v>
      </c>
      <c r="E276" s="27" t="n">
        <v>0</v>
      </c>
      <c r="F276" s="27" t="n">
        <v>0</v>
      </c>
      <c r="G276" s="27" t="n">
        <v>0</v>
      </c>
      <c r="H276" s="27" t="n">
        <v>0</v>
      </c>
      <c r="I276" s="27" t="n">
        <v>0</v>
      </c>
    </row>
    <row r="277" customFormat="false" ht="15" hidden="false" customHeight="false" outlineLevel="0" collapsed="false">
      <c r="A277" s="6" t="s">
        <v>267</v>
      </c>
      <c r="B277" s="6" t="s">
        <v>266</v>
      </c>
      <c r="C277" s="6" t="s">
        <v>253</v>
      </c>
      <c r="D277" s="6" t="s">
        <v>256</v>
      </c>
      <c r="E277" s="27" t="n">
        <v>0</v>
      </c>
      <c r="F277" s="27" t="n">
        <v>0</v>
      </c>
      <c r="G277" s="27" t="n">
        <v>0</v>
      </c>
      <c r="H277" s="27" t="n">
        <v>0</v>
      </c>
      <c r="I277" s="27" t="n">
        <v>0</v>
      </c>
    </row>
    <row r="278" customFormat="false" ht="15" hidden="false" customHeight="false" outlineLevel="0" collapsed="false">
      <c r="A278" s="6" t="s">
        <v>267</v>
      </c>
      <c r="B278" s="6" t="s">
        <v>266</v>
      </c>
      <c r="C278" s="6" t="s">
        <v>253</v>
      </c>
      <c r="D278" s="6" t="s">
        <v>124</v>
      </c>
      <c r="E278" s="27" t="n">
        <v>3.88</v>
      </c>
      <c r="F278" s="27" t="n">
        <v>0.0031</v>
      </c>
      <c r="G278" s="27" t="n">
        <v>0.0336</v>
      </c>
      <c r="H278" s="27" t="n">
        <v>0.0122</v>
      </c>
      <c r="I278" s="27" t="n">
        <v>0.1304</v>
      </c>
    </row>
    <row r="279" customFormat="false" ht="15" hidden="false" customHeight="false" outlineLevel="0" collapsed="false">
      <c r="A279" s="6" t="s">
        <v>267</v>
      </c>
      <c r="B279" s="6" t="s">
        <v>266</v>
      </c>
      <c r="C279" s="6" t="s">
        <v>253</v>
      </c>
      <c r="D279" s="6" t="s">
        <v>257</v>
      </c>
      <c r="E279" s="27" t="n">
        <v>4.64</v>
      </c>
      <c r="F279" s="27" t="n">
        <v>0.003</v>
      </c>
      <c r="G279" s="27" t="n">
        <v>0.0335</v>
      </c>
      <c r="H279" s="27" t="n">
        <v>0.0141</v>
      </c>
      <c r="I279" s="27" t="n">
        <v>0.1555</v>
      </c>
    </row>
    <row r="280" customFormat="false" ht="15" hidden="false" customHeight="false" outlineLevel="0" collapsed="false">
      <c r="A280" s="6" t="s">
        <v>267</v>
      </c>
      <c r="B280" s="6" t="s">
        <v>266</v>
      </c>
      <c r="C280" s="6" t="s">
        <v>253</v>
      </c>
      <c r="D280" s="6" t="s">
        <v>258</v>
      </c>
      <c r="E280" s="27" t="n">
        <v>4.99</v>
      </c>
      <c r="F280" s="27" t="n">
        <v>0.0042</v>
      </c>
      <c r="G280" s="27" t="n">
        <v>0.0331</v>
      </c>
      <c r="H280" s="27" t="n">
        <v>0.0209</v>
      </c>
      <c r="I280" s="27" t="n">
        <v>0.1651</v>
      </c>
    </row>
    <row r="281" customFormat="false" ht="15" hidden="false" customHeight="false" outlineLevel="0" collapsed="false">
      <c r="A281" s="6" t="s">
        <v>267</v>
      </c>
      <c r="B281" s="6" t="s">
        <v>266</v>
      </c>
      <c r="C281" s="6" t="s">
        <v>253</v>
      </c>
      <c r="D281" s="6" t="s">
        <v>133</v>
      </c>
      <c r="E281" s="27" t="n">
        <v>7.035</v>
      </c>
      <c r="F281" s="27" t="n">
        <v>0.0102</v>
      </c>
      <c r="G281" s="27" t="n">
        <v>0.0338</v>
      </c>
      <c r="H281" s="27" t="n">
        <v>0.0712</v>
      </c>
      <c r="I281" s="27" t="n">
        <v>0.2369</v>
      </c>
    </row>
    <row r="282" customFormat="false" ht="15" hidden="false" customHeight="false" outlineLevel="0" collapsed="false">
      <c r="A282" s="6" t="s">
        <v>267</v>
      </c>
      <c r="B282" s="6" t="s">
        <v>266</v>
      </c>
      <c r="C282" s="6" t="s">
        <v>253</v>
      </c>
      <c r="D282" s="6" t="s">
        <v>137</v>
      </c>
      <c r="E282" s="27" t="n">
        <v>7.255</v>
      </c>
      <c r="F282" s="27" t="n">
        <v>0.011</v>
      </c>
      <c r="G282" s="27" t="n">
        <v>0.0338</v>
      </c>
      <c r="H282" s="27" t="n">
        <v>0.0799</v>
      </c>
      <c r="I282" s="27" t="n">
        <v>0.2466</v>
      </c>
    </row>
    <row r="283" customFormat="false" ht="15" hidden="false" customHeight="false" outlineLevel="0" collapsed="false">
      <c r="A283" s="6" t="s">
        <v>267</v>
      </c>
      <c r="B283" s="6" t="s">
        <v>266</v>
      </c>
      <c r="C283" s="6" t="s">
        <v>253</v>
      </c>
      <c r="D283" s="6" t="s">
        <v>140</v>
      </c>
      <c r="E283" s="27" t="n">
        <v>5.845</v>
      </c>
      <c r="F283" s="27" t="n">
        <v>0.009</v>
      </c>
      <c r="G283" s="27" t="n">
        <v>0.0336</v>
      </c>
      <c r="H283" s="27" t="n">
        <v>0.0527</v>
      </c>
      <c r="I283" s="27" t="n">
        <v>0.1958</v>
      </c>
    </row>
    <row r="284" customFormat="false" ht="15" hidden="false" customHeight="false" outlineLevel="0" collapsed="false">
      <c r="A284" s="6" t="s">
        <v>267</v>
      </c>
      <c r="B284" s="6" t="s">
        <v>266</v>
      </c>
      <c r="C284" s="6" t="s">
        <v>253</v>
      </c>
      <c r="D284" s="6" t="s">
        <v>125</v>
      </c>
      <c r="E284" s="27" t="n">
        <v>6.595</v>
      </c>
      <c r="F284" s="27" t="n">
        <v>0.009</v>
      </c>
      <c r="G284" s="27" t="n">
        <v>0.0331</v>
      </c>
      <c r="H284" s="27" t="n">
        <v>0.0578</v>
      </c>
      <c r="I284" s="27" t="n">
        <v>0.2169</v>
      </c>
    </row>
    <row r="285" customFormat="false" ht="15" hidden="false" customHeight="false" outlineLevel="0" collapsed="false">
      <c r="A285" s="6" t="s">
        <v>267</v>
      </c>
      <c r="B285" s="6" t="s">
        <v>266</v>
      </c>
      <c r="C285" s="6" t="s">
        <v>253</v>
      </c>
      <c r="D285" s="6" t="s">
        <v>259</v>
      </c>
      <c r="E285" s="27" t="n">
        <v>15.66</v>
      </c>
      <c r="F285" s="27" t="n">
        <v>0.0248</v>
      </c>
      <c r="G285" s="27" t="n">
        <v>0.0331</v>
      </c>
      <c r="H285" s="27" t="n">
        <v>0.3896</v>
      </c>
      <c r="I285" s="27" t="n">
        <v>0.5189</v>
      </c>
    </row>
    <row r="286" customFormat="false" ht="15" hidden="false" customHeight="false" outlineLevel="0" collapsed="false">
      <c r="A286" s="6" t="s">
        <v>267</v>
      </c>
      <c r="B286" s="6" t="s">
        <v>266</v>
      </c>
      <c r="C286" s="6" t="s">
        <v>253</v>
      </c>
      <c r="D286" s="6" t="s">
        <v>260</v>
      </c>
      <c r="E286" s="27" t="n">
        <v>16.08</v>
      </c>
      <c r="F286" s="27" t="n">
        <v>0.0291</v>
      </c>
      <c r="G286" s="27" t="n">
        <v>0.0333</v>
      </c>
      <c r="H286" s="27" t="n">
        <v>0.4678</v>
      </c>
      <c r="I286" s="27" t="n">
        <v>0.5358</v>
      </c>
    </row>
    <row r="287" customFormat="false" ht="15" hidden="false" customHeight="false" outlineLevel="0" collapsed="false">
      <c r="A287" s="6" t="s">
        <v>267</v>
      </c>
      <c r="B287" s="6" t="s">
        <v>266</v>
      </c>
      <c r="C287" s="6" t="s">
        <v>253</v>
      </c>
      <c r="D287" s="6" t="s">
        <v>134</v>
      </c>
      <c r="E287" s="27" t="n">
        <v>9.655</v>
      </c>
      <c r="F287" s="27" t="n">
        <v>0.0174</v>
      </c>
      <c r="G287" s="27" t="n">
        <v>0.0333</v>
      </c>
      <c r="H287" s="27" t="n">
        <v>0.1679</v>
      </c>
      <c r="I287" s="27" t="n">
        <v>0.3232</v>
      </c>
    </row>
    <row r="288" customFormat="false" ht="15" hidden="false" customHeight="false" outlineLevel="0" collapsed="false">
      <c r="A288" s="6" t="s">
        <v>267</v>
      </c>
      <c r="B288" s="6" t="s">
        <v>266</v>
      </c>
      <c r="C288" s="6" t="s">
        <v>253</v>
      </c>
      <c r="D288" s="6" t="s">
        <v>138</v>
      </c>
      <c r="E288" s="27" t="n">
        <v>5.01</v>
      </c>
      <c r="F288" s="27" t="n">
        <v>0.0055</v>
      </c>
      <c r="G288" s="27" t="n">
        <v>0.0335</v>
      </c>
      <c r="H288" s="27" t="n">
        <v>0.0274</v>
      </c>
      <c r="I288" s="27" t="n">
        <v>0.1679</v>
      </c>
    </row>
    <row r="289" customFormat="false" ht="15" hidden="false" customHeight="false" outlineLevel="0" collapsed="false">
      <c r="A289" s="6" t="s">
        <v>267</v>
      </c>
      <c r="B289" s="6" t="s">
        <v>266</v>
      </c>
      <c r="C289" s="6" t="s">
        <v>253</v>
      </c>
      <c r="D289" s="6" t="s">
        <v>141</v>
      </c>
      <c r="E289" s="27" t="n">
        <v>1.825</v>
      </c>
      <c r="F289" s="27" t="n">
        <v>0.0011</v>
      </c>
      <c r="G289" s="27" t="n">
        <v>0.0329</v>
      </c>
      <c r="H289" s="27" t="n">
        <v>0.0021</v>
      </c>
      <c r="I289" s="27" t="n">
        <v>0.0601</v>
      </c>
    </row>
    <row r="290" customFormat="false" ht="15" hidden="false" customHeight="false" outlineLevel="0" collapsed="false">
      <c r="A290" s="6" t="s">
        <v>267</v>
      </c>
      <c r="B290" s="6" t="s">
        <v>266</v>
      </c>
      <c r="C290" s="6" t="s">
        <v>253</v>
      </c>
      <c r="D290" s="6" t="s">
        <v>128</v>
      </c>
      <c r="E290" s="27" t="n">
        <v>0</v>
      </c>
      <c r="F290" s="27" t="n">
        <v>0</v>
      </c>
      <c r="G290" s="27" t="n">
        <v>0</v>
      </c>
      <c r="H290" s="27" t="n">
        <v>0</v>
      </c>
      <c r="I290" s="27" t="n">
        <v>0.0002</v>
      </c>
    </row>
    <row r="291" customFormat="false" ht="15" hidden="false" customHeight="false" outlineLevel="0" collapsed="false">
      <c r="A291" s="6" t="s">
        <v>267</v>
      </c>
      <c r="B291" s="6" t="s">
        <v>266</v>
      </c>
      <c r="C291" s="6" t="s">
        <v>253</v>
      </c>
      <c r="D291" s="6" t="s">
        <v>261</v>
      </c>
      <c r="E291" s="27" t="n">
        <v>0</v>
      </c>
      <c r="F291" s="27" t="n">
        <v>0</v>
      </c>
      <c r="G291" s="27" t="n">
        <v>0</v>
      </c>
      <c r="H291" s="27" t="n">
        <v>0</v>
      </c>
      <c r="I291" s="27" t="n">
        <v>0</v>
      </c>
    </row>
    <row r="292" customFormat="false" ht="15" hidden="false" customHeight="false" outlineLevel="0" collapsed="false">
      <c r="A292" s="6" t="s">
        <v>267</v>
      </c>
      <c r="B292" s="6" t="s">
        <v>266</v>
      </c>
      <c r="C292" s="6" t="s">
        <v>253</v>
      </c>
      <c r="D292" s="6" t="s">
        <v>262</v>
      </c>
      <c r="E292" s="27" t="n">
        <v>0</v>
      </c>
      <c r="F292" s="27" t="n">
        <v>0</v>
      </c>
      <c r="G292" s="27" t="n">
        <v>0</v>
      </c>
      <c r="H292" s="27" t="n">
        <v>0</v>
      </c>
      <c r="I292" s="27" t="n">
        <v>0</v>
      </c>
    </row>
    <row r="293" customFormat="false" ht="15" hidden="false" customHeight="false" outlineLevel="0" collapsed="false">
      <c r="A293" s="6" t="s">
        <v>267</v>
      </c>
      <c r="B293" s="6" t="s">
        <v>266</v>
      </c>
      <c r="C293" s="6" t="s">
        <v>263</v>
      </c>
      <c r="D293" s="6" t="s">
        <v>254</v>
      </c>
      <c r="E293" s="27" t="n">
        <v>0</v>
      </c>
      <c r="F293" s="27" t="n">
        <v>0</v>
      </c>
      <c r="G293" s="27" t="n">
        <v>0</v>
      </c>
      <c r="H293" s="27" t="n">
        <v>0</v>
      </c>
      <c r="I293" s="27" t="n">
        <v>0</v>
      </c>
    </row>
    <row r="294" customFormat="false" ht="15" hidden="false" customHeight="false" outlineLevel="0" collapsed="false">
      <c r="A294" s="6" t="s">
        <v>267</v>
      </c>
      <c r="B294" s="6" t="s">
        <v>266</v>
      </c>
      <c r="C294" s="6" t="s">
        <v>263</v>
      </c>
      <c r="D294" s="6" t="s">
        <v>255</v>
      </c>
      <c r="E294" s="27" t="n">
        <v>0</v>
      </c>
      <c r="F294" s="27" t="n">
        <v>0</v>
      </c>
      <c r="G294" s="27" t="n">
        <v>0</v>
      </c>
      <c r="H294" s="27" t="n">
        <v>0</v>
      </c>
      <c r="I294" s="27" t="n">
        <v>0</v>
      </c>
    </row>
    <row r="295" customFormat="false" ht="15" hidden="false" customHeight="false" outlineLevel="0" collapsed="false">
      <c r="A295" s="6" t="s">
        <v>267</v>
      </c>
      <c r="B295" s="6" t="s">
        <v>266</v>
      </c>
      <c r="C295" s="6" t="s">
        <v>263</v>
      </c>
      <c r="D295" s="6" t="s">
        <v>256</v>
      </c>
      <c r="E295" s="27" t="n">
        <v>0</v>
      </c>
      <c r="F295" s="27" t="n">
        <v>0</v>
      </c>
      <c r="G295" s="27" t="n">
        <v>0</v>
      </c>
      <c r="H295" s="27" t="n">
        <v>0</v>
      </c>
      <c r="I295" s="27" t="n">
        <v>0</v>
      </c>
    </row>
    <row r="296" customFormat="false" ht="15" hidden="false" customHeight="false" outlineLevel="0" collapsed="false">
      <c r="A296" s="6" t="s">
        <v>267</v>
      </c>
      <c r="B296" s="6" t="s">
        <v>266</v>
      </c>
      <c r="C296" s="6" t="s">
        <v>263</v>
      </c>
      <c r="D296" s="6" t="s">
        <v>124</v>
      </c>
      <c r="E296" s="27" t="n">
        <v>3.705</v>
      </c>
      <c r="F296" s="27" t="n">
        <v>0.0017</v>
      </c>
      <c r="G296" s="27" t="n">
        <v>0.097</v>
      </c>
      <c r="H296" s="27" t="n">
        <v>0.0063</v>
      </c>
      <c r="I296" s="27" t="n">
        <v>0.3563</v>
      </c>
    </row>
    <row r="297" customFormat="false" ht="15" hidden="false" customHeight="false" outlineLevel="0" collapsed="false">
      <c r="A297" s="6" t="s">
        <v>267</v>
      </c>
      <c r="B297" s="6" t="s">
        <v>266</v>
      </c>
      <c r="C297" s="6" t="s">
        <v>263</v>
      </c>
      <c r="D297" s="6" t="s">
        <v>257</v>
      </c>
      <c r="E297" s="27" t="n">
        <v>4.59</v>
      </c>
      <c r="F297" s="27" t="n">
        <v>0.0028</v>
      </c>
      <c r="G297" s="27" t="n">
        <v>0.1038</v>
      </c>
      <c r="H297" s="27" t="n">
        <v>0.013</v>
      </c>
      <c r="I297" s="27" t="n">
        <v>0.4747</v>
      </c>
    </row>
    <row r="298" customFormat="false" ht="15" hidden="false" customHeight="false" outlineLevel="0" collapsed="false">
      <c r="A298" s="6" t="s">
        <v>267</v>
      </c>
      <c r="B298" s="6" t="s">
        <v>266</v>
      </c>
      <c r="C298" s="6" t="s">
        <v>263</v>
      </c>
      <c r="D298" s="6" t="s">
        <v>258</v>
      </c>
      <c r="E298" s="27" t="n">
        <v>5.005</v>
      </c>
      <c r="F298" s="27" t="n">
        <v>0.0067</v>
      </c>
      <c r="G298" s="27" t="n">
        <v>0.1015</v>
      </c>
      <c r="H298" s="27" t="n">
        <v>0.0336</v>
      </c>
      <c r="I298" s="27" t="n">
        <v>0.5093</v>
      </c>
    </row>
    <row r="299" customFormat="false" ht="15" hidden="false" customHeight="false" outlineLevel="0" collapsed="false">
      <c r="A299" s="6" t="s">
        <v>267</v>
      </c>
      <c r="B299" s="6" t="s">
        <v>266</v>
      </c>
      <c r="C299" s="6" t="s">
        <v>263</v>
      </c>
      <c r="D299" s="6" t="s">
        <v>133</v>
      </c>
      <c r="E299" s="27" t="n">
        <v>6.955</v>
      </c>
      <c r="F299" s="27" t="n">
        <v>0.0245</v>
      </c>
      <c r="G299" s="27" t="n">
        <v>0.0993</v>
      </c>
      <c r="H299" s="27" t="n">
        <v>0.1695</v>
      </c>
      <c r="I299" s="27" t="n">
        <v>0.6874</v>
      </c>
    </row>
    <row r="300" customFormat="false" ht="15" hidden="false" customHeight="false" outlineLevel="0" collapsed="false">
      <c r="A300" s="6" t="s">
        <v>267</v>
      </c>
      <c r="B300" s="6" t="s">
        <v>266</v>
      </c>
      <c r="C300" s="6" t="s">
        <v>263</v>
      </c>
      <c r="D300" s="6" t="s">
        <v>137</v>
      </c>
      <c r="E300" s="27" t="n">
        <v>7.31</v>
      </c>
      <c r="F300" s="27" t="n">
        <v>0.0278</v>
      </c>
      <c r="G300" s="27" t="n">
        <v>0.1003</v>
      </c>
      <c r="H300" s="27" t="n">
        <v>0.2042</v>
      </c>
      <c r="I300" s="27" t="n">
        <v>0.7363</v>
      </c>
    </row>
    <row r="301" customFormat="false" ht="15" hidden="false" customHeight="false" outlineLevel="0" collapsed="false">
      <c r="A301" s="6" t="s">
        <v>267</v>
      </c>
      <c r="B301" s="6" t="s">
        <v>266</v>
      </c>
      <c r="C301" s="6" t="s">
        <v>263</v>
      </c>
      <c r="D301" s="6" t="s">
        <v>140</v>
      </c>
      <c r="E301" s="27" t="n">
        <v>5.815</v>
      </c>
      <c r="F301" s="27" t="n">
        <v>0.0304</v>
      </c>
      <c r="G301" s="27" t="n">
        <v>0.1006</v>
      </c>
      <c r="H301" s="27" t="n">
        <v>0.177</v>
      </c>
      <c r="I301" s="27" t="n">
        <v>0.5863</v>
      </c>
    </row>
    <row r="302" customFormat="false" ht="15" hidden="false" customHeight="false" outlineLevel="0" collapsed="false">
      <c r="A302" s="6" t="s">
        <v>267</v>
      </c>
      <c r="B302" s="6" t="s">
        <v>266</v>
      </c>
      <c r="C302" s="6" t="s">
        <v>263</v>
      </c>
      <c r="D302" s="6" t="s">
        <v>125</v>
      </c>
      <c r="E302" s="27" t="n">
        <v>6.13</v>
      </c>
      <c r="F302" s="27" t="n">
        <v>0.0201</v>
      </c>
      <c r="G302" s="27" t="n">
        <v>0.1021</v>
      </c>
      <c r="H302" s="27" t="n">
        <v>0.1141</v>
      </c>
      <c r="I302" s="27" t="n">
        <v>0.6099</v>
      </c>
    </row>
    <row r="303" customFormat="false" ht="15" hidden="false" customHeight="false" outlineLevel="0" collapsed="false">
      <c r="A303" s="6" t="s">
        <v>267</v>
      </c>
      <c r="B303" s="6" t="s">
        <v>266</v>
      </c>
      <c r="C303" s="6" t="s">
        <v>263</v>
      </c>
      <c r="D303" s="6" t="s">
        <v>259</v>
      </c>
      <c r="E303" s="27" t="n">
        <v>15.865</v>
      </c>
      <c r="F303" s="27" t="n">
        <v>0.1287</v>
      </c>
      <c r="G303" s="27" t="n">
        <v>0.0996</v>
      </c>
      <c r="H303" s="27" t="n">
        <v>2.0111</v>
      </c>
      <c r="I303" s="27" t="n">
        <v>1.5718</v>
      </c>
    </row>
    <row r="304" customFormat="false" ht="15" hidden="false" customHeight="false" outlineLevel="0" collapsed="false">
      <c r="A304" s="6" t="s">
        <v>267</v>
      </c>
      <c r="B304" s="6" t="s">
        <v>266</v>
      </c>
      <c r="C304" s="6" t="s">
        <v>263</v>
      </c>
      <c r="D304" s="6" t="s">
        <v>260</v>
      </c>
      <c r="E304" s="27" t="n">
        <v>15.905</v>
      </c>
      <c r="F304" s="27" t="n">
        <v>0.1465</v>
      </c>
      <c r="G304" s="27" t="n">
        <v>0.0979</v>
      </c>
      <c r="H304" s="27" t="n">
        <v>2.3225</v>
      </c>
      <c r="I304" s="27" t="n">
        <v>1.5417</v>
      </c>
    </row>
    <row r="305" customFormat="false" ht="15" hidden="false" customHeight="false" outlineLevel="0" collapsed="false">
      <c r="A305" s="6" t="s">
        <v>267</v>
      </c>
      <c r="B305" s="6" t="s">
        <v>266</v>
      </c>
      <c r="C305" s="6" t="s">
        <v>263</v>
      </c>
      <c r="D305" s="6" t="s">
        <v>134</v>
      </c>
      <c r="E305" s="27" t="n">
        <v>10.045</v>
      </c>
      <c r="F305" s="27" t="n">
        <v>0.0842</v>
      </c>
      <c r="G305" s="27" t="n">
        <v>0.0992</v>
      </c>
      <c r="H305" s="27" t="n">
        <v>0.8918</v>
      </c>
      <c r="I305" s="27" t="n">
        <v>1.0357</v>
      </c>
    </row>
    <row r="306" customFormat="false" ht="15" hidden="false" customHeight="false" outlineLevel="0" collapsed="false">
      <c r="A306" s="6" t="s">
        <v>267</v>
      </c>
      <c r="B306" s="6" t="s">
        <v>266</v>
      </c>
      <c r="C306" s="6" t="s">
        <v>263</v>
      </c>
      <c r="D306" s="6" t="s">
        <v>138</v>
      </c>
      <c r="E306" s="27" t="n">
        <v>5.235</v>
      </c>
      <c r="F306" s="27" t="n">
        <v>0.0167</v>
      </c>
      <c r="G306" s="27" t="n">
        <v>0.0958</v>
      </c>
      <c r="H306" s="27" t="n">
        <v>0.088</v>
      </c>
      <c r="I306" s="27" t="n">
        <v>0.5027</v>
      </c>
    </row>
    <row r="307" customFormat="false" ht="15" hidden="false" customHeight="false" outlineLevel="0" collapsed="false">
      <c r="A307" s="6" t="s">
        <v>267</v>
      </c>
      <c r="B307" s="6" t="s">
        <v>266</v>
      </c>
      <c r="C307" s="6" t="s">
        <v>263</v>
      </c>
      <c r="D307" s="6" t="s">
        <v>141</v>
      </c>
      <c r="E307" s="27" t="n">
        <v>1.85</v>
      </c>
      <c r="F307" s="27" t="n">
        <v>0.0005</v>
      </c>
      <c r="G307" s="27" t="n">
        <v>0.0969</v>
      </c>
      <c r="H307" s="27" t="n">
        <v>0.001</v>
      </c>
      <c r="I307" s="27" t="n">
        <v>0.181</v>
      </c>
    </row>
    <row r="308" customFormat="false" ht="15" hidden="false" customHeight="false" outlineLevel="0" collapsed="false">
      <c r="A308" s="6" t="s">
        <v>267</v>
      </c>
      <c r="B308" s="6" t="s">
        <v>266</v>
      </c>
      <c r="C308" s="6" t="s">
        <v>263</v>
      </c>
      <c r="D308" s="6" t="s">
        <v>128</v>
      </c>
      <c r="E308" s="27" t="n">
        <v>0.06</v>
      </c>
      <c r="F308" s="27" t="n">
        <v>0</v>
      </c>
      <c r="G308" s="27" t="n">
        <v>0.0837</v>
      </c>
      <c r="H308" s="27" t="n">
        <v>0</v>
      </c>
      <c r="I308" s="27" t="n">
        <v>0.0052</v>
      </c>
    </row>
    <row r="309" customFormat="false" ht="15" hidden="false" customHeight="false" outlineLevel="0" collapsed="false">
      <c r="A309" s="6" t="s">
        <v>267</v>
      </c>
      <c r="B309" s="6" t="s">
        <v>266</v>
      </c>
      <c r="C309" s="6" t="s">
        <v>263</v>
      </c>
      <c r="D309" s="6" t="s">
        <v>261</v>
      </c>
      <c r="E309" s="27" t="n">
        <v>0</v>
      </c>
      <c r="F309" s="27" t="n">
        <v>0</v>
      </c>
      <c r="G309" s="27" t="n">
        <v>0</v>
      </c>
      <c r="H309" s="27" t="n">
        <v>0</v>
      </c>
      <c r="I309" s="27" t="n">
        <v>0</v>
      </c>
    </row>
    <row r="310" customFormat="false" ht="15" hidden="false" customHeight="false" outlineLevel="0" collapsed="false">
      <c r="A310" s="6" t="s">
        <v>267</v>
      </c>
      <c r="B310" s="6" t="s">
        <v>266</v>
      </c>
      <c r="C310" s="6" t="s">
        <v>263</v>
      </c>
      <c r="D310" s="6" t="s">
        <v>262</v>
      </c>
      <c r="E310" s="27" t="n">
        <v>0</v>
      </c>
      <c r="F310" s="27" t="n">
        <v>0</v>
      </c>
      <c r="G310" s="27" t="n">
        <v>0</v>
      </c>
      <c r="H310" s="27" t="n">
        <v>0</v>
      </c>
      <c r="I310" s="27" t="n">
        <v>0</v>
      </c>
    </row>
    <row r="311" customFormat="false" ht="15" hidden="false" customHeight="false" outlineLevel="0" collapsed="false">
      <c r="A311" s="6" t="s">
        <v>267</v>
      </c>
      <c r="B311" s="6" t="s">
        <v>266</v>
      </c>
      <c r="C311" s="6" t="s">
        <v>264</v>
      </c>
      <c r="D311" s="6" t="s">
        <v>254</v>
      </c>
      <c r="E311" s="27" t="n">
        <v>0</v>
      </c>
      <c r="F311" s="27" t="n">
        <v>0</v>
      </c>
      <c r="G311" s="27" t="n">
        <v>0</v>
      </c>
      <c r="H311" s="27" t="n">
        <v>0</v>
      </c>
      <c r="I311" s="27" t="n">
        <v>0</v>
      </c>
    </row>
    <row r="312" customFormat="false" ht="15" hidden="false" customHeight="false" outlineLevel="0" collapsed="false">
      <c r="A312" s="6" t="s">
        <v>267</v>
      </c>
      <c r="B312" s="6" t="s">
        <v>266</v>
      </c>
      <c r="C312" s="6" t="s">
        <v>264</v>
      </c>
      <c r="D312" s="6" t="s">
        <v>255</v>
      </c>
      <c r="E312" s="27" t="n">
        <v>0</v>
      </c>
      <c r="F312" s="27" t="n">
        <v>0</v>
      </c>
      <c r="G312" s="27" t="n">
        <v>0</v>
      </c>
      <c r="H312" s="27" t="n">
        <v>0</v>
      </c>
      <c r="I312" s="27" t="n">
        <v>0</v>
      </c>
    </row>
    <row r="313" customFormat="false" ht="15" hidden="false" customHeight="false" outlineLevel="0" collapsed="false">
      <c r="A313" s="6" t="s">
        <v>267</v>
      </c>
      <c r="B313" s="6" t="s">
        <v>266</v>
      </c>
      <c r="C313" s="6" t="s">
        <v>264</v>
      </c>
      <c r="D313" s="6" t="s">
        <v>256</v>
      </c>
      <c r="E313" s="27" t="n">
        <v>0</v>
      </c>
      <c r="F313" s="27" t="n">
        <v>0</v>
      </c>
      <c r="G313" s="27" t="n">
        <v>0</v>
      </c>
      <c r="H313" s="27" t="n">
        <v>0</v>
      </c>
      <c r="I313" s="27" t="n">
        <v>0</v>
      </c>
    </row>
    <row r="314" customFormat="false" ht="15" hidden="false" customHeight="false" outlineLevel="0" collapsed="false">
      <c r="A314" s="6" t="s">
        <v>267</v>
      </c>
      <c r="B314" s="6" t="s">
        <v>266</v>
      </c>
      <c r="C314" s="6" t="s">
        <v>264</v>
      </c>
      <c r="D314" s="6" t="s">
        <v>124</v>
      </c>
      <c r="E314" s="27" t="n">
        <v>3.32</v>
      </c>
      <c r="F314" s="27" t="n">
        <v>0</v>
      </c>
      <c r="G314" s="27" t="n">
        <v>13.5115</v>
      </c>
      <c r="H314" s="27" t="n">
        <v>0</v>
      </c>
      <c r="I314" s="27" t="n">
        <v>13.4818</v>
      </c>
    </row>
    <row r="315" customFormat="false" ht="15" hidden="false" customHeight="false" outlineLevel="0" collapsed="false">
      <c r="A315" s="6" t="s">
        <v>267</v>
      </c>
      <c r="B315" s="6" t="s">
        <v>266</v>
      </c>
      <c r="C315" s="6" t="s">
        <v>264</v>
      </c>
      <c r="D315" s="6" t="s">
        <v>257</v>
      </c>
      <c r="E315" s="27" t="n">
        <v>4.45</v>
      </c>
      <c r="F315" s="27" t="n">
        <v>0</v>
      </c>
      <c r="G315" s="27" t="n">
        <v>13.517</v>
      </c>
      <c r="H315" s="27" t="n">
        <v>0</v>
      </c>
      <c r="I315" s="27" t="n">
        <v>50.3918</v>
      </c>
    </row>
    <row r="316" customFormat="false" ht="15" hidden="false" customHeight="false" outlineLevel="0" collapsed="false">
      <c r="A316" s="6" t="s">
        <v>267</v>
      </c>
      <c r="B316" s="6" t="s">
        <v>266</v>
      </c>
      <c r="C316" s="6" t="s">
        <v>264</v>
      </c>
      <c r="D316" s="6" t="s">
        <v>258</v>
      </c>
      <c r="E316" s="27" t="n">
        <v>4.975</v>
      </c>
      <c r="F316" s="27" t="n">
        <v>0</v>
      </c>
      <c r="G316" s="27" t="n">
        <v>13.5044</v>
      </c>
      <c r="H316" s="27" t="n">
        <v>0</v>
      </c>
      <c r="I316" s="27" t="n">
        <v>63.245</v>
      </c>
    </row>
    <row r="317" customFormat="false" ht="15" hidden="false" customHeight="false" outlineLevel="0" collapsed="false">
      <c r="A317" s="6" t="s">
        <v>267</v>
      </c>
      <c r="B317" s="6" t="s">
        <v>266</v>
      </c>
      <c r="C317" s="6" t="s">
        <v>264</v>
      </c>
      <c r="D317" s="6" t="s">
        <v>133</v>
      </c>
      <c r="E317" s="27" t="n">
        <v>6.775</v>
      </c>
      <c r="F317" s="27" t="n">
        <v>0</v>
      </c>
      <c r="G317" s="27" t="n">
        <v>13.5082</v>
      </c>
      <c r="H317" s="27" t="n">
        <v>0</v>
      </c>
      <c r="I317" s="27" t="n">
        <v>73.2679</v>
      </c>
    </row>
    <row r="318" customFormat="false" ht="15" hidden="false" customHeight="false" outlineLevel="0" collapsed="false">
      <c r="A318" s="6" t="s">
        <v>267</v>
      </c>
      <c r="B318" s="6" t="s">
        <v>266</v>
      </c>
      <c r="C318" s="6" t="s">
        <v>264</v>
      </c>
      <c r="D318" s="6" t="s">
        <v>137</v>
      </c>
      <c r="E318" s="27" t="n">
        <v>7.5</v>
      </c>
      <c r="F318" s="27" t="n">
        <v>0</v>
      </c>
      <c r="G318" s="27" t="n">
        <v>13.5134</v>
      </c>
      <c r="H318" s="27" t="n">
        <v>0</v>
      </c>
      <c r="I318" s="27" t="n">
        <v>95.781</v>
      </c>
    </row>
    <row r="319" customFormat="false" ht="15" hidden="false" customHeight="false" outlineLevel="0" collapsed="false">
      <c r="A319" s="6" t="s">
        <v>267</v>
      </c>
      <c r="B319" s="6" t="s">
        <v>266</v>
      </c>
      <c r="C319" s="6" t="s">
        <v>264</v>
      </c>
      <c r="D319" s="6" t="s">
        <v>140</v>
      </c>
      <c r="E319" s="27" t="n">
        <v>5.89</v>
      </c>
      <c r="F319" s="27" t="n">
        <v>0</v>
      </c>
      <c r="G319" s="27" t="n">
        <v>13.4873</v>
      </c>
      <c r="H319" s="27" t="n">
        <v>0</v>
      </c>
      <c r="I319" s="27" t="n">
        <v>94.3125</v>
      </c>
    </row>
    <row r="320" customFormat="false" ht="15" hidden="false" customHeight="false" outlineLevel="0" collapsed="false">
      <c r="A320" s="6" t="s">
        <v>267</v>
      </c>
      <c r="B320" s="6" t="s">
        <v>266</v>
      </c>
      <c r="C320" s="6" t="s">
        <v>264</v>
      </c>
      <c r="D320" s="6" t="s">
        <v>125</v>
      </c>
      <c r="E320" s="27" t="n">
        <v>5.28</v>
      </c>
      <c r="F320" s="27" t="n">
        <v>0</v>
      </c>
      <c r="G320" s="27" t="n">
        <v>13.4883</v>
      </c>
      <c r="H320" s="27" t="n">
        <v>0</v>
      </c>
      <c r="I320" s="27" t="n">
        <v>74.6432</v>
      </c>
    </row>
    <row r="321" customFormat="false" ht="15" hidden="false" customHeight="false" outlineLevel="0" collapsed="false">
      <c r="A321" s="6" t="s">
        <v>267</v>
      </c>
      <c r="B321" s="6" t="s">
        <v>266</v>
      </c>
      <c r="C321" s="6" t="s">
        <v>264</v>
      </c>
      <c r="D321" s="6" t="s">
        <v>259</v>
      </c>
      <c r="E321" s="27" t="n">
        <v>15.33</v>
      </c>
      <c r="F321" s="27" t="n">
        <v>0</v>
      </c>
      <c r="G321" s="27" t="n">
        <v>13.501</v>
      </c>
      <c r="H321" s="27" t="n">
        <v>0</v>
      </c>
      <c r="I321" s="27" t="n">
        <v>118.4006</v>
      </c>
    </row>
    <row r="322" customFormat="false" ht="15" hidden="false" customHeight="false" outlineLevel="0" collapsed="false">
      <c r="A322" s="6" t="s">
        <v>267</v>
      </c>
      <c r="B322" s="6" t="s">
        <v>266</v>
      </c>
      <c r="C322" s="6" t="s">
        <v>264</v>
      </c>
      <c r="D322" s="6" t="s">
        <v>260</v>
      </c>
      <c r="E322" s="27" t="n">
        <v>15.82</v>
      </c>
      <c r="F322" s="27" t="n">
        <v>0</v>
      </c>
      <c r="G322" s="27" t="n">
        <v>13.4974</v>
      </c>
      <c r="H322" s="27" t="n">
        <v>0</v>
      </c>
      <c r="I322" s="27" t="n">
        <v>206.8818</v>
      </c>
    </row>
    <row r="323" customFormat="false" ht="15" hidden="false" customHeight="false" outlineLevel="0" collapsed="false">
      <c r="A323" s="6" t="s">
        <v>267</v>
      </c>
      <c r="B323" s="6" t="s">
        <v>266</v>
      </c>
      <c r="C323" s="6" t="s">
        <v>264</v>
      </c>
      <c r="D323" s="6" t="s">
        <v>134</v>
      </c>
      <c r="E323" s="27" t="n">
        <v>11.24</v>
      </c>
      <c r="F323" s="27" t="n">
        <v>0</v>
      </c>
      <c r="G323" s="27" t="n">
        <v>13.4862</v>
      </c>
      <c r="H323" s="27" t="n">
        <v>0</v>
      </c>
      <c r="I323" s="27" t="n">
        <v>199.4786</v>
      </c>
    </row>
    <row r="324" customFormat="false" ht="15" hidden="false" customHeight="false" outlineLevel="0" collapsed="false">
      <c r="A324" s="6" t="s">
        <v>267</v>
      </c>
      <c r="B324" s="6" t="s">
        <v>266</v>
      </c>
      <c r="C324" s="6" t="s">
        <v>264</v>
      </c>
      <c r="D324" s="6" t="s">
        <v>138</v>
      </c>
      <c r="E324" s="27" t="n">
        <v>5.715</v>
      </c>
      <c r="F324" s="27" t="n">
        <v>0</v>
      </c>
      <c r="G324" s="27" t="n">
        <v>13.5338</v>
      </c>
      <c r="H324" s="27" t="n">
        <v>0</v>
      </c>
      <c r="I324" s="27" t="n">
        <v>125.2824</v>
      </c>
    </row>
    <row r="325" customFormat="false" ht="15" hidden="false" customHeight="false" outlineLevel="0" collapsed="false">
      <c r="A325" s="6" t="s">
        <v>267</v>
      </c>
      <c r="B325" s="6" t="s">
        <v>266</v>
      </c>
      <c r="C325" s="6" t="s">
        <v>264</v>
      </c>
      <c r="D325" s="6" t="s">
        <v>141</v>
      </c>
      <c r="E325" s="27" t="n">
        <v>1.99</v>
      </c>
      <c r="F325" s="27" t="n">
        <v>0</v>
      </c>
      <c r="G325" s="27" t="n">
        <v>13.5454</v>
      </c>
      <c r="H325" s="27" t="n">
        <v>0</v>
      </c>
      <c r="I325" s="27" t="n">
        <v>57.9277</v>
      </c>
    </row>
    <row r="326" customFormat="false" ht="15" hidden="false" customHeight="false" outlineLevel="0" collapsed="false">
      <c r="A326" s="6" t="s">
        <v>267</v>
      </c>
      <c r="B326" s="6" t="s">
        <v>266</v>
      </c>
      <c r="C326" s="6" t="s">
        <v>264</v>
      </c>
      <c r="D326" s="6" t="s">
        <v>128</v>
      </c>
      <c r="E326" s="27" t="n">
        <v>0.185</v>
      </c>
      <c r="F326" s="27" t="n">
        <v>0</v>
      </c>
      <c r="G326" s="27" t="n">
        <v>13.4661</v>
      </c>
      <c r="H326" s="27" t="n">
        <v>0</v>
      </c>
      <c r="I326" s="27" t="n">
        <v>19.412</v>
      </c>
    </row>
    <row r="327" customFormat="false" ht="15" hidden="false" customHeight="false" outlineLevel="0" collapsed="false">
      <c r="A327" s="6" t="s">
        <v>267</v>
      </c>
      <c r="B327" s="6" t="s">
        <v>266</v>
      </c>
      <c r="C327" s="6" t="s">
        <v>264</v>
      </c>
      <c r="D327" s="6" t="s">
        <v>261</v>
      </c>
      <c r="E327" s="27" t="n">
        <v>0</v>
      </c>
      <c r="F327" s="27" t="n">
        <v>0</v>
      </c>
      <c r="G327" s="27" t="n">
        <v>0</v>
      </c>
      <c r="H327" s="27" t="n">
        <v>0</v>
      </c>
      <c r="I327" s="27" t="n">
        <v>2.0905</v>
      </c>
    </row>
    <row r="328" customFormat="false" ht="15" hidden="false" customHeight="false" outlineLevel="0" collapsed="false">
      <c r="A328" s="6" t="s">
        <v>267</v>
      </c>
      <c r="B328" s="6" t="s">
        <v>266</v>
      </c>
      <c r="C328" s="6" t="s">
        <v>264</v>
      </c>
      <c r="D328" s="6" t="s">
        <v>262</v>
      </c>
      <c r="E328" s="27" t="n">
        <v>0</v>
      </c>
      <c r="F328" s="27" t="n">
        <v>0</v>
      </c>
      <c r="G328" s="27" t="n">
        <v>0</v>
      </c>
      <c r="H328" s="27" t="n">
        <v>0</v>
      </c>
      <c r="I328" s="27" t="n">
        <v>0</v>
      </c>
    </row>
    <row r="329" customFormat="false" ht="15" hidden="false" customHeight="false" outlineLevel="0" collapsed="false">
      <c r="A329" s="6" t="s">
        <v>267</v>
      </c>
      <c r="B329" s="6" t="s">
        <v>266</v>
      </c>
      <c r="C329" s="6" t="s">
        <v>265</v>
      </c>
      <c r="D329" s="6" t="s">
        <v>254</v>
      </c>
      <c r="E329" s="27" t="n">
        <v>0</v>
      </c>
      <c r="F329" s="27" t="n">
        <v>0</v>
      </c>
      <c r="G329" s="27" t="n">
        <v>0</v>
      </c>
      <c r="H329" s="27" t="n">
        <v>0</v>
      </c>
      <c r="I329" s="27" t="n">
        <v>0</v>
      </c>
    </row>
    <row r="330" customFormat="false" ht="15" hidden="false" customHeight="false" outlineLevel="0" collapsed="false">
      <c r="A330" s="6" t="s">
        <v>267</v>
      </c>
      <c r="B330" s="6" t="s">
        <v>266</v>
      </c>
      <c r="C330" s="6" t="s">
        <v>265</v>
      </c>
      <c r="D330" s="6" t="s">
        <v>255</v>
      </c>
      <c r="E330" s="27" t="n">
        <v>0</v>
      </c>
      <c r="F330" s="27" t="n">
        <v>0</v>
      </c>
      <c r="G330" s="27" t="n">
        <v>0</v>
      </c>
      <c r="H330" s="27" t="n">
        <v>0</v>
      </c>
      <c r="I330" s="27" t="n">
        <v>0</v>
      </c>
    </row>
    <row r="331" customFormat="false" ht="15" hidden="false" customHeight="false" outlineLevel="0" collapsed="false">
      <c r="A331" s="6" t="s">
        <v>267</v>
      </c>
      <c r="B331" s="6" t="s">
        <v>266</v>
      </c>
      <c r="C331" s="6" t="s">
        <v>265</v>
      </c>
      <c r="D331" s="6" t="s">
        <v>256</v>
      </c>
      <c r="E331" s="27" t="n">
        <v>0</v>
      </c>
      <c r="F331" s="27" t="n">
        <v>0</v>
      </c>
      <c r="G331" s="27" t="n">
        <v>0</v>
      </c>
      <c r="H331" s="27" t="n">
        <v>0</v>
      </c>
      <c r="I331" s="27" t="n">
        <v>0</v>
      </c>
    </row>
    <row r="332" customFormat="false" ht="15" hidden="false" customHeight="false" outlineLevel="0" collapsed="false">
      <c r="A332" s="6" t="s">
        <v>267</v>
      </c>
      <c r="B332" s="6" t="s">
        <v>266</v>
      </c>
      <c r="C332" s="6" t="s">
        <v>265</v>
      </c>
      <c r="D332" s="6" t="s">
        <v>124</v>
      </c>
      <c r="E332" s="27" t="n">
        <v>0</v>
      </c>
      <c r="F332" s="27" t="n">
        <v>0</v>
      </c>
      <c r="G332" s="27" t="n">
        <v>0</v>
      </c>
      <c r="H332" s="27" t="n">
        <v>0</v>
      </c>
      <c r="I332" s="27" t="n">
        <v>0</v>
      </c>
    </row>
    <row r="333" customFormat="false" ht="15" hidden="false" customHeight="false" outlineLevel="0" collapsed="false">
      <c r="A333" s="6" t="s">
        <v>267</v>
      </c>
      <c r="B333" s="6" t="s">
        <v>266</v>
      </c>
      <c r="C333" s="6" t="s">
        <v>265</v>
      </c>
      <c r="D333" s="6" t="s">
        <v>257</v>
      </c>
      <c r="E333" s="27" t="n">
        <v>1.815</v>
      </c>
      <c r="F333" s="27" t="n">
        <v>0</v>
      </c>
      <c r="G333" s="27" t="n">
        <v>1.4809</v>
      </c>
      <c r="H333" s="27" t="n">
        <v>0</v>
      </c>
      <c r="I333" s="27" t="n">
        <v>2.2429</v>
      </c>
    </row>
    <row r="334" customFormat="false" ht="15" hidden="false" customHeight="false" outlineLevel="0" collapsed="false">
      <c r="A334" s="6" t="s">
        <v>267</v>
      </c>
      <c r="B334" s="6" t="s">
        <v>266</v>
      </c>
      <c r="C334" s="6" t="s">
        <v>265</v>
      </c>
      <c r="D334" s="6" t="s">
        <v>258</v>
      </c>
      <c r="E334" s="27" t="n">
        <v>4.34</v>
      </c>
      <c r="F334" s="27" t="n">
        <v>0</v>
      </c>
      <c r="G334" s="27" t="n">
        <v>1.4953</v>
      </c>
      <c r="H334" s="27" t="n">
        <v>0</v>
      </c>
      <c r="I334" s="27" t="n">
        <v>6.3819</v>
      </c>
    </row>
    <row r="335" customFormat="false" ht="15" hidden="false" customHeight="false" outlineLevel="0" collapsed="false">
      <c r="A335" s="6" t="s">
        <v>267</v>
      </c>
      <c r="B335" s="6" t="s">
        <v>266</v>
      </c>
      <c r="C335" s="6" t="s">
        <v>265</v>
      </c>
      <c r="D335" s="6" t="s">
        <v>133</v>
      </c>
      <c r="E335" s="27" t="n">
        <v>4.855</v>
      </c>
      <c r="F335" s="27" t="n">
        <v>0</v>
      </c>
      <c r="G335" s="27" t="n">
        <v>1.5151</v>
      </c>
      <c r="H335" s="27" t="n">
        <v>0</v>
      </c>
      <c r="I335" s="27" t="n">
        <v>7.2875</v>
      </c>
    </row>
    <row r="336" customFormat="false" ht="15" hidden="false" customHeight="false" outlineLevel="0" collapsed="false">
      <c r="A336" s="6" t="s">
        <v>267</v>
      </c>
      <c r="B336" s="6" t="s">
        <v>266</v>
      </c>
      <c r="C336" s="6" t="s">
        <v>265</v>
      </c>
      <c r="D336" s="6" t="s">
        <v>137</v>
      </c>
      <c r="E336" s="27" t="n">
        <v>5.725</v>
      </c>
      <c r="F336" s="27" t="n">
        <v>0</v>
      </c>
      <c r="G336" s="27" t="n">
        <v>1.5032</v>
      </c>
      <c r="H336" s="27" t="n">
        <v>0</v>
      </c>
      <c r="I336" s="27" t="n">
        <v>8.4041</v>
      </c>
    </row>
    <row r="337" customFormat="false" ht="15" hidden="false" customHeight="false" outlineLevel="0" collapsed="false">
      <c r="A337" s="6" t="s">
        <v>267</v>
      </c>
      <c r="B337" s="6" t="s">
        <v>266</v>
      </c>
      <c r="C337" s="6" t="s">
        <v>265</v>
      </c>
      <c r="D337" s="6" t="s">
        <v>140</v>
      </c>
      <c r="E337" s="27" t="n">
        <v>7.73</v>
      </c>
      <c r="F337" s="27" t="n">
        <v>0</v>
      </c>
      <c r="G337" s="27" t="n">
        <v>1.4978</v>
      </c>
      <c r="H337" s="27" t="n">
        <v>0</v>
      </c>
      <c r="I337" s="27" t="n">
        <v>11.4089</v>
      </c>
    </row>
    <row r="338" customFormat="false" ht="15" hidden="false" customHeight="false" outlineLevel="0" collapsed="false">
      <c r="A338" s="6" t="s">
        <v>267</v>
      </c>
      <c r="B338" s="6" t="s">
        <v>266</v>
      </c>
      <c r="C338" s="6" t="s">
        <v>265</v>
      </c>
      <c r="D338" s="6" t="s">
        <v>125</v>
      </c>
      <c r="E338" s="27" t="n">
        <v>6.6</v>
      </c>
      <c r="F338" s="27" t="n">
        <v>0</v>
      </c>
      <c r="G338" s="27" t="n">
        <v>1.4928</v>
      </c>
      <c r="H338" s="27" t="n">
        <v>0</v>
      </c>
      <c r="I338" s="27" t="n">
        <v>10.0359</v>
      </c>
    </row>
    <row r="339" customFormat="false" ht="15" hidden="false" customHeight="false" outlineLevel="0" collapsed="false">
      <c r="A339" s="6" t="s">
        <v>267</v>
      </c>
      <c r="B339" s="6" t="s">
        <v>266</v>
      </c>
      <c r="C339" s="6" t="s">
        <v>265</v>
      </c>
      <c r="D339" s="6" t="s">
        <v>259</v>
      </c>
      <c r="E339" s="27" t="n">
        <v>4.81</v>
      </c>
      <c r="F339" s="27" t="n">
        <v>0</v>
      </c>
      <c r="G339" s="27" t="n">
        <v>1.5056</v>
      </c>
      <c r="H339" s="27" t="n">
        <v>0</v>
      </c>
      <c r="I339" s="27" t="n">
        <v>7.5369</v>
      </c>
    </row>
    <row r="340" customFormat="false" ht="15" hidden="false" customHeight="false" outlineLevel="0" collapsed="false">
      <c r="A340" s="6" t="s">
        <v>267</v>
      </c>
      <c r="B340" s="6" t="s">
        <v>266</v>
      </c>
      <c r="C340" s="6" t="s">
        <v>265</v>
      </c>
      <c r="D340" s="6" t="s">
        <v>260</v>
      </c>
      <c r="E340" s="27" t="n">
        <v>11.74</v>
      </c>
      <c r="F340" s="27" t="n">
        <v>0</v>
      </c>
      <c r="G340" s="27" t="n">
        <v>1.4948</v>
      </c>
      <c r="H340" s="27" t="n">
        <v>0</v>
      </c>
      <c r="I340" s="27" t="n">
        <v>16.2455</v>
      </c>
    </row>
    <row r="341" customFormat="false" ht="15" hidden="false" customHeight="false" outlineLevel="0" collapsed="false">
      <c r="A341" s="6" t="s">
        <v>267</v>
      </c>
      <c r="B341" s="6" t="s">
        <v>266</v>
      </c>
      <c r="C341" s="6" t="s">
        <v>265</v>
      </c>
      <c r="D341" s="6" t="s">
        <v>134</v>
      </c>
      <c r="E341" s="27" t="n">
        <v>16.3</v>
      </c>
      <c r="F341" s="27" t="n">
        <v>0</v>
      </c>
      <c r="G341" s="27" t="n">
        <v>1.503</v>
      </c>
      <c r="H341" s="27" t="n">
        <v>0</v>
      </c>
      <c r="I341" s="27" t="n">
        <v>24.3855</v>
      </c>
    </row>
    <row r="342" customFormat="false" ht="15" hidden="false" customHeight="false" outlineLevel="0" collapsed="false">
      <c r="A342" s="6" t="s">
        <v>267</v>
      </c>
      <c r="B342" s="6" t="s">
        <v>266</v>
      </c>
      <c r="C342" s="6" t="s">
        <v>265</v>
      </c>
      <c r="D342" s="6" t="s">
        <v>138</v>
      </c>
      <c r="E342" s="27" t="n">
        <v>13.725</v>
      </c>
      <c r="F342" s="27" t="n">
        <v>0</v>
      </c>
      <c r="G342" s="27" t="n">
        <v>1.4924</v>
      </c>
      <c r="H342" s="27" t="n">
        <v>0</v>
      </c>
      <c r="I342" s="27" t="n">
        <v>21.1675</v>
      </c>
    </row>
    <row r="343" customFormat="false" ht="15" hidden="false" customHeight="false" outlineLevel="0" collapsed="false">
      <c r="A343" s="6" t="s">
        <v>267</v>
      </c>
      <c r="B343" s="6" t="s">
        <v>266</v>
      </c>
      <c r="C343" s="6" t="s">
        <v>265</v>
      </c>
      <c r="D343" s="6" t="s">
        <v>141</v>
      </c>
      <c r="E343" s="27" t="n">
        <v>7.255</v>
      </c>
      <c r="F343" s="27" t="n">
        <v>0</v>
      </c>
      <c r="G343" s="27" t="n">
        <v>1.5121</v>
      </c>
      <c r="H343" s="27" t="n">
        <v>0</v>
      </c>
      <c r="I343" s="27" t="n">
        <v>11.4644</v>
      </c>
    </row>
    <row r="344" customFormat="false" ht="15" hidden="false" customHeight="false" outlineLevel="0" collapsed="false">
      <c r="A344" s="6" t="s">
        <v>267</v>
      </c>
      <c r="B344" s="6" t="s">
        <v>266</v>
      </c>
      <c r="C344" s="6" t="s">
        <v>265</v>
      </c>
      <c r="D344" s="6" t="s">
        <v>128</v>
      </c>
      <c r="E344" s="27" t="n">
        <v>2.685</v>
      </c>
      <c r="F344" s="27" t="n">
        <v>0</v>
      </c>
      <c r="G344" s="27" t="n">
        <v>1.4882</v>
      </c>
      <c r="H344" s="27" t="n">
        <v>0</v>
      </c>
      <c r="I344" s="27" t="n">
        <v>4.583</v>
      </c>
    </row>
    <row r="345" customFormat="false" ht="15" hidden="false" customHeight="false" outlineLevel="0" collapsed="false">
      <c r="A345" s="6" t="s">
        <v>267</v>
      </c>
      <c r="B345" s="6" t="s">
        <v>266</v>
      </c>
      <c r="C345" s="6" t="s">
        <v>265</v>
      </c>
      <c r="D345" s="6" t="s">
        <v>261</v>
      </c>
      <c r="E345" s="27" t="n">
        <v>0.89</v>
      </c>
      <c r="F345" s="27" t="n">
        <v>0</v>
      </c>
      <c r="G345" s="27" t="n">
        <v>1.4732</v>
      </c>
      <c r="H345" s="27" t="n">
        <v>0</v>
      </c>
      <c r="I345" s="27" t="n">
        <v>1.4757</v>
      </c>
    </row>
    <row r="346" customFormat="false" ht="15" hidden="false" customHeight="false" outlineLevel="0" collapsed="false">
      <c r="A346" s="6" t="s">
        <v>267</v>
      </c>
      <c r="B346" s="6" t="s">
        <v>266</v>
      </c>
      <c r="C346" s="6" t="s">
        <v>265</v>
      </c>
      <c r="D346" s="6" t="s">
        <v>262</v>
      </c>
      <c r="E346" s="27" t="n">
        <v>0</v>
      </c>
      <c r="F346" s="27" t="n">
        <v>0</v>
      </c>
      <c r="G346" s="27" t="n">
        <v>0</v>
      </c>
      <c r="H346" s="27" t="n">
        <v>0</v>
      </c>
      <c r="I346" s="27" t="n">
        <v>0</v>
      </c>
    </row>
    <row r="347" customFormat="false" ht="15" hidden="false" customHeight="false" outlineLevel="0" collapsed="false">
      <c r="A347" s="6" t="s">
        <v>267</v>
      </c>
      <c r="B347" s="6" t="s">
        <v>266</v>
      </c>
      <c r="C347" s="6" t="s">
        <v>238</v>
      </c>
      <c r="D347" s="6" t="s">
        <v>254</v>
      </c>
      <c r="E347" s="27" t="n">
        <v>0</v>
      </c>
      <c r="F347" s="27" t="n">
        <v>0</v>
      </c>
      <c r="G347" s="27" t="n">
        <v>0</v>
      </c>
      <c r="H347" s="27" t="n">
        <v>0</v>
      </c>
      <c r="I347" s="27" t="n">
        <v>0</v>
      </c>
    </row>
    <row r="348" customFormat="false" ht="15" hidden="false" customHeight="false" outlineLevel="0" collapsed="false">
      <c r="A348" s="6" t="s">
        <v>267</v>
      </c>
      <c r="B348" s="6" t="s">
        <v>266</v>
      </c>
      <c r="C348" s="6" t="s">
        <v>238</v>
      </c>
      <c r="D348" s="6" t="s">
        <v>255</v>
      </c>
      <c r="E348" s="27" t="n">
        <v>0</v>
      </c>
      <c r="F348" s="27" t="n">
        <v>0</v>
      </c>
      <c r="G348" s="27" t="n">
        <v>0</v>
      </c>
      <c r="H348" s="27" t="n">
        <v>0</v>
      </c>
      <c r="I348" s="27" t="n">
        <v>0</v>
      </c>
    </row>
    <row r="349" customFormat="false" ht="15" hidden="false" customHeight="false" outlineLevel="0" collapsed="false">
      <c r="A349" s="6" t="s">
        <v>267</v>
      </c>
      <c r="B349" s="6" t="s">
        <v>266</v>
      </c>
      <c r="C349" s="6" t="s">
        <v>238</v>
      </c>
      <c r="D349" s="6" t="s">
        <v>256</v>
      </c>
      <c r="E349" s="27" t="n">
        <v>0</v>
      </c>
      <c r="F349" s="27" t="n">
        <v>0</v>
      </c>
      <c r="G349" s="27" t="n">
        <v>0</v>
      </c>
      <c r="H349" s="27" t="n">
        <v>0</v>
      </c>
      <c r="I349" s="27" t="n">
        <v>0</v>
      </c>
    </row>
    <row r="350" customFormat="false" ht="15" hidden="false" customHeight="false" outlineLevel="0" collapsed="false">
      <c r="A350" s="6" t="s">
        <v>267</v>
      </c>
      <c r="B350" s="6" t="s">
        <v>266</v>
      </c>
      <c r="C350" s="6" t="s">
        <v>238</v>
      </c>
      <c r="D350" s="6" t="s">
        <v>124</v>
      </c>
      <c r="E350" s="27" t="n">
        <v>3.88</v>
      </c>
      <c r="F350" s="27" t="n">
        <v>0</v>
      </c>
      <c r="G350" s="27" t="n">
        <v>16.5294</v>
      </c>
      <c r="H350" s="27" t="n">
        <v>0</v>
      </c>
      <c r="I350" s="27" t="n">
        <v>18.9765</v>
      </c>
    </row>
    <row r="351" customFormat="false" ht="15" hidden="false" customHeight="false" outlineLevel="0" collapsed="false">
      <c r="A351" s="6" t="s">
        <v>267</v>
      </c>
      <c r="B351" s="6" t="s">
        <v>266</v>
      </c>
      <c r="C351" s="6" t="s">
        <v>238</v>
      </c>
      <c r="D351" s="6" t="s">
        <v>257</v>
      </c>
      <c r="E351" s="27" t="n">
        <v>4.64</v>
      </c>
      <c r="F351" s="27" t="n">
        <v>0</v>
      </c>
      <c r="G351" s="27" t="n">
        <v>16.5845</v>
      </c>
      <c r="H351" s="27" t="n">
        <v>0</v>
      </c>
      <c r="I351" s="27" t="n">
        <v>59.7213</v>
      </c>
    </row>
    <row r="352" customFormat="false" ht="15" hidden="false" customHeight="false" outlineLevel="0" collapsed="false">
      <c r="A352" s="6" t="s">
        <v>267</v>
      </c>
      <c r="B352" s="6" t="s">
        <v>266</v>
      </c>
      <c r="C352" s="6" t="s">
        <v>238</v>
      </c>
      <c r="D352" s="6" t="s">
        <v>258</v>
      </c>
      <c r="E352" s="27" t="n">
        <v>4.99</v>
      </c>
      <c r="F352" s="27" t="n">
        <v>0</v>
      </c>
      <c r="G352" s="27" t="n">
        <v>16.5805</v>
      </c>
      <c r="H352" s="27" t="n">
        <v>0</v>
      </c>
      <c r="I352" s="27" t="n">
        <v>77.4179</v>
      </c>
    </row>
    <row r="353" customFormat="false" ht="15" hidden="false" customHeight="false" outlineLevel="0" collapsed="false">
      <c r="A353" s="6" t="s">
        <v>267</v>
      </c>
      <c r="B353" s="6" t="s">
        <v>266</v>
      </c>
      <c r="C353" s="6" t="s">
        <v>238</v>
      </c>
      <c r="D353" s="6" t="s">
        <v>133</v>
      </c>
      <c r="E353" s="27" t="n">
        <v>7.035</v>
      </c>
      <c r="F353" s="27" t="n">
        <v>0</v>
      </c>
      <c r="G353" s="27" t="n">
        <v>16.6073</v>
      </c>
      <c r="H353" s="27" t="n">
        <v>0</v>
      </c>
      <c r="I353" s="27" t="n">
        <v>91.5388</v>
      </c>
    </row>
    <row r="354" customFormat="false" ht="15" hidden="false" customHeight="false" outlineLevel="0" collapsed="false">
      <c r="A354" s="6" t="s">
        <v>267</v>
      </c>
      <c r="B354" s="6" t="s">
        <v>266</v>
      </c>
      <c r="C354" s="6" t="s">
        <v>238</v>
      </c>
      <c r="D354" s="6" t="s">
        <v>137</v>
      </c>
      <c r="E354" s="27" t="n">
        <v>7.255</v>
      </c>
      <c r="F354" s="27" t="n">
        <v>0</v>
      </c>
      <c r="G354" s="27" t="n">
        <v>16.5891</v>
      </c>
      <c r="H354" s="27" t="n">
        <v>0</v>
      </c>
      <c r="I354" s="27" t="n">
        <v>115.9024</v>
      </c>
    </row>
    <row r="355" customFormat="false" ht="15" hidden="false" customHeight="false" outlineLevel="0" collapsed="false">
      <c r="A355" s="6" t="s">
        <v>267</v>
      </c>
      <c r="B355" s="6" t="s">
        <v>266</v>
      </c>
      <c r="C355" s="6" t="s">
        <v>238</v>
      </c>
      <c r="D355" s="6" t="s">
        <v>140</v>
      </c>
      <c r="E355" s="27" t="n">
        <v>5.845</v>
      </c>
      <c r="F355" s="27" t="n">
        <v>0</v>
      </c>
      <c r="G355" s="27" t="n">
        <v>16.583</v>
      </c>
      <c r="H355" s="27" t="n">
        <v>0</v>
      </c>
      <c r="I355" s="27" t="n">
        <v>115.0704</v>
      </c>
    </row>
    <row r="356" customFormat="false" ht="15" hidden="false" customHeight="false" outlineLevel="0" collapsed="false">
      <c r="A356" s="6" t="s">
        <v>267</v>
      </c>
      <c r="B356" s="6" t="s">
        <v>266</v>
      </c>
      <c r="C356" s="6" t="s">
        <v>238</v>
      </c>
      <c r="D356" s="6" t="s">
        <v>125</v>
      </c>
      <c r="E356" s="27" t="n">
        <v>6.595</v>
      </c>
      <c r="F356" s="27" t="n">
        <v>0</v>
      </c>
      <c r="G356" s="27" t="n">
        <v>16.6047</v>
      </c>
      <c r="H356" s="27" t="n">
        <v>0</v>
      </c>
      <c r="I356" s="27" t="n">
        <v>93.9624</v>
      </c>
    </row>
    <row r="357" customFormat="false" ht="15" hidden="false" customHeight="false" outlineLevel="0" collapsed="false">
      <c r="A357" s="6" t="s">
        <v>267</v>
      </c>
      <c r="B357" s="6" t="s">
        <v>266</v>
      </c>
      <c r="C357" s="6" t="s">
        <v>238</v>
      </c>
      <c r="D357" s="6" t="s">
        <v>259</v>
      </c>
      <c r="E357" s="27" t="n">
        <v>15.66</v>
      </c>
      <c r="F357" s="27" t="n">
        <v>0</v>
      </c>
      <c r="G357" s="27" t="n">
        <v>16.6986</v>
      </c>
      <c r="H357" s="27" t="n">
        <v>0</v>
      </c>
      <c r="I357" s="27" t="n">
        <v>152.59</v>
      </c>
    </row>
    <row r="358" customFormat="false" ht="15" hidden="false" customHeight="false" outlineLevel="0" collapsed="false">
      <c r="A358" s="6" t="s">
        <v>267</v>
      </c>
      <c r="B358" s="6" t="s">
        <v>266</v>
      </c>
      <c r="C358" s="6" t="s">
        <v>238</v>
      </c>
      <c r="D358" s="6" t="s">
        <v>260</v>
      </c>
      <c r="E358" s="27" t="n">
        <v>16.08</v>
      </c>
      <c r="F358" s="27" t="n">
        <v>0</v>
      </c>
      <c r="G358" s="27" t="n">
        <v>16.7075</v>
      </c>
      <c r="H358" s="27" t="n">
        <v>0</v>
      </c>
      <c r="I358" s="27" t="n">
        <v>250.2996</v>
      </c>
    </row>
    <row r="359" customFormat="false" ht="15" hidden="false" customHeight="false" outlineLevel="0" collapsed="false">
      <c r="A359" s="6" t="s">
        <v>267</v>
      </c>
      <c r="B359" s="6" t="s">
        <v>266</v>
      </c>
      <c r="C359" s="6" t="s">
        <v>238</v>
      </c>
      <c r="D359" s="6" t="s">
        <v>134</v>
      </c>
      <c r="E359" s="27" t="n">
        <v>9.655</v>
      </c>
      <c r="F359" s="27" t="n">
        <v>0</v>
      </c>
      <c r="G359" s="27" t="n">
        <v>16.6488</v>
      </c>
      <c r="H359" s="27" t="n">
        <v>0</v>
      </c>
      <c r="I359" s="27" t="n">
        <v>241.2576</v>
      </c>
    </row>
    <row r="360" customFormat="false" ht="15" hidden="false" customHeight="false" outlineLevel="0" collapsed="false">
      <c r="A360" s="6" t="s">
        <v>267</v>
      </c>
      <c r="B360" s="6" t="s">
        <v>266</v>
      </c>
      <c r="C360" s="6" t="s">
        <v>238</v>
      </c>
      <c r="D360" s="6" t="s">
        <v>138</v>
      </c>
      <c r="E360" s="27" t="n">
        <v>5.01</v>
      </c>
      <c r="F360" s="27" t="n">
        <v>0</v>
      </c>
      <c r="G360" s="27" t="n">
        <v>16.5904</v>
      </c>
      <c r="H360" s="27" t="n">
        <v>0</v>
      </c>
      <c r="I360" s="27" t="n">
        <v>154.898</v>
      </c>
    </row>
    <row r="361" customFormat="false" ht="15" hidden="false" customHeight="false" outlineLevel="0" collapsed="false">
      <c r="A361" s="6" t="s">
        <v>267</v>
      </c>
      <c r="B361" s="6" t="s">
        <v>266</v>
      </c>
      <c r="C361" s="6" t="s">
        <v>238</v>
      </c>
      <c r="D361" s="6" t="s">
        <v>141</v>
      </c>
      <c r="E361" s="27" t="n">
        <v>1.825</v>
      </c>
      <c r="F361" s="27" t="n">
        <v>0</v>
      </c>
      <c r="G361" s="27" t="n">
        <v>16.5626</v>
      </c>
      <c r="H361" s="27" t="n">
        <v>0</v>
      </c>
      <c r="I361" s="27" t="n">
        <v>72.3543</v>
      </c>
    </row>
    <row r="362" customFormat="false" ht="15" hidden="false" customHeight="false" outlineLevel="0" collapsed="false">
      <c r="A362" s="6" t="s">
        <v>267</v>
      </c>
      <c r="B362" s="6" t="s">
        <v>266</v>
      </c>
      <c r="C362" s="6" t="s">
        <v>238</v>
      </c>
      <c r="D362" s="6" t="s">
        <v>128</v>
      </c>
      <c r="E362" s="27" t="n">
        <v>0</v>
      </c>
      <c r="F362" s="27" t="n">
        <v>0</v>
      </c>
      <c r="G362" s="27" t="n">
        <v>0</v>
      </c>
      <c r="H362" s="27" t="n">
        <v>0</v>
      </c>
      <c r="I362" s="27" t="n">
        <v>24.1343</v>
      </c>
    </row>
    <row r="363" customFormat="false" ht="15" hidden="false" customHeight="false" outlineLevel="0" collapsed="false">
      <c r="A363" s="6" t="s">
        <v>267</v>
      </c>
      <c r="B363" s="6" t="s">
        <v>266</v>
      </c>
      <c r="C363" s="6" t="s">
        <v>238</v>
      </c>
      <c r="D363" s="6" t="s">
        <v>261</v>
      </c>
      <c r="E363" s="27" t="n">
        <v>0</v>
      </c>
      <c r="F363" s="27" t="n">
        <v>0</v>
      </c>
      <c r="G363" s="27" t="n">
        <v>0</v>
      </c>
      <c r="H363" s="27" t="n">
        <v>0</v>
      </c>
      <c r="I363" s="27" t="n">
        <v>3.5662</v>
      </c>
    </row>
    <row r="364" customFormat="false" ht="15" hidden="false" customHeight="false" outlineLevel="0" collapsed="false">
      <c r="A364" s="6" t="s">
        <v>267</v>
      </c>
      <c r="B364" s="6" t="s">
        <v>266</v>
      </c>
      <c r="C364" s="6" t="s">
        <v>238</v>
      </c>
      <c r="D364" s="6" t="s">
        <v>262</v>
      </c>
      <c r="E364" s="27" t="n">
        <v>0</v>
      </c>
      <c r="F364" s="27" t="n">
        <v>0</v>
      </c>
      <c r="G364" s="27" t="n">
        <v>0</v>
      </c>
      <c r="H364" s="27" t="n">
        <v>0</v>
      </c>
      <c r="I364" s="27" t="n">
        <v>0</v>
      </c>
    </row>
    <row r="366" customFormat="false" ht="15" hidden="false" customHeight="false" outlineLevel="0" collapsed="false">
      <c r="A366" s="4" t="s">
        <v>268</v>
      </c>
    </row>
    <row r="367" customFormat="false" ht="30" hidden="false" customHeight="true" outlineLevel="0" collapsed="false">
      <c r="A367" s="16" t="s">
        <v>243</v>
      </c>
      <c r="B367" s="16" t="s">
        <v>244</v>
      </c>
      <c r="C367" s="16" t="s">
        <v>269</v>
      </c>
      <c r="D367" s="16" t="s">
        <v>270</v>
      </c>
      <c r="E367" s="16" t="s">
        <v>271</v>
      </c>
    </row>
    <row r="368" customFormat="false" ht="15" hidden="false" customHeight="false" outlineLevel="0" collapsed="false">
      <c r="A368" s="6" t="s">
        <v>251</v>
      </c>
      <c r="B368" s="6" t="s">
        <v>252</v>
      </c>
      <c r="C368" s="28" t="n">
        <v>2359.3</v>
      </c>
      <c r="D368" s="28" t="n">
        <v>289.9</v>
      </c>
      <c r="E368" s="29" t="n">
        <v>2.27</v>
      </c>
    </row>
    <row r="369" customFormat="false" ht="15" hidden="false" customHeight="false" outlineLevel="0" collapsed="false">
      <c r="A369" s="6" t="s">
        <v>251</v>
      </c>
      <c r="B369" s="6" t="s">
        <v>266</v>
      </c>
      <c r="C369" s="28" t="n">
        <v>598.6</v>
      </c>
      <c r="D369" s="28" t="n">
        <v>110.5</v>
      </c>
      <c r="E369" s="29" t="n">
        <v>0</v>
      </c>
    </row>
    <row r="370" customFormat="false" ht="15" hidden="false" customHeight="false" outlineLevel="0" collapsed="false">
      <c r="A370" s="6" t="s">
        <v>267</v>
      </c>
      <c r="B370" s="6" t="s">
        <v>252</v>
      </c>
      <c r="C370" s="28" t="n">
        <v>2073.2</v>
      </c>
      <c r="D370" s="28" t="n">
        <v>284.8</v>
      </c>
      <c r="E370" s="29" t="n">
        <v>3.18</v>
      </c>
    </row>
    <row r="371" customFormat="false" ht="15" hidden="false" customHeight="false" outlineLevel="0" collapsed="false">
      <c r="A371" s="6" t="s">
        <v>267</v>
      </c>
      <c r="B371" s="6" t="s">
        <v>266</v>
      </c>
      <c r="C371" s="28" t="n">
        <v>884.7</v>
      </c>
      <c r="D371" s="28" t="n">
        <v>226.6</v>
      </c>
      <c r="E371" s="29" t="n">
        <v>0</v>
      </c>
    </row>
  </sheetData>
  <autoFilter ref="A4:I36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2" topLeftCell="D13" activePane="bottomRight" state="frozen"/>
      <selection pane="topLeft" activeCell="A1" activeCellId="0" sqref="A1"/>
      <selection pane="topRight" activeCell="D1" activeCellId="0" sqref="D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2"/>
    <col collapsed="false" customWidth="true" hidden="false" outlineLevel="0" max="3" min="3" style="0" width="8"/>
    <col collapsed="false" customWidth="true" hidden="false" outlineLevel="0" max="4" min="4" style="0" width="11"/>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0"/>
    <col collapsed="false" customWidth="true" hidden="false" outlineLevel="0" max="9" min="9" style="0" width="26"/>
    <col collapsed="false" customWidth="true" hidden="false" outlineLevel="0" max="14" min="10" style="0" width="12"/>
    <col collapsed="false" customWidth="true" hidden="false" outlineLevel="0" max="15" min="15" style="0" width="13"/>
    <col collapsed="false" customWidth="true" hidden="false" outlineLevel="0" max="16" min="16" style="0" width="26"/>
  </cols>
  <sheetData>
    <row r="1" customFormat="false" ht="17.35" hidden="false" customHeight="false" outlineLevel="0" collapsed="false">
      <c r="A1" s="1" t="s">
        <v>272</v>
      </c>
      <c r="B1" s="2"/>
      <c r="C1" s="2"/>
      <c r="D1" s="2"/>
      <c r="E1" s="2"/>
      <c r="F1" s="2"/>
      <c r="G1" s="2"/>
      <c r="H1" s="2"/>
      <c r="I1" s="2"/>
      <c r="J1" s="2"/>
      <c r="K1" s="2"/>
      <c r="L1" s="2"/>
      <c r="M1" s="2"/>
      <c r="N1" s="2"/>
      <c r="O1" s="2"/>
      <c r="P1" s="2"/>
    </row>
    <row r="2" customFormat="false" ht="15" hidden="false" customHeight="false" outlineLevel="0" collapsed="false">
      <c r="A2" s="15" t="s">
        <v>273</v>
      </c>
    </row>
    <row r="4" customFormat="false" ht="43.5" hidden="false" customHeight="true" outlineLevel="0" collapsed="false">
      <c r="A4" s="16" t="s">
        <v>243</v>
      </c>
      <c r="B4" s="16" t="s">
        <v>244</v>
      </c>
      <c r="C4" s="16" t="s">
        <v>274</v>
      </c>
      <c r="D4" s="16" t="s">
        <v>275</v>
      </c>
      <c r="E4" s="16" t="s">
        <v>276</v>
      </c>
      <c r="F4" s="16" t="s">
        <v>277</v>
      </c>
      <c r="G4" s="16" t="s">
        <v>278</v>
      </c>
      <c r="I4" s="30" t="s">
        <v>279</v>
      </c>
      <c r="J4" s="30"/>
      <c r="K4" s="30"/>
      <c r="L4" s="30"/>
      <c r="M4" s="30"/>
      <c r="N4" s="30"/>
      <c r="O4" s="30"/>
      <c r="P4" s="30"/>
    </row>
    <row r="5" customFormat="false" ht="21.75" hidden="false" customHeight="true" outlineLevel="0" collapsed="false">
      <c r="A5" s="6" t="s">
        <v>251</v>
      </c>
      <c r="B5" s="6" t="s">
        <v>252</v>
      </c>
      <c r="C5" s="31" t="n">
        <f aca="false">_xlfn.MAXIFS(H13:H84,A13:A84,"Today (no screens)",B13:B84,"Central CT")</f>
        <v>0.987304</v>
      </c>
      <c r="D5" s="32" t="n">
        <f aca="false">COUNTIFS(A13:A84,"Today (no screens)",B13:B84,"Central CT",H13:H84,"&gt;=1")</f>
        <v>0</v>
      </c>
      <c r="E5" s="33" t="n">
        <f aca="false">COUNTIFS(A13:A84,"Today (no screens)",B13:B84,"Central CT",H13:H84,"&gt;=0.85",H13:H84,"&lt;1")</f>
        <v>2</v>
      </c>
      <c r="F5" s="34" t="n">
        <f aca="false">_xlfn.MAXIFS(L13:L84,A13:A84,"Today (no screens)",B13:B84,"Central CT")</f>
        <v>0.3354</v>
      </c>
      <c r="G5" s="34" t="n">
        <f aca="false">SUMPRODUCT((A13:A84="Today (no screens)")*(B13:B84="Central CT")*L13:L84*D13:D84)/SUMPRODUCT((A13:A84="Today (no screens)")*(B13:B84="Central CT")*D13:D84)</f>
        <v>0.11275418980206</v>
      </c>
      <c r="I5" s="30"/>
      <c r="J5" s="30"/>
      <c r="K5" s="30"/>
      <c r="L5" s="30"/>
      <c r="M5" s="30"/>
      <c r="N5" s="30"/>
      <c r="O5" s="30"/>
      <c r="P5" s="30"/>
    </row>
    <row r="6" customFormat="false" ht="21.75" hidden="false" customHeight="true" outlineLevel="0" collapsed="false">
      <c r="A6" s="6" t="s">
        <v>251</v>
      </c>
      <c r="B6" s="6" t="s">
        <v>266</v>
      </c>
      <c r="C6" s="31" t="n">
        <f aca="false">_xlfn.MAXIFS(H13:H84,A13:A84,"Today (no screens)",B13:B84,"Munch Mess")</f>
        <v>0.2475855</v>
      </c>
      <c r="D6" s="32" t="n">
        <f aca="false">COUNTIFS(A13:A84,"Today (no screens)",B13:B84,"Munch Mess",H13:H84,"&gt;=1")</f>
        <v>0</v>
      </c>
      <c r="E6" s="33" t="n">
        <f aca="false">COUNTIFS(A13:A84,"Today (no screens)",B13:B84,"Munch Mess",H13:H84,"&gt;=0.85",H13:H84,"&lt;1")</f>
        <v>0</v>
      </c>
      <c r="F6" s="34" t="n">
        <f aca="false">_xlfn.MAXIFS(L13:L84,A13:A84,"Today (no screens)",B13:B84,"Munch Mess")</f>
        <v>0.0068</v>
      </c>
      <c r="G6" s="34" t="n">
        <f aca="false">SUMPRODUCT((A13:A84="Today (no screens)")*(B13:B84="Munch Mess")*L13:L84*D13:D84)/SUMPRODUCT((A13:A84="Today (no screens)")*(B13:B84="Munch Mess")*D13:D84)</f>
        <v>0.00423592249227428</v>
      </c>
      <c r="I6" s="30"/>
      <c r="J6" s="30"/>
      <c r="K6" s="30"/>
      <c r="L6" s="30"/>
      <c r="M6" s="30"/>
      <c r="N6" s="30"/>
      <c r="O6" s="30"/>
      <c r="P6" s="30"/>
    </row>
    <row r="7" customFormat="false" ht="21.75" hidden="false" customHeight="true" outlineLevel="0" collapsed="false">
      <c r="A7" s="6" t="s">
        <v>267</v>
      </c>
      <c r="B7" s="6" t="s">
        <v>252</v>
      </c>
      <c r="C7" s="31" t="n">
        <f aca="false">_xlfn.MAXIFS(H13:H84,A13:A84,"With Smart Scan screens",B13:B84,"Central CT")</f>
        <v>0.7214225</v>
      </c>
      <c r="D7" s="32" t="n">
        <f aca="false">COUNTIFS(A13:A84,"With Smart Scan screens",B13:B84,"Central CT",H13:H84,"&gt;=1")</f>
        <v>0</v>
      </c>
      <c r="E7" s="33" t="n">
        <f aca="false">COUNTIFS(A13:A84,"With Smart Scan screens",B13:B84,"Central CT",H13:H84,"&gt;=0.85",H13:H84,"&lt;1")</f>
        <v>0</v>
      </c>
      <c r="F7" s="34" t="n">
        <f aca="false">_xlfn.MAXIFS(L13:L84,A13:A84,"With Smart Scan screens",B13:B84,"Central CT")</f>
        <v>0.0707</v>
      </c>
      <c r="G7" s="34" t="n">
        <f aca="false">SUMPRODUCT((A13:A84="With Smart Scan screens")*(B13:B84="Central CT")*L13:L84*D13:D84)/SUMPRODUCT((A13:A84="With Smart Scan screens")*(B13:B84="Central CT")*D13:D84)</f>
        <v>0.0408264029904739</v>
      </c>
      <c r="I7" s="30"/>
      <c r="J7" s="30"/>
      <c r="K7" s="30"/>
      <c r="L7" s="30"/>
      <c r="M7" s="30"/>
      <c r="N7" s="30"/>
      <c r="O7" s="30"/>
      <c r="P7" s="30"/>
    </row>
    <row r="8" customFormat="false" ht="21.75" hidden="false" customHeight="true" outlineLevel="0" collapsed="false">
      <c r="A8" s="6" t="s">
        <v>267</v>
      </c>
      <c r="B8" s="6" t="s">
        <v>266</v>
      </c>
      <c r="C8" s="31" t="n">
        <f aca="false">_xlfn.MAXIFS(H13:H84,A13:A84,"With Smart Scan screens",B13:B84,"Munch Mess")</f>
        <v>0.535464</v>
      </c>
      <c r="D8" s="32" t="n">
        <f aca="false">COUNTIFS(A13:A84,"With Smart Scan screens",B13:B84,"Munch Mess",H13:H84,"&gt;=1")</f>
        <v>0</v>
      </c>
      <c r="E8" s="33" t="n">
        <f aca="false">COUNTIFS(A13:A84,"With Smart Scan screens",B13:B84,"Munch Mess",H13:H84,"&gt;=0.85",H13:H84,"&lt;1")</f>
        <v>0</v>
      </c>
      <c r="F8" s="34" t="n">
        <f aca="false">_xlfn.MAXIFS(L13:L84,A13:A84,"With Smart Scan screens",B13:B84,"Munch Mess")</f>
        <v>0.0291</v>
      </c>
      <c r="G8" s="34" t="n">
        <f aca="false">SUMPRODUCT((A13:A84="With Smart Scan screens")*(B13:B84="Munch Mess")*L13:L84*D13:D84)/SUMPRODUCT((A13:A84="With Smart Scan screens")*(B13:B84="Munch Mess")*D13:D84)</f>
        <v>0.0154208601785916</v>
      </c>
      <c r="I8" s="30"/>
      <c r="J8" s="30"/>
      <c r="K8" s="30"/>
      <c r="L8" s="30"/>
      <c r="M8" s="30"/>
      <c r="N8" s="30"/>
      <c r="O8" s="30"/>
      <c r="P8" s="30"/>
    </row>
    <row r="9" customFormat="false" ht="21.75" hidden="false" customHeight="true" outlineLevel="0" collapsed="false">
      <c r="I9" s="30"/>
      <c r="J9" s="30"/>
      <c r="K9" s="30"/>
      <c r="L9" s="30"/>
      <c r="M9" s="30"/>
      <c r="N9" s="30"/>
      <c r="O9" s="30"/>
      <c r="P9" s="30"/>
    </row>
    <row r="12" customFormat="false" ht="43.5" hidden="false" customHeight="true" outlineLevel="0" collapsed="false">
      <c r="A12" s="16" t="s">
        <v>243</v>
      </c>
      <c r="B12" s="16" t="s">
        <v>244</v>
      </c>
      <c r="C12" s="16" t="s">
        <v>245</v>
      </c>
      <c r="D12" s="16" t="s">
        <v>280</v>
      </c>
      <c r="E12" s="16" t="s">
        <v>281</v>
      </c>
      <c r="F12" s="16" t="s">
        <v>282</v>
      </c>
      <c r="G12" s="16" t="s">
        <v>158</v>
      </c>
      <c r="H12" s="16" t="s">
        <v>283</v>
      </c>
      <c r="I12" s="16" t="s">
        <v>169</v>
      </c>
      <c r="J12" s="16" t="s">
        <v>284</v>
      </c>
      <c r="K12" s="16" t="s">
        <v>285</v>
      </c>
      <c r="L12" s="16" t="s">
        <v>247</v>
      </c>
      <c r="M12" s="16" t="s">
        <v>286</v>
      </c>
      <c r="N12" s="16" t="s">
        <v>287</v>
      </c>
      <c r="O12" s="16" t="s">
        <v>288</v>
      </c>
      <c r="P12" s="16" t="s">
        <v>289</v>
      </c>
    </row>
    <row r="13" customFormat="false" ht="15" hidden="false" customHeight="false" outlineLevel="0" collapsed="false">
      <c r="A13" s="6" t="s">
        <v>251</v>
      </c>
      <c r="B13" s="6" t="s">
        <v>252</v>
      </c>
      <c r="C13" s="6" t="s">
        <v>254</v>
      </c>
      <c r="D13" s="35" t="n">
        <f aca="false">'Sim Data'!$E$5</f>
        <v>0</v>
      </c>
      <c r="E13" s="36" t="n">
        <f aca="false">'Sim Data'!$G$5</f>
        <v>0</v>
      </c>
      <c r="F13" s="37" t="n">
        <f aca="false">IF(E13&gt;0,1/E13,60/Assumptions!$B$13)</f>
        <v>30</v>
      </c>
      <c r="G13" s="38" t="n">
        <f aca="false">Assumptions!$B$12</f>
        <v>1</v>
      </c>
      <c r="H13" s="39" t="n">
        <f aca="false">D13/(G13*F13)</f>
        <v>0</v>
      </c>
      <c r="I13" s="40" t="str">
        <f aca="false">IF(D13=0,"No arrivals",IF(H13&lt;0.85,"Stable",IF(H13&lt;1,"Stable, near capacity","UNSTABLE: queue grows")))</f>
        <v>No arrivals</v>
      </c>
      <c r="J13" s="34" t="str">
        <f aca="false">IF(AND(D13&gt;0,H13&lt;1),H13/(F13-D13),"—")</f>
        <v>—</v>
      </c>
      <c r="K13" s="34" t="str">
        <f aca="false">IF(ISNUMBER(J13),(1+0.3^2)/2*J13,"—")</f>
        <v>—</v>
      </c>
      <c r="L13" s="35" t="n">
        <f aca="false">'Sim Data'!$F$5</f>
        <v>0</v>
      </c>
      <c r="M13" s="41" t="n">
        <f aca="false">'Sim Data'!$H$5</f>
        <v>0</v>
      </c>
      <c r="N13" s="37" t="n">
        <f aca="false">D13*L13</f>
        <v>0</v>
      </c>
      <c r="O13" s="34" t="str">
        <f aca="false">IF(MAX(M13,N13)&lt;0.5,"both ≈ 0",IF(N13=0,"no new arrivals",M13/N13))</f>
        <v>both ≈ 0</v>
      </c>
      <c r="P13" s="40" t="str">
        <f aca="false">IF(D13=0,"",IF(H13&gt;=1,"No steady state: line grows by ~"&amp;TEXT((D13-G13*F13)*10,"0")&amp;" in this slot",IF(ISNUMBER(O13),IF(ABS(O13-1)&lt;=0.2,"Little's Law holds (steady)",IF(O13&gt;1,"More waiting than λWq: queue left over from before","Fewer waiting than λWq: queue still building")),"Hardly any queue")))</f>
        <v/>
      </c>
    </row>
    <row r="14" customFormat="false" ht="15" hidden="false" customHeight="false" outlineLevel="0" collapsed="false">
      <c r="A14" s="6" t="s">
        <v>251</v>
      </c>
      <c r="B14" s="6" t="s">
        <v>252</v>
      </c>
      <c r="C14" s="6" t="s">
        <v>255</v>
      </c>
      <c r="D14" s="35" t="n">
        <f aca="false">'Sim Data'!$E$6</f>
        <v>0</v>
      </c>
      <c r="E14" s="36" t="n">
        <f aca="false">'Sim Data'!$G$6</f>
        <v>0</v>
      </c>
      <c r="F14" s="37" t="n">
        <f aca="false">IF(E14&gt;0,1/E14,60/Assumptions!$B$13)</f>
        <v>30</v>
      </c>
      <c r="G14" s="38" t="n">
        <f aca="false">Assumptions!$B$12</f>
        <v>1</v>
      </c>
      <c r="H14" s="39" t="n">
        <f aca="false">D14/(G14*F14)</f>
        <v>0</v>
      </c>
      <c r="I14" s="40" t="str">
        <f aca="false">IF(D14=0,"No arrivals",IF(H14&lt;0.85,"Stable",IF(H14&lt;1,"Stable, near capacity","UNSTABLE: queue grows")))</f>
        <v>No arrivals</v>
      </c>
      <c r="J14" s="34" t="str">
        <f aca="false">IF(AND(D14&gt;0,H14&lt;1),H14/(F14-D14),"—")</f>
        <v>—</v>
      </c>
      <c r="K14" s="34" t="str">
        <f aca="false">IF(ISNUMBER(J14),(1+0.3^2)/2*J14,"—")</f>
        <v>—</v>
      </c>
      <c r="L14" s="35" t="n">
        <f aca="false">'Sim Data'!$F$6</f>
        <v>0</v>
      </c>
      <c r="M14" s="41" t="n">
        <f aca="false">'Sim Data'!$H$6</f>
        <v>0</v>
      </c>
      <c r="N14" s="37" t="n">
        <f aca="false">D14*L14</f>
        <v>0</v>
      </c>
      <c r="O14" s="34" t="str">
        <f aca="false">IF(MAX(M14,N14)&lt;0.5,"both ≈ 0",IF(N14=0,"no new arrivals",M14/N14))</f>
        <v>both ≈ 0</v>
      </c>
      <c r="P14" s="40" t="str">
        <f aca="false">IF(D14=0,"",IF(H14&gt;=1,"No steady state: line grows by ~"&amp;TEXT((D14-G14*F14)*10,"0")&amp;" in this slot",IF(ISNUMBER(O14),IF(ABS(O14-1)&lt;=0.2,"Little's Law holds (steady)",IF(O14&gt;1,"More waiting than λWq: queue left over from before","Fewer waiting than λWq: queue still building")),"Hardly any queue")))</f>
        <v/>
      </c>
    </row>
    <row r="15" customFormat="false" ht="15" hidden="false" customHeight="false" outlineLevel="0" collapsed="false">
      <c r="A15" s="6" t="s">
        <v>251</v>
      </c>
      <c r="B15" s="6" t="s">
        <v>252</v>
      </c>
      <c r="C15" s="6" t="s">
        <v>256</v>
      </c>
      <c r="D15" s="35" t="n">
        <f aca="false">'Sim Data'!$E$7</f>
        <v>0</v>
      </c>
      <c r="E15" s="36" t="n">
        <f aca="false">'Sim Data'!$G$7</f>
        <v>0</v>
      </c>
      <c r="F15" s="37" t="n">
        <f aca="false">IF(E15&gt;0,1/E15,60/Assumptions!$B$13)</f>
        <v>30</v>
      </c>
      <c r="G15" s="38" t="n">
        <f aca="false">Assumptions!$B$12</f>
        <v>1</v>
      </c>
      <c r="H15" s="39" t="n">
        <f aca="false">D15/(G15*F15)</f>
        <v>0</v>
      </c>
      <c r="I15" s="40" t="str">
        <f aca="false">IF(D15=0,"No arrivals",IF(H15&lt;0.85,"Stable",IF(H15&lt;1,"Stable, near capacity","UNSTABLE: queue grows")))</f>
        <v>No arrivals</v>
      </c>
      <c r="J15" s="34" t="str">
        <f aca="false">IF(AND(D15&gt;0,H15&lt;1),H15/(F15-D15),"—")</f>
        <v>—</v>
      </c>
      <c r="K15" s="34" t="str">
        <f aca="false">IF(ISNUMBER(J15),(1+0.3^2)/2*J15,"—")</f>
        <v>—</v>
      </c>
      <c r="L15" s="35" t="n">
        <f aca="false">'Sim Data'!$F$7</f>
        <v>0</v>
      </c>
      <c r="M15" s="41" t="n">
        <f aca="false">'Sim Data'!$H$7</f>
        <v>0</v>
      </c>
      <c r="N15" s="37" t="n">
        <f aca="false">D15*L15</f>
        <v>0</v>
      </c>
      <c r="O15" s="34" t="str">
        <f aca="false">IF(MAX(M15,N15)&lt;0.5,"both ≈ 0",IF(N15=0,"no new arrivals",M15/N15))</f>
        <v>both ≈ 0</v>
      </c>
      <c r="P15" s="40" t="str">
        <f aca="false">IF(D15=0,"",IF(H15&gt;=1,"No steady state: line grows by ~"&amp;TEXT((D15-G15*F15)*10,"0")&amp;" in this slot",IF(ISNUMBER(O15),IF(ABS(O15-1)&lt;=0.2,"Little's Law holds (steady)",IF(O15&gt;1,"More waiting than λWq: queue left over from before","Fewer waiting than λWq: queue still building")),"Hardly any queue")))</f>
        <v/>
      </c>
    </row>
    <row r="16" customFormat="false" ht="15" hidden="false" customHeight="false" outlineLevel="0" collapsed="false">
      <c r="A16" s="6" t="s">
        <v>251</v>
      </c>
      <c r="B16" s="6" t="s">
        <v>252</v>
      </c>
      <c r="C16" s="6" t="s">
        <v>124</v>
      </c>
      <c r="D16" s="35" t="n">
        <f aca="false">'Sim Data'!$E$8</f>
        <v>14.52</v>
      </c>
      <c r="E16" s="36" t="n">
        <f aca="false">'Sim Data'!$G$8</f>
        <v>0.0333</v>
      </c>
      <c r="F16" s="37" t="n">
        <f aca="false">IF(E16&gt;0,1/E16,60/Assumptions!$B$13)</f>
        <v>30.03003003003</v>
      </c>
      <c r="G16" s="38" t="n">
        <f aca="false">Assumptions!$B$12</f>
        <v>1</v>
      </c>
      <c r="H16" s="39" t="n">
        <f aca="false">D16/(G16*F16)</f>
        <v>0.483516</v>
      </c>
      <c r="I16" s="40" t="str">
        <f aca="false">IF(D16=0,"No arrivals",IF(H16&lt;0.85,"Stable",IF(H16&lt;1,"Stable, near capacity","UNSTABLE: queue grows")))</f>
        <v>Stable</v>
      </c>
      <c r="J16" s="34" t="n">
        <f aca="false">IF(AND(D16&gt;0,H16&lt;1),H16/(F16-D16),"—")</f>
        <v>0.0311744077260864</v>
      </c>
      <c r="K16" s="34" t="n">
        <f aca="false">IF(ISNUMBER(J16),(1+0.3^2)/2*J16,"—")</f>
        <v>0.0169900522107171</v>
      </c>
      <c r="L16" s="35" t="n">
        <f aca="false">'Sim Data'!$F$8</f>
        <v>0.0184</v>
      </c>
      <c r="M16" s="41" t="n">
        <f aca="false">'Sim Data'!$H$8</f>
        <v>0.2669</v>
      </c>
      <c r="N16" s="37" t="n">
        <f aca="false">D16*L16</f>
        <v>0.267168</v>
      </c>
      <c r="O16" s="34" t="str">
        <f aca="false">IF(MAX(M16,N16)&lt;0.5,"both ≈ 0",IF(N16=0,"no new arrivals",M16/N16))</f>
        <v>both ≈ 0</v>
      </c>
      <c r="P16" s="40" t="str">
        <f aca="false">IF(D16=0,"",IF(H16&gt;=1,"No steady state: line grows by ~"&amp;TEXT((D16-G16*F16)*10,"0")&amp;" in this slot",IF(ISNUMBER(O16),IF(ABS(O16-1)&lt;=0.2,"Little's Law holds (steady)",IF(O16&gt;1,"More waiting than λWq: queue left over from before","Fewer waiting than λWq: queue still building")),"Hardly any queue")))</f>
        <v>Hardly any queue</v>
      </c>
    </row>
    <row r="17" customFormat="false" ht="15" hidden="false" customHeight="false" outlineLevel="0" collapsed="false">
      <c r="A17" s="6" t="s">
        <v>251</v>
      </c>
      <c r="B17" s="6" t="s">
        <v>252</v>
      </c>
      <c r="C17" s="6" t="s">
        <v>257</v>
      </c>
      <c r="D17" s="35" t="n">
        <f aca="false">'Sim Data'!$E$9</f>
        <v>18.77</v>
      </c>
      <c r="E17" s="36" t="n">
        <f aca="false">'Sim Data'!$G$9</f>
        <v>0.0334</v>
      </c>
      <c r="F17" s="37" t="n">
        <f aca="false">IF(E17&gt;0,1/E17,60/Assumptions!$B$13)</f>
        <v>29.940119760479</v>
      </c>
      <c r="G17" s="38" t="n">
        <f aca="false">Assumptions!$B$12</f>
        <v>1</v>
      </c>
      <c r="H17" s="39" t="n">
        <f aca="false">D17/(G17*F17)</f>
        <v>0.626918</v>
      </c>
      <c r="I17" s="40" t="str">
        <f aca="false">IF(D17=0,"No arrivals",IF(H17&lt;0.85,"Stable",IF(H17&lt;1,"Stable, near capacity","UNSTABLE: queue grows")))</f>
        <v>Stable</v>
      </c>
      <c r="J17" s="34" t="n">
        <f aca="false">IF(AND(D17&gt;0,H17&lt;1),H17/(F17-D17),"—")</f>
        <v>0.0561245549235825</v>
      </c>
      <c r="K17" s="34" t="n">
        <f aca="false">IF(ISNUMBER(J17),(1+0.3^2)/2*J17,"—")</f>
        <v>0.0305878824333525</v>
      </c>
      <c r="L17" s="35" t="n">
        <f aca="false">'Sim Data'!$F$9</f>
        <v>0.0291</v>
      </c>
      <c r="M17" s="41" t="n">
        <f aca="false">'Sim Data'!$H$9</f>
        <v>0.5419</v>
      </c>
      <c r="N17" s="37" t="n">
        <f aca="false">D17*L17</f>
        <v>0.546207</v>
      </c>
      <c r="O17" s="34" t="n">
        <f aca="false">IF(MAX(M17,N17)&lt;0.5,"both ≈ 0",IF(N17=0,"no new arrivals",M17/N17))</f>
        <v>0.992114711089386</v>
      </c>
      <c r="P17" s="40" t="str">
        <f aca="false">IF(D17=0,"",IF(H17&gt;=1,"No steady state: line grows by ~"&amp;TEXT((D17-G17*F17)*10,"0")&amp;" in this slot",IF(ISNUMBER(O17),IF(ABS(O17-1)&lt;=0.2,"Little's Law holds (steady)",IF(O17&gt;1,"More waiting than λWq: queue left over from before","Fewer waiting than λWq: queue still building")),"Hardly any queue")))</f>
        <v>Little's Law holds (steady)</v>
      </c>
    </row>
    <row r="18" customFormat="false" ht="15" hidden="false" customHeight="false" outlineLevel="0" collapsed="false">
      <c r="A18" s="6" t="s">
        <v>251</v>
      </c>
      <c r="B18" s="6" t="s">
        <v>252</v>
      </c>
      <c r="C18" s="6" t="s">
        <v>258</v>
      </c>
      <c r="D18" s="35" t="n">
        <f aca="false">'Sim Data'!$E$10</f>
        <v>18.825</v>
      </c>
      <c r="E18" s="36" t="n">
        <f aca="false">'Sim Data'!$G$10</f>
        <v>0.0332</v>
      </c>
      <c r="F18" s="37" t="n">
        <f aca="false">IF(E18&gt;0,1/E18,60/Assumptions!$B$13)</f>
        <v>30.1204819277108</v>
      </c>
      <c r="G18" s="38" t="n">
        <f aca="false">Assumptions!$B$12</f>
        <v>1</v>
      </c>
      <c r="H18" s="39" t="n">
        <f aca="false">D18/(G18*F18)</f>
        <v>0.62499</v>
      </c>
      <c r="I18" s="40" t="str">
        <f aca="false">IF(D18=0,"No arrivals",IF(H18&lt;0.85,"Stable",IF(H18&lt;1,"Stable, near capacity","UNSTABLE: queue grows")))</f>
        <v>Stable</v>
      </c>
      <c r="J18" s="34" t="n">
        <f aca="false">IF(AND(D18&gt;0,H18&lt;1),H18/(F18-D18),"—")</f>
        <v>0.0553309725073998</v>
      </c>
      <c r="K18" s="34" t="n">
        <f aca="false">IF(ISNUMBER(J18),(1+0.3^2)/2*J18,"—")</f>
        <v>0.0301553800165329</v>
      </c>
      <c r="L18" s="35" t="n">
        <f aca="false">'Sim Data'!$F$10</f>
        <v>0.0364</v>
      </c>
      <c r="M18" s="41" t="n">
        <f aca="false">'Sim Data'!$H$10</f>
        <v>0.6898</v>
      </c>
      <c r="N18" s="37" t="n">
        <f aca="false">D18*L18</f>
        <v>0.68523</v>
      </c>
      <c r="O18" s="34" t="n">
        <f aca="false">IF(MAX(M18,N18)&lt;0.5,"both ≈ 0",IF(N18=0,"no new arrivals",M18/N18))</f>
        <v>1.00666929352188</v>
      </c>
      <c r="P18" s="40" t="str">
        <f aca="false">IF(D18=0,"",IF(H18&gt;=1,"No steady state: line grows by ~"&amp;TEXT((D18-G18*F18)*10,"0")&amp;" in this slot",IF(ISNUMBER(O18),IF(ABS(O18-1)&lt;=0.2,"Little's Law holds (steady)",IF(O18&gt;1,"More waiting than λWq: queue left over from before","Fewer waiting than λWq: queue still building")),"Hardly any queue")))</f>
        <v>Little's Law holds (steady)</v>
      </c>
    </row>
    <row r="19" customFormat="false" ht="15" hidden="false" customHeight="false" outlineLevel="0" collapsed="false">
      <c r="A19" s="6" t="s">
        <v>251</v>
      </c>
      <c r="B19" s="6" t="s">
        <v>252</v>
      </c>
      <c r="C19" s="6" t="s">
        <v>133</v>
      </c>
      <c r="D19" s="35" t="n">
        <f aca="false">'Sim Data'!$E$11</f>
        <v>22.915</v>
      </c>
      <c r="E19" s="36" t="n">
        <f aca="false">'Sim Data'!$G$11</f>
        <v>0.0335</v>
      </c>
      <c r="F19" s="37" t="n">
        <f aca="false">IF(E19&gt;0,1/E19,60/Assumptions!$B$13)</f>
        <v>29.8507462686567</v>
      </c>
      <c r="G19" s="38" t="n">
        <f aca="false">Assumptions!$B$12</f>
        <v>1</v>
      </c>
      <c r="H19" s="39" t="n">
        <f aca="false">D19/(G19*F19)</f>
        <v>0.7676525</v>
      </c>
      <c r="I19" s="40" t="str">
        <f aca="false">IF(D19=0,"No arrivals",IF(H19&lt;0.85,"Stable",IF(H19&lt;1,"Stable, near capacity","UNSTABLE: queue grows")))</f>
        <v>Stable</v>
      </c>
      <c r="J19" s="34" t="n">
        <f aca="false">IF(AND(D19&gt;0,H19&lt;1),H19/(F19-D19),"—")</f>
        <v>0.110680591570815</v>
      </c>
      <c r="K19" s="34" t="n">
        <f aca="false">IF(ISNUMBER(J19),(1+0.3^2)/2*J19,"—")</f>
        <v>0.0603209224060943</v>
      </c>
      <c r="L19" s="35" t="n">
        <f aca="false">'Sim Data'!$F$11</f>
        <v>0.0664</v>
      </c>
      <c r="M19" s="41" t="n">
        <f aca="false">'Sim Data'!$H$11</f>
        <v>1.5162</v>
      </c>
      <c r="N19" s="37" t="n">
        <f aca="false">D19*L19</f>
        <v>1.521556</v>
      </c>
      <c r="O19" s="34" t="n">
        <f aca="false">IF(MAX(M19,N19)&lt;0.5,"both ≈ 0",IF(N19=0,"no new arrivals",M19/N19))</f>
        <v>0.996479919240567</v>
      </c>
      <c r="P19" s="40" t="str">
        <f aca="false">IF(D19=0,"",IF(H19&gt;=1,"No steady state: line grows by ~"&amp;TEXT((D19-G19*F19)*10,"0")&amp;" in this slot",IF(ISNUMBER(O19),IF(ABS(O19-1)&lt;=0.2,"Little's Law holds (steady)",IF(O19&gt;1,"More waiting than λWq: queue left over from before","Fewer waiting than λWq: queue still building")),"Hardly any queue")))</f>
        <v>Little's Law holds (steady)</v>
      </c>
    </row>
    <row r="20" customFormat="false" ht="15" hidden="false" customHeight="false" outlineLevel="0" collapsed="false">
      <c r="A20" s="6" t="s">
        <v>251</v>
      </c>
      <c r="B20" s="6" t="s">
        <v>252</v>
      </c>
      <c r="C20" s="6" t="s">
        <v>137</v>
      </c>
      <c r="D20" s="35" t="n">
        <f aca="false">'Sim Data'!$E$12</f>
        <v>20.35</v>
      </c>
      <c r="E20" s="36" t="n">
        <f aca="false">'Sim Data'!$G$12</f>
        <v>0.0334</v>
      </c>
      <c r="F20" s="37" t="n">
        <f aca="false">IF(E20&gt;0,1/E20,60/Assumptions!$B$13)</f>
        <v>29.940119760479</v>
      </c>
      <c r="G20" s="38" t="n">
        <f aca="false">Assumptions!$B$12</f>
        <v>1</v>
      </c>
      <c r="H20" s="39" t="n">
        <f aca="false">D20/(G20*F20)</f>
        <v>0.67969</v>
      </c>
      <c r="I20" s="40" t="str">
        <f aca="false">IF(D20=0,"No arrivals",IF(H20&lt;0.85,"Stable",IF(H20&lt;1,"Stable, near capacity","UNSTABLE: queue grows")))</f>
        <v>Stable</v>
      </c>
      <c r="J20" s="34" t="n">
        <f aca="false">IF(AND(D20&gt;0,H20&lt;1),H20/(F20-D20),"—")</f>
        <v>0.0708739845774406</v>
      </c>
      <c r="K20" s="34" t="n">
        <f aca="false">IF(ISNUMBER(J20),(1+0.3^2)/2*J20,"—")</f>
        <v>0.0386263215947051</v>
      </c>
      <c r="L20" s="35" t="n">
        <f aca="false">'Sim Data'!$F$12</f>
        <v>0.0392</v>
      </c>
      <c r="M20" s="41" t="n">
        <f aca="false">'Sim Data'!$H$12</f>
        <v>0.7986</v>
      </c>
      <c r="N20" s="37" t="n">
        <f aca="false">D20*L20</f>
        <v>0.79772</v>
      </c>
      <c r="O20" s="34" t="n">
        <f aca="false">IF(MAX(M20,N20)&lt;0.5,"both ≈ 0",IF(N20=0,"no new arrivals",M20/N20))</f>
        <v>1.00110314396029</v>
      </c>
      <c r="P20" s="40" t="str">
        <f aca="false">IF(D20=0,"",IF(H20&gt;=1,"No steady state: line grows by ~"&amp;TEXT((D20-G20*F20)*10,"0")&amp;" in this slot",IF(ISNUMBER(O20),IF(ABS(O20-1)&lt;=0.2,"Little's Law holds (steady)",IF(O20&gt;1,"More waiting than λWq: queue left over from before","Fewer waiting than λWq: queue still building")),"Hardly any queue")))</f>
        <v>Little's Law holds (steady)</v>
      </c>
    </row>
    <row r="21" customFormat="false" ht="15" hidden="false" customHeight="false" outlineLevel="0" collapsed="false">
      <c r="A21" s="6" t="s">
        <v>251</v>
      </c>
      <c r="B21" s="6" t="s">
        <v>252</v>
      </c>
      <c r="C21" s="6" t="s">
        <v>140</v>
      </c>
      <c r="D21" s="35" t="n">
        <f aca="false">'Sim Data'!$E$13</f>
        <v>16.86</v>
      </c>
      <c r="E21" s="36" t="n">
        <f aca="false">'Sim Data'!$G$13</f>
        <v>0.0333</v>
      </c>
      <c r="F21" s="37" t="n">
        <f aca="false">IF(E21&gt;0,1/E21,60/Assumptions!$B$13)</f>
        <v>30.03003003003</v>
      </c>
      <c r="G21" s="38" t="n">
        <f aca="false">Assumptions!$B$12</f>
        <v>1</v>
      </c>
      <c r="H21" s="39" t="n">
        <f aca="false">D21/(G21*F21)</f>
        <v>0.561438</v>
      </c>
      <c r="I21" s="40" t="str">
        <f aca="false">IF(D21=0,"No arrivals",IF(H21&lt;0.85,"Stable",IF(H21&lt;1,"Stable, near capacity","UNSTABLE: queue grows")))</f>
        <v>Stable</v>
      </c>
      <c r="J21" s="34" t="n">
        <f aca="false">IF(AND(D21&gt;0,H21&lt;1),H21/(F21-D21),"—")</f>
        <v>0.0426299711329299</v>
      </c>
      <c r="K21" s="34" t="n">
        <f aca="false">IF(ISNUMBER(J21),(1+0.3^2)/2*J21,"—")</f>
        <v>0.0232333342674468</v>
      </c>
      <c r="L21" s="35" t="n">
        <f aca="false">'Sim Data'!$F$13</f>
        <v>0.0215</v>
      </c>
      <c r="M21" s="41" t="n">
        <f aca="false">'Sim Data'!$H$13</f>
        <v>0.3667</v>
      </c>
      <c r="N21" s="37" t="n">
        <f aca="false">D21*L21</f>
        <v>0.36249</v>
      </c>
      <c r="O21" s="34" t="str">
        <f aca="false">IF(MAX(M21,N21)&lt;0.5,"both ≈ 0",IF(N21=0,"no new arrivals",M21/N21))</f>
        <v>both ≈ 0</v>
      </c>
      <c r="P21" s="40" t="str">
        <f aca="false">IF(D21=0,"",IF(H21&gt;=1,"No steady state: line grows by ~"&amp;TEXT((D21-G21*F21)*10,"0")&amp;" in this slot",IF(ISNUMBER(O21),IF(ABS(O21-1)&lt;=0.2,"Little's Law holds (steady)",IF(O21&gt;1,"More waiting than λWq: queue left over from before","Fewer waiting than λWq: queue still building")),"Hardly any queue")))</f>
        <v>Hardly any queue</v>
      </c>
    </row>
    <row r="22" customFormat="false" ht="15" hidden="false" customHeight="false" outlineLevel="0" collapsed="false">
      <c r="A22" s="6" t="s">
        <v>251</v>
      </c>
      <c r="B22" s="6" t="s">
        <v>252</v>
      </c>
      <c r="C22" s="6" t="s">
        <v>125</v>
      </c>
      <c r="D22" s="35" t="n">
        <f aca="false">'Sim Data'!$E$14</f>
        <v>22.705</v>
      </c>
      <c r="E22" s="36" t="n">
        <f aca="false">'Sim Data'!$G$14</f>
        <v>0.0334</v>
      </c>
      <c r="F22" s="37" t="n">
        <f aca="false">IF(E22&gt;0,1/E22,60/Assumptions!$B$13)</f>
        <v>29.940119760479</v>
      </c>
      <c r="G22" s="38" t="n">
        <f aca="false">Assumptions!$B$12</f>
        <v>1</v>
      </c>
      <c r="H22" s="39" t="n">
        <f aca="false">D22/(G22*F22)</f>
        <v>0.758347</v>
      </c>
      <c r="I22" s="40" t="str">
        <f aca="false">IF(D22=0,"No arrivals",IF(H22&lt;0.85,"Stable",IF(H22&lt;1,"Stable, near capacity","UNSTABLE: queue grows")))</f>
        <v>Stable</v>
      </c>
      <c r="J22" s="34" t="n">
        <f aca="false">IF(AND(D22&gt;0,H22&lt;1),H22/(F22-D22),"—")</f>
        <v>0.104814712832036</v>
      </c>
      <c r="K22" s="34" t="n">
        <f aca="false">IF(ISNUMBER(J22),(1+0.3^2)/2*J22,"—")</f>
        <v>0.0571240184934596</v>
      </c>
      <c r="L22" s="35" t="n">
        <f aca="false">'Sim Data'!$F$14</f>
        <v>0.0848</v>
      </c>
      <c r="M22" s="41" t="n">
        <f aca="false">'Sim Data'!$H$14</f>
        <v>1.854</v>
      </c>
      <c r="N22" s="37" t="n">
        <f aca="false">D22*L22</f>
        <v>1.925384</v>
      </c>
      <c r="O22" s="34" t="n">
        <f aca="false">IF(MAX(M22,N22)&lt;0.5,"both ≈ 0",IF(N22=0,"no new arrivals",M22/N22))</f>
        <v>0.962924798377882</v>
      </c>
      <c r="P22" s="40" t="str">
        <f aca="false">IF(D22=0,"",IF(H22&gt;=1,"No steady state: line grows by ~"&amp;TEXT((D22-G22*F22)*10,"0")&amp;" in this slot",IF(ISNUMBER(O22),IF(ABS(O22-1)&lt;=0.2,"Little's Law holds (steady)",IF(O22&gt;1,"More waiting than λWq: queue left over from before","Fewer waiting than λWq: queue still building")),"Hardly any queue")))</f>
        <v>Little's Law holds (steady)</v>
      </c>
    </row>
    <row r="23" customFormat="false" ht="15" hidden="false" customHeight="false" outlineLevel="0" collapsed="false">
      <c r="A23" s="6" t="s">
        <v>251</v>
      </c>
      <c r="B23" s="6" t="s">
        <v>252</v>
      </c>
      <c r="C23" s="6" t="s">
        <v>259</v>
      </c>
      <c r="D23" s="35" t="n">
        <f aca="false">'Sim Data'!$E$15</f>
        <v>29.56</v>
      </c>
      <c r="E23" s="36" t="n">
        <f aca="false">'Sim Data'!$G$15</f>
        <v>0.0334</v>
      </c>
      <c r="F23" s="37" t="n">
        <f aca="false">IF(E23&gt;0,1/E23,60/Assumptions!$B$13)</f>
        <v>29.940119760479</v>
      </c>
      <c r="G23" s="38" t="n">
        <f aca="false">Assumptions!$B$12</f>
        <v>1</v>
      </c>
      <c r="H23" s="39" t="n">
        <f aca="false">D23/(G23*F23)</f>
        <v>0.987304</v>
      </c>
      <c r="I23" s="40" t="str">
        <f aca="false">IF(D23=0,"No arrivals",IF(H23&lt;0.85,"Stable",IF(H23&lt;1,"Stable, near capacity","UNSTABLE: queue grows")))</f>
        <v>Stable, near capacity</v>
      </c>
      <c r="J23" s="34" t="n">
        <f aca="false">IF(AND(D23&gt;0,H23&lt;1),H23/(F23-D23),"—")</f>
        <v>2.59734984247006</v>
      </c>
      <c r="K23" s="34" t="n">
        <f aca="false">IF(ISNUMBER(J23),(1+0.3^2)/2*J23,"—")</f>
        <v>1.41555566414618</v>
      </c>
      <c r="L23" s="35" t="n">
        <f aca="false">'Sim Data'!$F$15</f>
        <v>0.3354</v>
      </c>
      <c r="M23" s="41" t="n">
        <f aca="false">'Sim Data'!$H$15</f>
        <v>9.699</v>
      </c>
      <c r="N23" s="37" t="n">
        <f aca="false">D23*L23</f>
        <v>9.914424</v>
      </c>
      <c r="O23" s="34" t="n">
        <f aca="false">IF(MAX(M23,N23)&lt;0.5,"both ≈ 0",IF(N23=0,"no new arrivals",M23/N23))</f>
        <v>0.978271657536535</v>
      </c>
      <c r="P23" s="40" t="str">
        <f aca="false">IF(D23=0,"",IF(H23&gt;=1,"No steady state: line grows by ~"&amp;TEXT((D23-G23*F23)*10,"0")&amp;" in this slot",IF(ISNUMBER(O23),IF(ABS(O23-1)&lt;=0.2,"Little's Law holds (steady)",IF(O23&gt;1,"More waiting than λWq: queue left over from before","Fewer waiting than λWq: queue still building")),"Hardly any queue")))</f>
        <v>Little's Law holds (steady)</v>
      </c>
    </row>
    <row r="24" customFormat="false" ht="15" hidden="false" customHeight="false" outlineLevel="0" collapsed="false">
      <c r="A24" s="6" t="s">
        <v>251</v>
      </c>
      <c r="B24" s="6" t="s">
        <v>252</v>
      </c>
      <c r="C24" s="6" t="s">
        <v>260</v>
      </c>
      <c r="D24" s="35" t="n">
        <f aca="false">'Sim Data'!$E$16</f>
        <v>28.33</v>
      </c>
      <c r="E24" s="36" t="n">
        <f aca="false">'Sim Data'!$G$16</f>
        <v>0.0331</v>
      </c>
      <c r="F24" s="37" t="n">
        <f aca="false">IF(E24&gt;0,1/E24,60/Assumptions!$B$13)</f>
        <v>30.2114803625378</v>
      </c>
      <c r="G24" s="38" t="n">
        <f aca="false">Assumptions!$B$12</f>
        <v>1</v>
      </c>
      <c r="H24" s="39" t="n">
        <f aca="false">D24/(G24*F24)</f>
        <v>0.937723</v>
      </c>
      <c r="I24" s="40" t="str">
        <f aca="false">IF(D24=0,"No arrivals",IF(H24&lt;0.85,"Stable",IF(H24&lt;1,"Stable, near capacity","UNSTABLE: queue grows")))</f>
        <v>Stable, near capacity</v>
      </c>
      <c r="J24" s="34" t="n">
        <f aca="false">IF(AND(D24&gt;0,H24&lt;1),H24/(F24-D24),"—")</f>
        <v>0.498396379080558</v>
      </c>
      <c r="K24" s="34" t="n">
        <f aca="false">IF(ISNUMBER(J24),(1+0.3^2)/2*J24,"—")</f>
        <v>0.271626026598904</v>
      </c>
      <c r="L24" s="35" t="n">
        <f aca="false">'Sim Data'!$F$16</f>
        <v>0.3205</v>
      </c>
      <c r="M24" s="41" t="n">
        <f aca="false">'Sim Data'!$H$16</f>
        <v>9.291</v>
      </c>
      <c r="N24" s="37" t="n">
        <f aca="false">D24*L24</f>
        <v>9.079765</v>
      </c>
      <c r="O24" s="34" t="n">
        <f aca="false">IF(MAX(M24,N24)&lt;0.5,"both ≈ 0",IF(N24=0,"no new arrivals",M24/N24))</f>
        <v>1.02326436862628</v>
      </c>
      <c r="P24" s="40" t="str">
        <f aca="false">IF(D24=0,"",IF(H24&gt;=1,"No steady state: line grows by ~"&amp;TEXT((D24-G24*F24)*10,"0")&amp;" in this slot",IF(ISNUMBER(O24),IF(ABS(O24-1)&lt;=0.2,"Little's Law holds (steady)",IF(O24&gt;1,"More waiting than λWq: queue left over from before","Fewer waiting than λWq: queue still building")),"Hardly any queue")))</f>
        <v>Little's Law holds (steady)</v>
      </c>
    </row>
    <row r="25" customFormat="false" ht="15" hidden="false" customHeight="false" outlineLevel="0" collapsed="false">
      <c r="A25" s="6" t="s">
        <v>251</v>
      </c>
      <c r="B25" s="6" t="s">
        <v>252</v>
      </c>
      <c r="C25" s="6" t="s">
        <v>134</v>
      </c>
      <c r="D25" s="35" t="n">
        <f aca="false">'Sim Data'!$E$17</f>
        <v>21.35</v>
      </c>
      <c r="E25" s="36" t="n">
        <f aca="false">'Sim Data'!$G$17</f>
        <v>0.0332</v>
      </c>
      <c r="F25" s="37" t="n">
        <f aca="false">IF(E25&gt;0,1/E25,60/Assumptions!$B$13)</f>
        <v>30.1204819277108</v>
      </c>
      <c r="G25" s="38" t="n">
        <f aca="false">Assumptions!$B$12</f>
        <v>1</v>
      </c>
      <c r="H25" s="39" t="n">
        <f aca="false">D25/(G25*F25)</f>
        <v>0.70882</v>
      </c>
      <c r="I25" s="40" t="str">
        <f aca="false">IF(D25=0,"No arrivals",IF(H25&lt;0.85,"Stable",IF(H25&lt;1,"Stable, near capacity","UNSTABLE: queue grows")))</f>
        <v>Stable</v>
      </c>
      <c r="J25" s="34" t="n">
        <f aca="false">IF(AND(D25&gt;0,H25&lt;1),H25/(F25-D25),"—")</f>
        <v>0.0808188199738994</v>
      </c>
      <c r="K25" s="34" t="n">
        <f aca="false">IF(ISNUMBER(J25),(1+0.3^2)/2*J25,"—")</f>
        <v>0.0440462568857752</v>
      </c>
      <c r="L25" s="35" t="n">
        <f aca="false">'Sim Data'!$F$17</f>
        <v>0.0564</v>
      </c>
      <c r="M25" s="41" t="n">
        <f aca="false">'Sim Data'!$H$17</f>
        <v>1.2801</v>
      </c>
      <c r="N25" s="37" t="n">
        <f aca="false">D25*L25</f>
        <v>1.20414</v>
      </c>
      <c r="O25" s="34" t="n">
        <f aca="false">IF(MAX(M25,N25)&lt;0.5,"both ≈ 0",IF(N25=0,"no new arrivals",M25/N25))</f>
        <v>1.06308236583786</v>
      </c>
      <c r="P25" s="40" t="str">
        <f aca="false">IF(D25=0,"",IF(H25&gt;=1,"No steady state: line grows by ~"&amp;TEXT((D25-G25*F25)*10,"0")&amp;" in this slot",IF(ISNUMBER(O25),IF(ABS(O25-1)&lt;=0.2,"Little's Law holds (steady)",IF(O25&gt;1,"More waiting than λWq: queue left over from before","Fewer waiting than λWq: queue still building")),"Hardly any queue")))</f>
        <v>Little's Law holds (steady)</v>
      </c>
    </row>
    <row r="26" customFormat="false" ht="15" hidden="false" customHeight="false" outlineLevel="0" collapsed="false">
      <c r="A26" s="6" t="s">
        <v>251</v>
      </c>
      <c r="B26" s="6" t="s">
        <v>252</v>
      </c>
      <c r="C26" s="6" t="s">
        <v>138</v>
      </c>
      <c r="D26" s="35" t="n">
        <f aca="false">'Sim Data'!$E$18</f>
        <v>14.575</v>
      </c>
      <c r="E26" s="36" t="n">
        <f aca="false">'Sim Data'!$G$18</f>
        <v>0.0334</v>
      </c>
      <c r="F26" s="37" t="n">
        <f aca="false">IF(E26&gt;0,1/E26,60/Assumptions!$B$13)</f>
        <v>29.940119760479</v>
      </c>
      <c r="G26" s="38" t="n">
        <f aca="false">Assumptions!$B$12</f>
        <v>1</v>
      </c>
      <c r="H26" s="39" t="n">
        <f aca="false">D26/(G26*F26)</f>
        <v>0.486805</v>
      </c>
      <c r="I26" s="40" t="str">
        <f aca="false">IF(D26=0,"No arrivals",IF(H26&lt;0.85,"Stable",IF(H26&lt;1,"Stable, near capacity","UNSTABLE: queue grows")))</f>
        <v>Stable</v>
      </c>
      <c r="J26" s="34" t="n">
        <f aca="false">IF(AND(D26&gt;0,H26&lt;1),H26/(F26-D26),"—")</f>
        <v>0.0316824735237093</v>
      </c>
      <c r="K26" s="34" t="n">
        <f aca="false">IF(ISNUMBER(J26),(1+0.3^2)/2*J26,"—")</f>
        <v>0.0172669480704216</v>
      </c>
      <c r="L26" s="35" t="n">
        <f aca="false">'Sim Data'!$F$18</f>
        <v>0.0172</v>
      </c>
      <c r="M26" s="41" t="n">
        <f aca="false">'Sim Data'!$H$18</f>
        <v>0.2517</v>
      </c>
      <c r="N26" s="37" t="n">
        <f aca="false">D26*L26</f>
        <v>0.25069</v>
      </c>
      <c r="O26" s="34" t="str">
        <f aca="false">IF(MAX(M26,N26)&lt;0.5,"both ≈ 0",IF(N26=0,"no new arrivals",M26/N26))</f>
        <v>both ≈ 0</v>
      </c>
      <c r="P26" s="40" t="str">
        <f aca="false">IF(D26=0,"",IF(H26&gt;=1,"No steady state: line grows by ~"&amp;TEXT((D26-G26*F26)*10,"0")&amp;" in this slot",IF(ISNUMBER(O26),IF(ABS(O26-1)&lt;=0.2,"Little's Law holds (steady)",IF(O26&gt;1,"More waiting than λWq: queue left over from before","Fewer waiting than λWq: queue still building")),"Hardly any queue")))</f>
        <v>Hardly any queue</v>
      </c>
    </row>
    <row r="27" customFormat="false" ht="15" hidden="false" customHeight="false" outlineLevel="0" collapsed="false">
      <c r="A27" s="6" t="s">
        <v>251</v>
      </c>
      <c r="B27" s="6" t="s">
        <v>252</v>
      </c>
      <c r="C27" s="6" t="s">
        <v>141</v>
      </c>
      <c r="D27" s="35" t="n">
        <f aca="false">'Sim Data'!$E$19</f>
        <v>7.17</v>
      </c>
      <c r="E27" s="36" t="n">
        <f aca="false">'Sim Data'!$G$19</f>
        <v>0.0336</v>
      </c>
      <c r="F27" s="37" t="n">
        <f aca="false">IF(E27&gt;0,1/E27,60/Assumptions!$B$13)</f>
        <v>29.7619047619048</v>
      </c>
      <c r="G27" s="38" t="n">
        <f aca="false">Assumptions!$B$12</f>
        <v>1</v>
      </c>
      <c r="H27" s="39" t="n">
        <f aca="false">D27/(G27*F27)</f>
        <v>0.240912</v>
      </c>
      <c r="I27" s="40" t="str">
        <f aca="false">IF(D27=0,"No arrivals",IF(H27&lt;0.85,"Stable",IF(H27&lt;1,"Stable, near capacity","UNSTABLE: queue grows")))</f>
        <v>Stable</v>
      </c>
      <c r="J27" s="34" t="n">
        <f aca="false">IF(AND(D27&gt;0,H27&lt;1),H27/(F27-D27),"—")</f>
        <v>0.0106636426870139</v>
      </c>
      <c r="K27" s="34" t="n">
        <f aca="false">IF(ISNUMBER(J27),(1+0.3^2)/2*J27,"—")</f>
        <v>0.00581168526442257</v>
      </c>
      <c r="L27" s="35" t="n">
        <f aca="false">'Sim Data'!$F$19</f>
        <v>0.0066</v>
      </c>
      <c r="M27" s="41" t="n">
        <f aca="false">'Sim Data'!$H$19</f>
        <v>0.0472</v>
      </c>
      <c r="N27" s="37" t="n">
        <f aca="false">D27*L27</f>
        <v>0.047322</v>
      </c>
      <c r="O27" s="34" t="str">
        <f aca="false">IF(MAX(M27,N27)&lt;0.5,"both ≈ 0",IF(N27=0,"no new arrivals",M27/N27))</f>
        <v>both ≈ 0</v>
      </c>
      <c r="P27" s="40" t="str">
        <f aca="false">IF(D27=0,"",IF(H27&gt;=1,"No steady state: line grows by ~"&amp;TEXT((D27-G27*F27)*10,"0")&amp;" in this slot",IF(ISNUMBER(O27),IF(ABS(O27-1)&lt;=0.2,"Little's Law holds (steady)",IF(O27&gt;1,"More waiting than λWq: queue left over from before","Fewer waiting than λWq: queue still building")),"Hardly any queue")))</f>
        <v>Hardly any queue</v>
      </c>
    </row>
    <row r="28" customFormat="false" ht="15" hidden="false" customHeight="false" outlineLevel="0" collapsed="false">
      <c r="A28" s="6" t="s">
        <v>251</v>
      </c>
      <c r="B28" s="6" t="s">
        <v>252</v>
      </c>
      <c r="C28" s="6" t="s">
        <v>128</v>
      </c>
      <c r="D28" s="35" t="n">
        <f aca="false">'Sim Data'!$E$20</f>
        <v>0</v>
      </c>
      <c r="E28" s="36" t="n">
        <f aca="false">'Sim Data'!$G$20</f>
        <v>0</v>
      </c>
      <c r="F28" s="37" t="n">
        <f aca="false">IF(E28&gt;0,1/E28,60/Assumptions!$B$13)</f>
        <v>30</v>
      </c>
      <c r="G28" s="38" t="n">
        <f aca="false">Assumptions!$B$12</f>
        <v>1</v>
      </c>
      <c r="H28" s="39" t="n">
        <f aca="false">D28/(G28*F28)</f>
        <v>0</v>
      </c>
      <c r="I28" s="40" t="str">
        <f aca="false">IF(D28=0,"No arrivals",IF(H28&lt;0.85,"Stable",IF(H28&lt;1,"Stable, near capacity","UNSTABLE: queue grows")))</f>
        <v>No arrivals</v>
      </c>
      <c r="J28" s="34" t="str">
        <f aca="false">IF(AND(D28&gt;0,H28&lt;1),H28/(F28-D28),"—")</f>
        <v>—</v>
      </c>
      <c r="K28" s="34" t="str">
        <f aca="false">IF(ISNUMBER(J28),(1+0.3^2)/2*J28,"—")</f>
        <v>—</v>
      </c>
      <c r="L28" s="35" t="n">
        <f aca="false">'Sim Data'!$F$20</f>
        <v>0</v>
      </c>
      <c r="M28" s="41" t="n">
        <f aca="false">'Sim Data'!$H$20</f>
        <v>0</v>
      </c>
      <c r="N28" s="37" t="n">
        <f aca="false">D28*L28</f>
        <v>0</v>
      </c>
      <c r="O28" s="34" t="str">
        <f aca="false">IF(MAX(M28,N28)&lt;0.5,"both ≈ 0",IF(N28=0,"no new arrivals",M28/N28))</f>
        <v>both ≈ 0</v>
      </c>
      <c r="P28" s="40" t="str">
        <f aca="false">IF(D28=0,"",IF(H28&gt;=1,"No steady state: line grows by ~"&amp;TEXT((D28-G28*F28)*10,"0")&amp;" in this slot",IF(ISNUMBER(O28),IF(ABS(O28-1)&lt;=0.2,"Little's Law holds (steady)",IF(O28&gt;1,"More waiting than λWq: queue left over from before","Fewer waiting than λWq: queue still building")),"Hardly any queue")))</f>
        <v/>
      </c>
    </row>
    <row r="29" customFormat="false" ht="15" hidden="false" customHeight="false" outlineLevel="0" collapsed="false">
      <c r="A29" s="6" t="s">
        <v>251</v>
      </c>
      <c r="B29" s="6" t="s">
        <v>252</v>
      </c>
      <c r="C29" s="6" t="s">
        <v>261</v>
      </c>
      <c r="D29" s="35" t="n">
        <f aca="false">'Sim Data'!$E$21</f>
        <v>0</v>
      </c>
      <c r="E29" s="36" t="n">
        <f aca="false">'Sim Data'!$G$21</f>
        <v>0</v>
      </c>
      <c r="F29" s="37" t="n">
        <f aca="false">IF(E29&gt;0,1/E29,60/Assumptions!$B$13)</f>
        <v>30</v>
      </c>
      <c r="G29" s="38" t="n">
        <f aca="false">Assumptions!$B$12</f>
        <v>1</v>
      </c>
      <c r="H29" s="39" t="n">
        <f aca="false">D29/(G29*F29)</f>
        <v>0</v>
      </c>
      <c r="I29" s="40" t="str">
        <f aca="false">IF(D29=0,"No arrivals",IF(H29&lt;0.85,"Stable",IF(H29&lt;1,"Stable, near capacity","UNSTABLE: queue grows")))</f>
        <v>No arrivals</v>
      </c>
      <c r="J29" s="34" t="str">
        <f aca="false">IF(AND(D29&gt;0,H29&lt;1),H29/(F29-D29),"—")</f>
        <v>—</v>
      </c>
      <c r="K29" s="34" t="str">
        <f aca="false">IF(ISNUMBER(J29),(1+0.3^2)/2*J29,"—")</f>
        <v>—</v>
      </c>
      <c r="L29" s="35" t="n">
        <f aca="false">'Sim Data'!$F$21</f>
        <v>0</v>
      </c>
      <c r="M29" s="41" t="n">
        <f aca="false">'Sim Data'!$H$21</f>
        <v>0</v>
      </c>
      <c r="N29" s="37" t="n">
        <f aca="false">D29*L29</f>
        <v>0</v>
      </c>
      <c r="O29" s="34" t="str">
        <f aca="false">IF(MAX(M29,N29)&lt;0.5,"both ≈ 0",IF(N29=0,"no new arrivals",M29/N29))</f>
        <v>both ≈ 0</v>
      </c>
      <c r="P29" s="40" t="str">
        <f aca="false">IF(D29=0,"",IF(H29&gt;=1,"No steady state: line grows by ~"&amp;TEXT((D29-G29*F29)*10,"0")&amp;" in this slot",IF(ISNUMBER(O29),IF(ABS(O29-1)&lt;=0.2,"Little's Law holds (steady)",IF(O29&gt;1,"More waiting than λWq: queue left over from before","Fewer waiting than λWq: queue still building")),"Hardly any queue")))</f>
        <v/>
      </c>
    </row>
    <row r="30" customFormat="false" ht="15" hidden="false" customHeight="false" outlineLevel="0" collapsed="false">
      <c r="A30" s="6" t="s">
        <v>251</v>
      </c>
      <c r="B30" s="6" t="s">
        <v>252</v>
      </c>
      <c r="C30" s="6" t="s">
        <v>262</v>
      </c>
      <c r="D30" s="35" t="n">
        <f aca="false">'Sim Data'!$E$22</f>
        <v>0</v>
      </c>
      <c r="E30" s="36" t="n">
        <f aca="false">'Sim Data'!$G$22</f>
        <v>0</v>
      </c>
      <c r="F30" s="37" t="n">
        <f aca="false">IF(E30&gt;0,1/E30,60/Assumptions!$B$13)</f>
        <v>30</v>
      </c>
      <c r="G30" s="38" t="n">
        <f aca="false">Assumptions!$B$12</f>
        <v>1</v>
      </c>
      <c r="H30" s="39" t="n">
        <f aca="false">D30/(G30*F30)</f>
        <v>0</v>
      </c>
      <c r="I30" s="40" t="str">
        <f aca="false">IF(D30=0,"No arrivals",IF(H30&lt;0.85,"Stable",IF(H30&lt;1,"Stable, near capacity","UNSTABLE: queue grows")))</f>
        <v>No arrivals</v>
      </c>
      <c r="J30" s="34" t="str">
        <f aca="false">IF(AND(D30&gt;0,H30&lt;1),H30/(F30-D30),"—")</f>
        <v>—</v>
      </c>
      <c r="K30" s="34" t="str">
        <f aca="false">IF(ISNUMBER(J30),(1+0.3^2)/2*J30,"—")</f>
        <v>—</v>
      </c>
      <c r="L30" s="35" t="n">
        <f aca="false">'Sim Data'!$F$22</f>
        <v>0</v>
      </c>
      <c r="M30" s="41" t="n">
        <f aca="false">'Sim Data'!$H$22</f>
        <v>0</v>
      </c>
      <c r="N30" s="37" t="n">
        <f aca="false">D30*L30</f>
        <v>0</v>
      </c>
      <c r="O30" s="34" t="str">
        <f aca="false">IF(MAX(M30,N30)&lt;0.5,"both ≈ 0",IF(N30=0,"no new arrivals",M30/N30))</f>
        <v>both ≈ 0</v>
      </c>
      <c r="P30" s="40" t="str">
        <f aca="false">IF(D30=0,"",IF(H30&gt;=1,"No steady state: line grows by ~"&amp;TEXT((D30-G30*F30)*10,"0")&amp;" in this slot",IF(ISNUMBER(O30),IF(ABS(O30-1)&lt;=0.2,"Little's Law holds (steady)",IF(O30&gt;1,"More waiting than λWq: queue left over from before","Fewer waiting than λWq: queue still building")),"Hardly any queue")))</f>
        <v/>
      </c>
    </row>
    <row r="31" customFormat="false" ht="15" hidden="false" customHeight="false" outlineLevel="0" collapsed="false">
      <c r="A31" s="6" t="s">
        <v>251</v>
      </c>
      <c r="B31" s="6" t="s">
        <v>266</v>
      </c>
      <c r="C31" s="6" t="s">
        <v>254</v>
      </c>
      <c r="D31" s="35" t="n">
        <f aca="false">'Sim Data'!$E$95</f>
        <v>0</v>
      </c>
      <c r="E31" s="36" t="n">
        <f aca="false">'Sim Data'!$G$95</f>
        <v>0</v>
      </c>
      <c r="F31" s="37" t="n">
        <f aca="false">IF(E31&gt;0,1/E31,60/Assumptions!$B$13)</f>
        <v>30</v>
      </c>
      <c r="G31" s="38" t="n">
        <f aca="false">Assumptions!$B$12</f>
        <v>1</v>
      </c>
      <c r="H31" s="39" t="n">
        <f aca="false">D31/(G31*F31)</f>
        <v>0</v>
      </c>
      <c r="I31" s="40" t="str">
        <f aca="false">IF(D31=0,"No arrivals",IF(H31&lt;0.85,"Stable",IF(H31&lt;1,"Stable, near capacity","UNSTABLE: queue grows")))</f>
        <v>No arrivals</v>
      </c>
      <c r="J31" s="34" t="str">
        <f aca="false">IF(AND(D31&gt;0,H31&lt;1),H31/(F31-D31),"—")</f>
        <v>—</v>
      </c>
      <c r="K31" s="34" t="str">
        <f aca="false">IF(ISNUMBER(J31),(1+0.3^2)/2*J31,"—")</f>
        <v>—</v>
      </c>
      <c r="L31" s="35" t="n">
        <f aca="false">'Sim Data'!$F$95</f>
        <v>0</v>
      </c>
      <c r="M31" s="41" t="n">
        <f aca="false">'Sim Data'!$H$95</f>
        <v>0</v>
      </c>
      <c r="N31" s="37" t="n">
        <f aca="false">D31*L31</f>
        <v>0</v>
      </c>
      <c r="O31" s="34" t="str">
        <f aca="false">IF(MAX(M31,N31)&lt;0.5,"both ≈ 0",IF(N31=0,"no new arrivals",M31/N31))</f>
        <v>both ≈ 0</v>
      </c>
      <c r="P31" s="40" t="str">
        <f aca="false">IF(D31=0,"",IF(H31&gt;=1,"No steady state: line grows by ~"&amp;TEXT((D31-G31*F31)*10,"0")&amp;" in this slot",IF(ISNUMBER(O31),IF(ABS(O31-1)&lt;=0.2,"Little's Law holds (steady)",IF(O31&gt;1,"More waiting than λWq: queue left over from before","Fewer waiting than λWq: queue still building")),"Hardly any queue")))</f>
        <v/>
      </c>
    </row>
    <row r="32" customFormat="false" ht="15" hidden="false" customHeight="false" outlineLevel="0" collapsed="false">
      <c r="A32" s="6" t="s">
        <v>251</v>
      </c>
      <c r="B32" s="6" t="s">
        <v>266</v>
      </c>
      <c r="C32" s="6" t="s">
        <v>255</v>
      </c>
      <c r="D32" s="35" t="n">
        <f aca="false">'Sim Data'!$E$96</f>
        <v>0</v>
      </c>
      <c r="E32" s="36" t="n">
        <f aca="false">'Sim Data'!$G$96</f>
        <v>0</v>
      </c>
      <c r="F32" s="37" t="n">
        <f aca="false">IF(E32&gt;0,1/E32,60/Assumptions!$B$13)</f>
        <v>30</v>
      </c>
      <c r="G32" s="38" t="n">
        <f aca="false">Assumptions!$B$12</f>
        <v>1</v>
      </c>
      <c r="H32" s="39" t="n">
        <f aca="false">D32/(G32*F32)</f>
        <v>0</v>
      </c>
      <c r="I32" s="40" t="str">
        <f aca="false">IF(D32=0,"No arrivals",IF(H32&lt;0.85,"Stable",IF(H32&lt;1,"Stable, near capacity","UNSTABLE: queue grows")))</f>
        <v>No arrivals</v>
      </c>
      <c r="J32" s="34" t="str">
        <f aca="false">IF(AND(D32&gt;0,H32&lt;1),H32/(F32-D32),"—")</f>
        <v>—</v>
      </c>
      <c r="K32" s="34" t="str">
        <f aca="false">IF(ISNUMBER(J32),(1+0.3^2)/2*J32,"—")</f>
        <v>—</v>
      </c>
      <c r="L32" s="35" t="n">
        <f aca="false">'Sim Data'!$F$96</f>
        <v>0</v>
      </c>
      <c r="M32" s="41" t="n">
        <f aca="false">'Sim Data'!$H$96</f>
        <v>0</v>
      </c>
      <c r="N32" s="37" t="n">
        <f aca="false">D32*L32</f>
        <v>0</v>
      </c>
      <c r="O32" s="34" t="str">
        <f aca="false">IF(MAX(M32,N32)&lt;0.5,"both ≈ 0",IF(N32=0,"no new arrivals",M32/N32))</f>
        <v>both ≈ 0</v>
      </c>
      <c r="P32" s="40" t="str">
        <f aca="false">IF(D32=0,"",IF(H32&gt;=1,"No steady state: line grows by ~"&amp;TEXT((D32-G32*F32)*10,"0")&amp;" in this slot",IF(ISNUMBER(O32),IF(ABS(O32-1)&lt;=0.2,"Little's Law holds (steady)",IF(O32&gt;1,"More waiting than λWq: queue left over from before","Fewer waiting than λWq: queue still building")),"Hardly any queue")))</f>
        <v/>
      </c>
    </row>
    <row r="33" customFormat="false" ht="15" hidden="false" customHeight="false" outlineLevel="0" collapsed="false">
      <c r="A33" s="6" t="s">
        <v>251</v>
      </c>
      <c r="B33" s="6" t="s">
        <v>266</v>
      </c>
      <c r="C33" s="6" t="s">
        <v>256</v>
      </c>
      <c r="D33" s="35" t="n">
        <f aca="false">'Sim Data'!$E$97</f>
        <v>0</v>
      </c>
      <c r="E33" s="36" t="n">
        <f aca="false">'Sim Data'!$G$97</f>
        <v>0</v>
      </c>
      <c r="F33" s="37" t="n">
        <f aca="false">IF(E33&gt;0,1/E33,60/Assumptions!$B$13)</f>
        <v>30</v>
      </c>
      <c r="G33" s="38" t="n">
        <f aca="false">Assumptions!$B$12</f>
        <v>1</v>
      </c>
      <c r="H33" s="39" t="n">
        <f aca="false">D33/(G33*F33)</f>
        <v>0</v>
      </c>
      <c r="I33" s="40" t="str">
        <f aca="false">IF(D33=0,"No arrivals",IF(H33&lt;0.85,"Stable",IF(H33&lt;1,"Stable, near capacity","UNSTABLE: queue grows")))</f>
        <v>No arrivals</v>
      </c>
      <c r="J33" s="34" t="str">
        <f aca="false">IF(AND(D33&gt;0,H33&lt;1),H33/(F33-D33),"—")</f>
        <v>—</v>
      </c>
      <c r="K33" s="34" t="str">
        <f aca="false">IF(ISNUMBER(J33),(1+0.3^2)/2*J33,"—")</f>
        <v>—</v>
      </c>
      <c r="L33" s="35" t="n">
        <f aca="false">'Sim Data'!$F$97</f>
        <v>0</v>
      </c>
      <c r="M33" s="41" t="n">
        <f aca="false">'Sim Data'!$H$97</f>
        <v>0</v>
      </c>
      <c r="N33" s="37" t="n">
        <f aca="false">D33*L33</f>
        <v>0</v>
      </c>
      <c r="O33" s="34" t="str">
        <f aca="false">IF(MAX(M33,N33)&lt;0.5,"both ≈ 0",IF(N33=0,"no new arrivals",M33/N33))</f>
        <v>both ≈ 0</v>
      </c>
      <c r="P33" s="40" t="str">
        <f aca="false">IF(D33=0,"",IF(H33&gt;=1,"No steady state: line grows by ~"&amp;TEXT((D33-G33*F33)*10,"0")&amp;" in this slot",IF(ISNUMBER(O33),IF(ABS(O33-1)&lt;=0.2,"Little's Law holds (steady)",IF(O33&gt;1,"More waiting than λWq: queue left over from before","Fewer waiting than λWq: queue still building")),"Hardly any queue")))</f>
        <v/>
      </c>
    </row>
    <row r="34" customFormat="false" ht="15" hidden="false" customHeight="false" outlineLevel="0" collapsed="false">
      <c r="A34" s="6" t="s">
        <v>251</v>
      </c>
      <c r="B34" s="6" t="s">
        <v>266</v>
      </c>
      <c r="C34" s="6" t="s">
        <v>124</v>
      </c>
      <c r="D34" s="35" t="n">
        <f aca="false">'Sim Data'!$E$98</f>
        <v>3.88</v>
      </c>
      <c r="E34" s="36" t="n">
        <f aca="false">'Sim Data'!$G$98</f>
        <v>0.0336</v>
      </c>
      <c r="F34" s="37" t="n">
        <f aca="false">IF(E34&gt;0,1/E34,60/Assumptions!$B$13)</f>
        <v>29.7619047619048</v>
      </c>
      <c r="G34" s="38" t="n">
        <f aca="false">Assumptions!$B$12</f>
        <v>1</v>
      </c>
      <c r="H34" s="39" t="n">
        <f aca="false">D34/(G34*F34)</f>
        <v>0.130368</v>
      </c>
      <c r="I34" s="40" t="str">
        <f aca="false">IF(D34=0,"No arrivals",IF(H34&lt;0.85,"Stable",IF(H34&lt;1,"Stable, near capacity","UNSTABLE: queue grows")))</f>
        <v>Stable</v>
      </c>
      <c r="J34" s="34" t="n">
        <f aca="false">IF(AND(D34&gt;0,H34&lt;1),H34/(F34-D34),"—")</f>
        <v>0.00503703267589049</v>
      </c>
      <c r="K34" s="34" t="n">
        <f aca="false">IF(ISNUMBER(J34),(1+0.3^2)/2*J34,"—")</f>
        <v>0.00274518280836032</v>
      </c>
      <c r="L34" s="35" t="n">
        <f aca="false">'Sim Data'!$F$98</f>
        <v>0.0031</v>
      </c>
      <c r="M34" s="41" t="n">
        <f aca="false">'Sim Data'!$H$98</f>
        <v>0.0122</v>
      </c>
      <c r="N34" s="37" t="n">
        <f aca="false">D34*L34</f>
        <v>0.012028</v>
      </c>
      <c r="O34" s="34" t="str">
        <f aca="false">IF(MAX(M34,N34)&lt;0.5,"both ≈ 0",IF(N34=0,"no new arrivals",M34/N34))</f>
        <v>both ≈ 0</v>
      </c>
      <c r="P34" s="40" t="str">
        <f aca="false">IF(D34=0,"",IF(H34&gt;=1,"No steady state: line grows by ~"&amp;TEXT((D34-G34*F34)*10,"0")&amp;" in this slot",IF(ISNUMBER(O34),IF(ABS(O34-1)&lt;=0.2,"Little's Law holds (steady)",IF(O34&gt;1,"More waiting than λWq: queue left over from before","Fewer waiting than λWq: queue still building")),"Hardly any queue")))</f>
        <v>Hardly any queue</v>
      </c>
    </row>
    <row r="35" customFormat="false" ht="15" hidden="false" customHeight="false" outlineLevel="0" collapsed="false">
      <c r="A35" s="6" t="s">
        <v>251</v>
      </c>
      <c r="B35" s="6" t="s">
        <v>266</v>
      </c>
      <c r="C35" s="6" t="s">
        <v>257</v>
      </c>
      <c r="D35" s="35" t="n">
        <f aca="false">'Sim Data'!$E$99</f>
        <v>4.64</v>
      </c>
      <c r="E35" s="36" t="n">
        <f aca="false">'Sim Data'!$G$99</f>
        <v>0.0335</v>
      </c>
      <c r="F35" s="37" t="n">
        <f aca="false">IF(E35&gt;0,1/E35,60/Assumptions!$B$13)</f>
        <v>29.8507462686567</v>
      </c>
      <c r="G35" s="38" t="n">
        <f aca="false">Assumptions!$B$12</f>
        <v>1</v>
      </c>
      <c r="H35" s="39" t="n">
        <f aca="false">D35/(G35*F35)</f>
        <v>0.15544</v>
      </c>
      <c r="I35" s="40" t="str">
        <f aca="false">IF(D35=0,"No arrivals",IF(H35&lt;0.85,"Stable",IF(H35&lt;1,"Stable, near capacity","UNSTABLE: queue grows")))</f>
        <v>Stable</v>
      </c>
      <c r="J35" s="34" t="n">
        <f aca="false">IF(AND(D35&gt;0,H35&lt;1),H35/(F35-D35),"—")</f>
        <v>0.00616562470398788</v>
      </c>
      <c r="K35" s="34" t="n">
        <f aca="false">IF(ISNUMBER(J35),(1+0.3^2)/2*J35,"—")</f>
        <v>0.00336026546367339</v>
      </c>
      <c r="L35" s="35" t="n">
        <f aca="false">'Sim Data'!$F$99</f>
        <v>0.003</v>
      </c>
      <c r="M35" s="41" t="n">
        <f aca="false">'Sim Data'!$H$99</f>
        <v>0.0141</v>
      </c>
      <c r="N35" s="37" t="n">
        <f aca="false">D35*L35</f>
        <v>0.01392</v>
      </c>
      <c r="O35" s="34" t="str">
        <f aca="false">IF(MAX(M35,N35)&lt;0.5,"both ≈ 0",IF(N35=0,"no new arrivals",M35/N35))</f>
        <v>both ≈ 0</v>
      </c>
      <c r="P35" s="40" t="str">
        <f aca="false">IF(D35=0,"",IF(H35&gt;=1,"No steady state: line grows by ~"&amp;TEXT((D35-G35*F35)*10,"0")&amp;" in this slot",IF(ISNUMBER(O35),IF(ABS(O35-1)&lt;=0.2,"Little's Law holds (steady)",IF(O35&gt;1,"More waiting than λWq: queue left over from before","Fewer waiting than λWq: queue still building")),"Hardly any queue")))</f>
        <v>Hardly any queue</v>
      </c>
    </row>
    <row r="36" customFormat="false" ht="15" hidden="false" customHeight="false" outlineLevel="0" collapsed="false">
      <c r="A36" s="6" t="s">
        <v>251</v>
      </c>
      <c r="B36" s="6" t="s">
        <v>266</v>
      </c>
      <c r="C36" s="6" t="s">
        <v>258</v>
      </c>
      <c r="D36" s="35" t="n">
        <f aca="false">'Sim Data'!$E$100</f>
        <v>4.78</v>
      </c>
      <c r="E36" s="36" t="n">
        <f aca="false">'Sim Data'!$G$100</f>
        <v>0.0329</v>
      </c>
      <c r="F36" s="37" t="n">
        <f aca="false">IF(E36&gt;0,1/E36,60/Assumptions!$B$13)</f>
        <v>30.3951367781155</v>
      </c>
      <c r="G36" s="38" t="n">
        <f aca="false">Assumptions!$B$12</f>
        <v>1</v>
      </c>
      <c r="H36" s="39" t="n">
        <f aca="false">D36/(G36*F36)</f>
        <v>0.157262</v>
      </c>
      <c r="I36" s="40" t="str">
        <f aca="false">IF(D36=0,"No arrivals",IF(H36&lt;0.85,"Stable",IF(H36&lt;1,"Stable, near capacity","UNSTABLE: queue grows")))</f>
        <v>Stable</v>
      </c>
      <c r="J36" s="34" t="n">
        <f aca="false">IF(AND(D36&gt;0,H36&lt;1),H36/(F36-D36),"—")</f>
        <v>0.00613941675823328</v>
      </c>
      <c r="K36" s="34" t="n">
        <f aca="false">IF(ISNUMBER(J36),(1+0.3^2)/2*J36,"—")</f>
        <v>0.00334598213323714</v>
      </c>
      <c r="L36" s="35" t="n">
        <f aca="false">'Sim Data'!$F$100</f>
        <v>0.0039</v>
      </c>
      <c r="M36" s="41" t="n">
        <f aca="false">'Sim Data'!$H$100</f>
        <v>0.0185</v>
      </c>
      <c r="N36" s="37" t="n">
        <f aca="false">D36*L36</f>
        <v>0.018642</v>
      </c>
      <c r="O36" s="34" t="str">
        <f aca="false">IF(MAX(M36,N36)&lt;0.5,"both ≈ 0",IF(N36=0,"no new arrivals",M36/N36))</f>
        <v>both ≈ 0</v>
      </c>
      <c r="P36" s="40" t="str">
        <f aca="false">IF(D36=0,"",IF(H36&gt;=1,"No steady state: line grows by ~"&amp;TEXT((D36-G36*F36)*10,"0")&amp;" in this slot",IF(ISNUMBER(O36),IF(ABS(O36-1)&lt;=0.2,"Little's Law holds (steady)",IF(O36&gt;1,"More waiting than λWq: queue left over from before","Fewer waiting than λWq: queue still building")),"Hardly any queue")))</f>
        <v>Hardly any queue</v>
      </c>
    </row>
    <row r="37" customFormat="false" ht="15" hidden="false" customHeight="false" outlineLevel="0" collapsed="false">
      <c r="A37" s="6" t="s">
        <v>251</v>
      </c>
      <c r="B37" s="6" t="s">
        <v>266</v>
      </c>
      <c r="C37" s="6" t="s">
        <v>133</v>
      </c>
      <c r="D37" s="35" t="n">
        <f aca="false">'Sim Data'!$E$101</f>
        <v>5.73</v>
      </c>
      <c r="E37" s="36" t="n">
        <f aca="false">'Sim Data'!$G$101</f>
        <v>0.0334</v>
      </c>
      <c r="F37" s="37" t="n">
        <f aca="false">IF(E37&gt;0,1/E37,60/Assumptions!$B$13)</f>
        <v>29.940119760479</v>
      </c>
      <c r="G37" s="38" t="n">
        <f aca="false">Assumptions!$B$12</f>
        <v>1</v>
      </c>
      <c r="H37" s="39" t="n">
        <f aca="false">D37/(G37*F37)</f>
        <v>0.191382</v>
      </c>
      <c r="I37" s="40" t="str">
        <f aca="false">IF(D37=0,"No arrivals",IF(H37&lt;0.85,"Stable",IF(H37&lt;1,"Stable, near capacity","UNSTABLE: queue grows")))</f>
        <v>Stable</v>
      </c>
      <c r="J37" s="34" t="n">
        <f aca="false">IF(AND(D37&gt;0,H37&lt;1),H37/(F37-D37),"—")</f>
        <v>0.00790504144107601</v>
      </c>
      <c r="K37" s="34" t="n">
        <f aca="false">IF(ISNUMBER(J37),(1+0.3^2)/2*J37,"—")</f>
        <v>0.00430824758538643</v>
      </c>
      <c r="L37" s="35" t="n">
        <f aca="false">'Sim Data'!$F$101</f>
        <v>0.0048</v>
      </c>
      <c r="M37" s="41" t="n">
        <f aca="false">'Sim Data'!$H$101</f>
        <v>0.0272</v>
      </c>
      <c r="N37" s="37" t="n">
        <f aca="false">D37*L37</f>
        <v>0.027504</v>
      </c>
      <c r="O37" s="34" t="str">
        <f aca="false">IF(MAX(M37,N37)&lt;0.5,"both ≈ 0",IF(N37=0,"no new arrivals",M37/N37))</f>
        <v>both ≈ 0</v>
      </c>
      <c r="P37" s="40" t="str">
        <f aca="false">IF(D37=0,"",IF(H37&gt;=1,"No steady state: line grows by ~"&amp;TEXT((D37-G37*F37)*10,"0")&amp;" in this slot",IF(ISNUMBER(O37),IF(ABS(O37-1)&lt;=0.2,"Little's Law holds (steady)",IF(O37&gt;1,"More waiting than λWq: queue left over from before","Fewer waiting than λWq: queue still building")),"Hardly any queue")))</f>
        <v>Hardly any queue</v>
      </c>
    </row>
    <row r="38" customFormat="false" ht="15" hidden="false" customHeight="false" outlineLevel="0" collapsed="false">
      <c r="A38" s="6" t="s">
        <v>251</v>
      </c>
      <c r="B38" s="6" t="s">
        <v>266</v>
      </c>
      <c r="C38" s="6" t="s">
        <v>137</v>
      </c>
      <c r="D38" s="35" t="n">
        <f aca="false">'Sim Data'!$E$102</f>
        <v>5.36</v>
      </c>
      <c r="E38" s="36" t="n">
        <f aca="false">'Sim Data'!$G$102</f>
        <v>0.0333</v>
      </c>
      <c r="F38" s="37" t="n">
        <f aca="false">IF(E38&gt;0,1/E38,60/Assumptions!$B$13)</f>
        <v>30.03003003003</v>
      </c>
      <c r="G38" s="38" t="n">
        <f aca="false">Assumptions!$B$12</f>
        <v>1</v>
      </c>
      <c r="H38" s="39" t="n">
        <f aca="false">D38/(G38*F38)</f>
        <v>0.178488</v>
      </c>
      <c r="I38" s="40" t="str">
        <f aca="false">IF(D38=0,"No arrivals",IF(H38&lt;0.85,"Stable",IF(H38&lt;1,"Stable, near capacity","UNSTABLE: queue grows")))</f>
        <v>Stable</v>
      </c>
      <c r="J38" s="34" t="n">
        <f aca="false">IF(AND(D38&gt;0,H38&lt;1),H38/(F38-D38),"—")</f>
        <v>0.00723501348732581</v>
      </c>
      <c r="K38" s="34" t="n">
        <f aca="false">IF(ISNUMBER(J38),(1+0.3^2)/2*J38,"—")</f>
        <v>0.00394308235059257</v>
      </c>
      <c r="L38" s="35" t="n">
        <f aca="false">'Sim Data'!$F$102</f>
        <v>0.0039</v>
      </c>
      <c r="M38" s="41" t="n">
        <f aca="false">'Sim Data'!$H$102</f>
        <v>0.0209</v>
      </c>
      <c r="N38" s="37" t="n">
        <f aca="false">D38*L38</f>
        <v>0.020904</v>
      </c>
      <c r="O38" s="34" t="str">
        <f aca="false">IF(MAX(M38,N38)&lt;0.5,"both ≈ 0",IF(N38=0,"no new arrivals",M38/N38))</f>
        <v>both ≈ 0</v>
      </c>
      <c r="P38" s="40" t="str">
        <f aca="false">IF(D38=0,"",IF(H38&gt;=1,"No steady state: line grows by ~"&amp;TEXT((D38-G38*F38)*10,"0")&amp;" in this slot",IF(ISNUMBER(O38),IF(ABS(O38-1)&lt;=0.2,"Little's Law holds (steady)",IF(O38&gt;1,"More waiting than λWq: queue left over from before","Fewer waiting than λWq: queue still building")),"Hardly any queue")))</f>
        <v>Hardly any queue</v>
      </c>
    </row>
    <row r="39" customFormat="false" ht="15" hidden="false" customHeight="false" outlineLevel="0" collapsed="false">
      <c r="A39" s="6" t="s">
        <v>251</v>
      </c>
      <c r="B39" s="6" t="s">
        <v>266</v>
      </c>
      <c r="C39" s="6" t="s">
        <v>140</v>
      </c>
      <c r="D39" s="35" t="n">
        <f aca="false">'Sim Data'!$E$103</f>
        <v>4.375</v>
      </c>
      <c r="E39" s="36" t="n">
        <f aca="false">'Sim Data'!$G$103</f>
        <v>0.0336</v>
      </c>
      <c r="F39" s="37" t="n">
        <f aca="false">IF(E39&gt;0,1/E39,60/Assumptions!$B$13)</f>
        <v>29.7619047619048</v>
      </c>
      <c r="G39" s="38" t="n">
        <f aca="false">Assumptions!$B$12</f>
        <v>1</v>
      </c>
      <c r="H39" s="39" t="n">
        <f aca="false">D39/(G39*F39)</f>
        <v>0.147</v>
      </c>
      <c r="I39" s="40" t="str">
        <f aca="false">IF(D39=0,"No arrivals",IF(H39&lt;0.85,"Stable",IF(H39&lt;1,"Stable, near capacity","UNSTABLE: queue grows")))</f>
        <v>Stable</v>
      </c>
      <c r="J39" s="34" t="n">
        <f aca="false">IF(AND(D39&gt;0,H39&lt;1),H39/(F39-D39),"—")</f>
        <v>0.00579038686987104</v>
      </c>
      <c r="K39" s="34" t="n">
        <f aca="false">IF(ISNUMBER(J39),(1+0.3^2)/2*J39,"—")</f>
        <v>0.00315576084407972</v>
      </c>
      <c r="L39" s="35" t="n">
        <f aca="false">'Sim Data'!$F$103</f>
        <v>0.0035</v>
      </c>
      <c r="M39" s="41" t="n">
        <f aca="false">'Sim Data'!$H$103</f>
        <v>0.0152</v>
      </c>
      <c r="N39" s="37" t="n">
        <f aca="false">D39*L39</f>
        <v>0.0153125</v>
      </c>
      <c r="O39" s="34" t="str">
        <f aca="false">IF(MAX(M39,N39)&lt;0.5,"both ≈ 0",IF(N39=0,"no new arrivals",M39/N39))</f>
        <v>both ≈ 0</v>
      </c>
      <c r="P39" s="40" t="str">
        <f aca="false">IF(D39=0,"",IF(H39&gt;=1,"No steady state: line grows by ~"&amp;TEXT((D39-G39*F39)*10,"0")&amp;" in this slot",IF(ISNUMBER(O39),IF(ABS(O39-1)&lt;=0.2,"Little's Law holds (steady)",IF(O39&gt;1,"More waiting than λWq: queue left over from before","Fewer waiting than λWq: queue still building")),"Hardly any queue")))</f>
        <v>Hardly any queue</v>
      </c>
    </row>
    <row r="40" customFormat="false" ht="15" hidden="false" customHeight="false" outlineLevel="0" collapsed="false">
      <c r="A40" s="6" t="s">
        <v>251</v>
      </c>
      <c r="B40" s="6" t="s">
        <v>266</v>
      </c>
      <c r="C40" s="6" t="s">
        <v>125</v>
      </c>
      <c r="D40" s="35" t="n">
        <f aca="false">'Sim Data'!$E$104</f>
        <v>5.67</v>
      </c>
      <c r="E40" s="36" t="n">
        <f aca="false">'Sim Data'!$G$104</f>
        <v>0.0335</v>
      </c>
      <c r="F40" s="37" t="n">
        <f aca="false">IF(E40&gt;0,1/E40,60/Assumptions!$B$13)</f>
        <v>29.8507462686567</v>
      </c>
      <c r="G40" s="38" t="n">
        <f aca="false">Assumptions!$B$12</f>
        <v>1</v>
      </c>
      <c r="H40" s="39" t="n">
        <f aca="false">D40/(G40*F40)</f>
        <v>0.189945</v>
      </c>
      <c r="I40" s="40" t="str">
        <f aca="false">IF(D40=0,"No arrivals",IF(H40&lt;0.85,"Stable",IF(H40&lt;1,"Stable, near capacity","UNSTABLE: queue grows")))</f>
        <v>Stable</v>
      </c>
      <c r="J40" s="34" t="n">
        <f aca="false">IF(AND(D40&gt;0,H40&lt;1),H40/(F40-D40),"—")</f>
        <v>0.00785521662109363</v>
      </c>
      <c r="K40" s="34" t="n">
        <f aca="false">IF(ISNUMBER(J40),(1+0.3^2)/2*J40,"—")</f>
        <v>0.00428109305849603</v>
      </c>
      <c r="L40" s="35" t="n">
        <f aca="false">'Sim Data'!$F$104</f>
        <v>0.0042</v>
      </c>
      <c r="M40" s="41" t="n">
        <f aca="false">'Sim Data'!$H$104</f>
        <v>0.024</v>
      </c>
      <c r="N40" s="37" t="n">
        <f aca="false">D40*L40</f>
        <v>0.023814</v>
      </c>
      <c r="O40" s="34" t="str">
        <f aca="false">IF(MAX(M40,N40)&lt;0.5,"both ≈ 0",IF(N40=0,"no new arrivals",M40/N40))</f>
        <v>both ≈ 0</v>
      </c>
      <c r="P40" s="40" t="str">
        <f aca="false">IF(D40=0,"",IF(H40&gt;=1,"No steady state: line grows by ~"&amp;TEXT((D40-G40*F40)*10,"0")&amp;" in this slot",IF(ISNUMBER(O40),IF(ABS(O40-1)&lt;=0.2,"Little's Law holds (steady)",IF(O40&gt;1,"More waiting than λWq: queue left over from before","Fewer waiting than λWq: queue still building")),"Hardly any queue")))</f>
        <v>Hardly any queue</v>
      </c>
    </row>
    <row r="41" customFormat="false" ht="15" hidden="false" customHeight="false" outlineLevel="0" collapsed="false">
      <c r="A41" s="6" t="s">
        <v>251</v>
      </c>
      <c r="B41" s="6" t="s">
        <v>266</v>
      </c>
      <c r="C41" s="6" t="s">
        <v>259</v>
      </c>
      <c r="D41" s="35" t="n">
        <f aca="false">'Sim Data'!$E$105</f>
        <v>7.435</v>
      </c>
      <c r="E41" s="36" t="n">
        <f aca="false">'Sim Data'!$G$105</f>
        <v>0.0333</v>
      </c>
      <c r="F41" s="37" t="n">
        <f aca="false">IF(E41&gt;0,1/E41,60/Assumptions!$B$13)</f>
        <v>30.03003003003</v>
      </c>
      <c r="G41" s="38" t="n">
        <f aca="false">Assumptions!$B$12</f>
        <v>1</v>
      </c>
      <c r="H41" s="39" t="n">
        <f aca="false">D41/(G41*F41)</f>
        <v>0.2475855</v>
      </c>
      <c r="I41" s="40" t="str">
        <f aca="false">IF(D41=0,"No arrivals",IF(H41&lt;0.85,"Stable",IF(H41&lt;1,"Stable, near capacity","UNSTABLE: queue grows")))</f>
        <v>Stable</v>
      </c>
      <c r="J41" s="34" t="n">
        <f aca="false">IF(AND(D41&gt;0,H41&lt;1),H41/(F41-D41),"—")</f>
        <v>0.0109575202896808</v>
      </c>
      <c r="K41" s="34" t="n">
        <f aca="false">IF(ISNUMBER(J41),(1+0.3^2)/2*J41,"—")</f>
        <v>0.00597184855787601</v>
      </c>
      <c r="L41" s="35" t="n">
        <f aca="false">'Sim Data'!$F$105</f>
        <v>0.0059</v>
      </c>
      <c r="M41" s="41" t="n">
        <f aca="false">'Sim Data'!$H$105</f>
        <v>0.0439</v>
      </c>
      <c r="N41" s="37" t="n">
        <f aca="false">D41*L41</f>
        <v>0.0438665</v>
      </c>
      <c r="O41" s="34" t="str">
        <f aca="false">IF(MAX(M41,N41)&lt;0.5,"both ≈ 0",IF(N41=0,"no new arrivals",M41/N41))</f>
        <v>both ≈ 0</v>
      </c>
      <c r="P41" s="40" t="str">
        <f aca="false">IF(D41=0,"",IF(H41&gt;=1,"No steady state: line grows by ~"&amp;TEXT((D41-G41*F41)*10,"0")&amp;" in this slot",IF(ISNUMBER(O41),IF(ABS(O41-1)&lt;=0.2,"Little's Law holds (steady)",IF(O41&gt;1,"More waiting than λWq: queue left over from before","Fewer waiting than λWq: queue still building")),"Hardly any queue")))</f>
        <v>Hardly any queue</v>
      </c>
    </row>
    <row r="42" customFormat="false" ht="15" hidden="false" customHeight="false" outlineLevel="0" collapsed="false">
      <c r="A42" s="6" t="s">
        <v>251</v>
      </c>
      <c r="B42" s="6" t="s">
        <v>266</v>
      </c>
      <c r="C42" s="6" t="s">
        <v>260</v>
      </c>
      <c r="D42" s="35" t="n">
        <f aca="false">'Sim Data'!$E$106</f>
        <v>7.35</v>
      </c>
      <c r="E42" s="36" t="n">
        <f aca="false">'Sim Data'!$G$106</f>
        <v>0.0334</v>
      </c>
      <c r="F42" s="37" t="n">
        <f aca="false">IF(E42&gt;0,1/E42,60/Assumptions!$B$13)</f>
        <v>29.940119760479</v>
      </c>
      <c r="G42" s="38" t="n">
        <f aca="false">Assumptions!$B$12</f>
        <v>1</v>
      </c>
      <c r="H42" s="39" t="n">
        <f aca="false">D42/(G42*F42)</f>
        <v>0.24549</v>
      </c>
      <c r="I42" s="40" t="str">
        <f aca="false">IF(D42=0,"No arrivals",IF(H42&lt;0.85,"Stable",IF(H42&lt;1,"Stable, near capacity","UNSTABLE: queue grows")))</f>
        <v>Stable</v>
      </c>
      <c r="J42" s="34" t="n">
        <f aca="false">IF(AND(D42&gt;0,H42&lt;1),H42/(F42-D42),"—")</f>
        <v>0.0108671402632172</v>
      </c>
      <c r="K42" s="34" t="n">
        <f aca="false">IF(ISNUMBER(J42),(1+0.3^2)/2*J42,"—")</f>
        <v>0.00592259144345337</v>
      </c>
      <c r="L42" s="35" t="n">
        <f aca="false">'Sim Data'!$F$106</f>
        <v>0.0068</v>
      </c>
      <c r="M42" s="41" t="n">
        <f aca="false">'Sim Data'!$H$106</f>
        <v>0.0497</v>
      </c>
      <c r="N42" s="37" t="n">
        <f aca="false">D42*L42</f>
        <v>0.04998</v>
      </c>
      <c r="O42" s="34" t="str">
        <f aca="false">IF(MAX(M42,N42)&lt;0.5,"both ≈ 0",IF(N42=0,"no new arrivals",M42/N42))</f>
        <v>both ≈ 0</v>
      </c>
      <c r="P42" s="40" t="str">
        <f aca="false">IF(D42=0,"",IF(H42&gt;=1,"No steady state: line grows by ~"&amp;TEXT((D42-G42*F42)*10,"0")&amp;" in this slot",IF(ISNUMBER(O42),IF(ABS(O42-1)&lt;=0.2,"Little's Law holds (steady)",IF(O42&gt;1,"More waiting than λWq: queue left over from before","Fewer waiting than λWq: queue still building")),"Hardly any queue")))</f>
        <v>Hardly any queue</v>
      </c>
    </row>
    <row r="43" customFormat="false" ht="15" hidden="false" customHeight="false" outlineLevel="0" collapsed="false">
      <c r="A43" s="6" t="s">
        <v>251</v>
      </c>
      <c r="B43" s="6" t="s">
        <v>266</v>
      </c>
      <c r="C43" s="6" t="s">
        <v>134</v>
      </c>
      <c r="D43" s="35" t="n">
        <f aca="false">'Sim Data'!$E$107</f>
        <v>5.32</v>
      </c>
      <c r="E43" s="36" t="n">
        <f aca="false">'Sim Data'!$G$107</f>
        <v>0.0329</v>
      </c>
      <c r="F43" s="37" t="n">
        <f aca="false">IF(E43&gt;0,1/E43,60/Assumptions!$B$13)</f>
        <v>30.3951367781155</v>
      </c>
      <c r="G43" s="38" t="n">
        <f aca="false">Assumptions!$B$12</f>
        <v>1</v>
      </c>
      <c r="H43" s="39" t="n">
        <f aca="false">D43/(G43*F43)</f>
        <v>0.175028</v>
      </c>
      <c r="I43" s="40" t="str">
        <f aca="false">IF(D43=0,"No arrivals",IF(H43&lt;0.85,"Stable",IF(H43&lt;1,"Stable, near capacity","UNSTABLE: queue grows")))</f>
        <v>Stable</v>
      </c>
      <c r="J43" s="34" t="n">
        <f aca="false">IF(AND(D43&gt;0,H43&lt;1),H43/(F43-D43),"—")</f>
        <v>0.00698014138661676</v>
      </c>
      <c r="K43" s="34" t="n">
        <f aca="false">IF(ISNUMBER(J43),(1+0.3^2)/2*J43,"—")</f>
        <v>0.00380417705570613</v>
      </c>
      <c r="L43" s="35" t="n">
        <f aca="false">'Sim Data'!$F$107</f>
        <v>0.0035</v>
      </c>
      <c r="M43" s="41" t="n">
        <f aca="false">'Sim Data'!$H$107</f>
        <v>0.0187</v>
      </c>
      <c r="N43" s="37" t="n">
        <f aca="false">D43*L43</f>
        <v>0.01862</v>
      </c>
      <c r="O43" s="34" t="str">
        <f aca="false">IF(MAX(M43,N43)&lt;0.5,"both ≈ 0",IF(N43=0,"no new arrivals",M43/N43))</f>
        <v>both ≈ 0</v>
      </c>
      <c r="P43" s="40" t="str">
        <f aca="false">IF(D43=0,"",IF(H43&gt;=1,"No steady state: line grows by ~"&amp;TEXT((D43-G43*F43)*10,"0")&amp;" in this slot",IF(ISNUMBER(O43),IF(ABS(O43-1)&lt;=0.2,"Little's Law holds (steady)",IF(O43&gt;1,"More waiting than λWq: queue left over from before","Fewer waiting than λWq: queue still building")),"Hardly any queue")))</f>
        <v>Hardly any queue</v>
      </c>
    </row>
    <row r="44" customFormat="false" ht="15" hidden="false" customHeight="false" outlineLevel="0" collapsed="false">
      <c r="A44" s="6" t="s">
        <v>251</v>
      </c>
      <c r="B44" s="6" t="s">
        <v>266</v>
      </c>
      <c r="C44" s="6" t="s">
        <v>138</v>
      </c>
      <c r="D44" s="35" t="n">
        <f aca="false">'Sim Data'!$E$108</f>
        <v>3.5</v>
      </c>
      <c r="E44" s="36" t="n">
        <f aca="false">'Sim Data'!$G$108</f>
        <v>0.0335</v>
      </c>
      <c r="F44" s="37" t="n">
        <f aca="false">IF(E44&gt;0,1/E44,60/Assumptions!$B$13)</f>
        <v>29.8507462686567</v>
      </c>
      <c r="G44" s="38" t="n">
        <f aca="false">Assumptions!$B$12</f>
        <v>1</v>
      </c>
      <c r="H44" s="39" t="n">
        <f aca="false">D44/(G44*F44)</f>
        <v>0.11725</v>
      </c>
      <c r="I44" s="40" t="str">
        <f aca="false">IF(D44=0,"No arrivals",IF(H44&lt;0.85,"Stable",IF(H44&lt;1,"Stable, near capacity","UNSTABLE: queue grows")))</f>
        <v>Stable</v>
      </c>
      <c r="J44" s="34" t="n">
        <f aca="false">IF(AND(D44&gt;0,H44&lt;1),H44/(F44-D44),"—")</f>
        <v>0.00444958935145851</v>
      </c>
      <c r="K44" s="34" t="n">
        <f aca="false">IF(ISNUMBER(J44),(1+0.3^2)/2*J44,"—")</f>
        <v>0.00242502619654489</v>
      </c>
      <c r="L44" s="35" t="n">
        <f aca="false">'Sim Data'!$F$108</f>
        <v>0.0021</v>
      </c>
      <c r="M44" s="41" t="n">
        <f aca="false">'Sim Data'!$H$108</f>
        <v>0.0072</v>
      </c>
      <c r="N44" s="37" t="n">
        <f aca="false">D44*L44</f>
        <v>0.00735</v>
      </c>
      <c r="O44" s="34" t="str">
        <f aca="false">IF(MAX(M44,N44)&lt;0.5,"both ≈ 0",IF(N44=0,"no new arrivals",M44/N44))</f>
        <v>both ≈ 0</v>
      </c>
      <c r="P44" s="40" t="str">
        <f aca="false">IF(D44=0,"",IF(H44&gt;=1,"No steady state: line grows by ~"&amp;TEXT((D44-G44*F44)*10,"0")&amp;" in this slot",IF(ISNUMBER(O44),IF(ABS(O44-1)&lt;=0.2,"Little's Law holds (steady)",IF(O44&gt;1,"More waiting than λWq: queue left over from before","Fewer waiting than λWq: queue still building")),"Hardly any queue")))</f>
        <v>Hardly any queue</v>
      </c>
    </row>
    <row r="45" customFormat="false" ht="15" hidden="false" customHeight="false" outlineLevel="0" collapsed="false">
      <c r="A45" s="6" t="s">
        <v>251</v>
      </c>
      <c r="B45" s="6" t="s">
        <v>266</v>
      </c>
      <c r="C45" s="6" t="s">
        <v>141</v>
      </c>
      <c r="D45" s="35" t="n">
        <f aca="false">'Sim Data'!$E$109</f>
        <v>1.825</v>
      </c>
      <c r="E45" s="36" t="n">
        <f aca="false">'Sim Data'!$G$109</f>
        <v>0.0335</v>
      </c>
      <c r="F45" s="37" t="n">
        <f aca="false">IF(E45&gt;0,1/E45,60/Assumptions!$B$13)</f>
        <v>29.8507462686567</v>
      </c>
      <c r="G45" s="38" t="n">
        <f aca="false">Assumptions!$B$12</f>
        <v>1</v>
      </c>
      <c r="H45" s="39" t="n">
        <f aca="false">D45/(G45*F45)</f>
        <v>0.0611375</v>
      </c>
      <c r="I45" s="40" t="str">
        <f aca="false">IF(D45=0,"No arrivals",IF(H45&lt;0.85,"Stable",IF(H45&lt;1,"Stable, near capacity","UNSTABLE: queue grows")))</f>
        <v>Stable</v>
      </c>
      <c r="J45" s="34" t="n">
        <f aca="false">IF(AND(D45&gt;0,H45&lt;1),H45/(F45-D45),"—")</f>
        <v>0.00218147625451011</v>
      </c>
      <c r="K45" s="34" t="n">
        <f aca="false">IF(ISNUMBER(J45),(1+0.3^2)/2*J45,"—")</f>
        <v>0.00118890455870801</v>
      </c>
      <c r="L45" s="35" t="n">
        <f aca="false">'Sim Data'!$F$109</f>
        <v>0.0009</v>
      </c>
      <c r="M45" s="41" t="n">
        <f aca="false">'Sim Data'!$H$109</f>
        <v>0.0017</v>
      </c>
      <c r="N45" s="37" t="n">
        <f aca="false">D45*L45</f>
        <v>0.0016425</v>
      </c>
      <c r="O45" s="34" t="str">
        <f aca="false">IF(MAX(M45,N45)&lt;0.5,"both ≈ 0",IF(N45=0,"no new arrivals",M45/N45))</f>
        <v>both ≈ 0</v>
      </c>
      <c r="P45" s="40" t="str">
        <f aca="false">IF(D45=0,"",IF(H45&gt;=1,"No steady state: line grows by ~"&amp;TEXT((D45-G45*F45)*10,"0")&amp;" in this slot",IF(ISNUMBER(O45),IF(ABS(O45-1)&lt;=0.2,"Little's Law holds (steady)",IF(O45&gt;1,"More waiting than λWq: queue left over from before","Fewer waiting than λWq: queue still building")),"Hardly any queue")))</f>
        <v>Hardly any queue</v>
      </c>
    </row>
    <row r="46" customFormat="false" ht="15" hidden="false" customHeight="false" outlineLevel="0" collapsed="false">
      <c r="A46" s="6" t="s">
        <v>251</v>
      </c>
      <c r="B46" s="6" t="s">
        <v>266</v>
      </c>
      <c r="C46" s="6" t="s">
        <v>128</v>
      </c>
      <c r="D46" s="35" t="n">
        <f aca="false">'Sim Data'!$E$110</f>
        <v>0</v>
      </c>
      <c r="E46" s="36" t="n">
        <f aca="false">'Sim Data'!$G$110</f>
        <v>0</v>
      </c>
      <c r="F46" s="37" t="n">
        <f aca="false">IF(E46&gt;0,1/E46,60/Assumptions!$B$13)</f>
        <v>30</v>
      </c>
      <c r="G46" s="38" t="n">
        <f aca="false">Assumptions!$B$12</f>
        <v>1</v>
      </c>
      <c r="H46" s="39" t="n">
        <f aca="false">D46/(G46*F46)</f>
        <v>0</v>
      </c>
      <c r="I46" s="40" t="str">
        <f aca="false">IF(D46=0,"No arrivals",IF(H46&lt;0.85,"Stable",IF(H46&lt;1,"Stable, near capacity","UNSTABLE: queue grows")))</f>
        <v>No arrivals</v>
      </c>
      <c r="J46" s="34" t="str">
        <f aca="false">IF(AND(D46&gt;0,H46&lt;1),H46/(F46-D46),"—")</f>
        <v>—</v>
      </c>
      <c r="K46" s="34" t="str">
        <f aca="false">IF(ISNUMBER(J46),(1+0.3^2)/2*J46,"—")</f>
        <v>—</v>
      </c>
      <c r="L46" s="35" t="n">
        <f aca="false">'Sim Data'!$F$110</f>
        <v>0</v>
      </c>
      <c r="M46" s="41" t="n">
        <f aca="false">'Sim Data'!$H$110</f>
        <v>0</v>
      </c>
      <c r="N46" s="37" t="n">
        <f aca="false">D46*L46</f>
        <v>0</v>
      </c>
      <c r="O46" s="34" t="str">
        <f aca="false">IF(MAX(M46,N46)&lt;0.5,"both ≈ 0",IF(N46=0,"no new arrivals",M46/N46))</f>
        <v>both ≈ 0</v>
      </c>
      <c r="P46" s="40" t="str">
        <f aca="false">IF(D46=0,"",IF(H46&gt;=1,"No steady state: line grows by ~"&amp;TEXT((D46-G46*F46)*10,"0")&amp;" in this slot",IF(ISNUMBER(O46),IF(ABS(O46-1)&lt;=0.2,"Little's Law holds (steady)",IF(O46&gt;1,"More waiting than λWq: queue left over from before","Fewer waiting than λWq: queue still building")),"Hardly any queue")))</f>
        <v/>
      </c>
    </row>
    <row r="47" customFormat="false" ht="15" hidden="false" customHeight="false" outlineLevel="0" collapsed="false">
      <c r="A47" s="6" t="s">
        <v>251</v>
      </c>
      <c r="B47" s="6" t="s">
        <v>266</v>
      </c>
      <c r="C47" s="6" t="s">
        <v>261</v>
      </c>
      <c r="D47" s="35" t="n">
        <f aca="false">'Sim Data'!$E$111</f>
        <v>0</v>
      </c>
      <c r="E47" s="36" t="n">
        <f aca="false">'Sim Data'!$G$111</f>
        <v>0</v>
      </c>
      <c r="F47" s="37" t="n">
        <f aca="false">IF(E47&gt;0,1/E47,60/Assumptions!$B$13)</f>
        <v>30</v>
      </c>
      <c r="G47" s="38" t="n">
        <f aca="false">Assumptions!$B$12</f>
        <v>1</v>
      </c>
      <c r="H47" s="39" t="n">
        <f aca="false">D47/(G47*F47)</f>
        <v>0</v>
      </c>
      <c r="I47" s="40" t="str">
        <f aca="false">IF(D47=0,"No arrivals",IF(H47&lt;0.85,"Stable",IF(H47&lt;1,"Stable, near capacity","UNSTABLE: queue grows")))</f>
        <v>No arrivals</v>
      </c>
      <c r="J47" s="34" t="str">
        <f aca="false">IF(AND(D47&gt;0,H47&lt;1),H47/(F47-D47),"—")</f>
        <v>—</v>
      </c>
      <c r="K47" s="34" t="str">
        <f aca="false">IF(ISNUMBER(J47),(1+0.3^2)/2*J47,"—")</f>
        <v>—</v>
      </c>
      <c r="L47" s="35" t="n">
        <f aca="false">'Sim Data'!$F$111</f>
        <v>0</v>
      </c>
      <c r="M47" s="41" t="n">
        <f aca="false">'Sim Data'!$H$111</f>
        <v>0</v>
      </c>
      <c r="N47" s="37" t="n">
        <f aca="false">D47*L47</f>
        <v>0</v>
      </c>
      <c r="O47" s="34" t="str">
        <f aca="false">IF(MAX(M47,N47)&lt;0.5,"both ≈ 0",IF(N47=0,"no new arrivals",M47/N47))</f>
        <v>both ≈ 0</v>
      </c>
      <c r="P47" s="40" t="str">
        <f aca="false">IF(D47=0,"",IF(H47&gt;=1,"No steady state: line grows by ~"&amp;TEXT((D47-G47*F47)*10,"0")&amp;" in this slot",IF(ISNUMBER(O47),IF(ABS(O47-1)&lt;=0.2,"Little's Law holds (steady)",IF(O47&gt;1,"More waiting than λWq: queue left over from before","Fewer waiting than λWq: queue still building")),"Hardly any queue")))</f>
        <v/>
      </c>
    </row>
    <row r="48" customFormat="false" ht="15" hidden="false" customHeight="false" outlineLevel="0" collapsed="false">
      <c r="A48" s="6" t="s">
        <v>251</v>
      </c>
      <c r="B48" s="6" t="s">
        <v>266</v>
      </c>
      <c r="C48" s="6" t="s">
        <v>262</v>
      </c>
      <c r="D48" s="35" t="n">
        <f aca="false">'Sim Data'!$E$112</f>
        <v>0</v>
      </c>
      <c r="E48" s="36" t="n">
        <f aca="false">'Sim Data'!$G$112</f>
        <v>0</v>
      </c>
      <c r="F48" s="37" t="n">
        <f aca="false">IF(E48&gt;0,1/E48,60/Assumptions!$B$13)</f>
        <v>30</v>
      </c>
      <c r="G48" s="38" t="n">
        <f aca="false">Assumptions!$B$12</f>
        <v>1</v>
      </c>
      <c r="H48" s="39" t="n">
        <f aca="false">D48/(G48*F48)</f>
        <v>0</v>
      </c>
      <c r="I48" s="40" t="str">
        <f aca="false">IF(D48=0,"No arrivals",IF(H48&lt;0.85,"Stable",IF(H48&lt;1,"Stable, near capacity","UNSTABLE: queue grows")))</f>
        <v>No arrivals</v>
      </c>
      <c r="J48" s="34" t="str">
        <f aca="false">IF(AND(D48&gt;0,H48&lt;1),H48/(F48-D48),"—")</f>
        <v>—</v>
      </c>
      <c r="K48" s="34" t="str">
        <f aca="false">IF(ISNUMBER(J48),(1+0.3^2)/2*J48,"—")</f>
        <v>—</v>
      </c>
      <c r="L48" s="35" t="n">
        <f aca="false">'Sim Data'!$F$112</f>
        <v>0</v>
      </c>
      <c r="M48" s="41" t="n">
        <f aca="false">'Sim Data'!$H$112</f>
        <v>0</v>
      </c>
      <c r="N48" s="37" t="n">
        <f aca="false">D48*L48</f>
        <v>0</v>
      </c>
      <c r="O48" s="34" t="str">
        <f aca="false">IF(MAX(M48,N48)&lt;0.5,"both ≈ 0",IF(N48=0,"no new arrivals",M48/N48))</f>
        <v>both ≈ 0</v>
      </c>
      <c r="P48" s="40" t="str">
        <f aca="false">IF(D48=0,"",IF(H48&gt;=1,"No steady state: line grows by ~"&amp;TEXT((D48-G48*F48)*10,"0")&amp;" in this slot",IF(ISNUMBER(O48),IF(ABS(O48-1)&lt;=0.2,"Little's Law holds (steady)",IF(O48&gt;1,"More waiting than λWq: queue left over from before","Fewer waiting than λWq: queue still building")),"Hardly any queue")))</f>
        <v/>
      </c>
    </row>
    <row r="49" customFormat="false" ht="15" hidden="false" customHeight="false" outlineLevel="0" collapsed="false">
      <c r="A49" s="6" t="s">
        <v>267</v>
      </c>
      <c r="B49" s="6" t="s">
        <v>252</v>
      </c>
      <c r="C49" s="6" t="s">
        <v>254</v>
      </c>
      <c r="D49" s="35" t="n">
        <f aca="false">'Sim Data'!$E$185</f>
        <v>0</v>
      </c>
      <c r="E49" s="36" t="n">
        <f aca="false">'Sim Data'!$G$185</f>
        <v>0</v>
      </c>
      <c r="F49" s="37" t="n">
        <f aca="false">IF(E49&gt;0,1/E49,60/Assumptions!$B$13)</f>
        <v>30</v>
      </c>
      <c r="G49" s="38" t="n">
        <f aca="false">Assumptions!$B$12</f>
        <v>1</v>
      </c>
      <c r="H49" s="39" t="n">
        <f aca="false">D49/(G49*F49)</f>
        <v>0</v>
      </c>
      <c r="I49" s="40" t="str">
        <f aca="false">IF(D49=0,"No arrivals",IF(H49&lt;0.85,"Stable",IF(H49&lt;1,"Stable, near capacity","UNSTABLE: queue grows")))</f>
        <v>No arrivals</v>
      </c>
      <c r="J49" s="34" t="str">
        <f aca="false">IF(AND(D49&gt;0,H49&lt;1),H49/(F49-D49),"—")</f>
        <v>—</v>
      </c>
      <c r="K49" s="34" t="str">
        <f aca="false">IF(ISNUMBER(J49),(1+0.3^2)/2*J49,"—")</f>
        <v>—</v>
      </c>
      <c r="L49" s="35" t="n">
        <f aca="false">'Sim Data'!$F$185</f>
        <v>0</v>
      </c>
      <c r="M49" s="41" t="n">
        <f aca="false">'Sim Data'!$H$185</f>
        <v>0</v>
      </c>
      <c r="N49" s="37" t="n">
        <f aca="false">D49*L49</f>
        <v>0</v>
      </c>
      <c r="O49" s="34" t="str">
        <f aca="false">IF(MAX(M49,N49)&lt;0.5,"both ≈ 0",IF(N49=0,"no new arrivals",M49/N49))</f>
        <v>both ≈ 0</v>
      </c>
      <c r="P49" s="40" t="str">
        <f aca="false">IF(D49=0,"",IF(H49&gt;=1,"No steady state: line grows by ~"&amp;TEXT((D49-G49*F49)*10,"0")&amp;" in this slot",IF(ISNUMBER(O49),IF(ABS(O49-1)&lt;=0.2,"Little's Law holds (steady)",IF(O49&gt;1,"More waiting than λWq: queue left over from before","Fewer waiting than λWq: queue still building")),"Hardly any queue")))</f>
        <v/>
      </c>
    </row>
    <row r="50" customFormat="false" ht="15" hidden="false" customHeight="false" outlineLevel="0" collapsed="false">
      <c r="A50" s="6" t="s">
        <v>267</v>
      </c>
      <c r="B50" s="6" t="s">
        <v>252</v>
      </c>
      <c r="C50" s="6" t="s">
        <v>255</v>
      </c>
      <c r="D50" s="35" t="n">
        <f aca="false">'Sim Data'!$E$186</f>
        <v>0</v>
      </c>
      <c r="E50" s="36" t="n">
        <f aca="false">'Sim Data'!$G$186</f>
        <v>0</v>
      </c>
      <c r="F50" s="37" t="n">
        <f aca="false">IF(E50&gt;0,1/E50,60/Assumptions!$B$13)</f>
        <v>30</v>
      </c>
      <c r="G50" s="38" t="n">
        <f aca="false">Assumptions!$B$12</f>
        <v>1</v>
      </c>
      <c r="H50" s="39" t="n">
        <f aca="false">D50/(G50*F50)</f>
        <v>0</v>
      </c>
      <c r="I50" s="40" t="str">
        <f aca="false">IF(D50=0,"No arrivals",IF(H50&lt;0.85,"Stable",IF(H50&lt;1,"Stable, near capacity","UNSTABLE: queue grows")))</f>
        <v>No arrivals</v>
      </c>
      <c r="J50" s="34" t="str">
        <f aca="false">IF(AND(D50&gt;0,H50&lt;1),H50/(F50-D50),"—")</f>
        <v>—</v>
      </c>
      <c r="K50" s="34" t="str">
        <f aca="false">IF(ISNUMBER(J50),(1+0.3^2)/2*J50,"—")</f>
        <v>—</v>
      </c>
      <c r="L50" s="35" t="n">
        <f aca="false">'Sim Data'!$F$186</f>
        <v>0</v>
      </c>
      <c r="M50" s="41" t="n">
        <f aca="false">'Sim Data'!$H$186</f>
        <v>0</v>
      </c>
      <c r="N50" s="37" t="n">
        <f aca="false">D50*L50</f>
        <v>0</v>
      </c>
      <c r="O50" s="34" t="str">
        <f aca="false">IF(MAX(M50,N50)&lt;0.5,"both ≈ 0",IF(N50=0,"no new arrivals",M50/N50))</f>
        <v>both ≈ 0</v>
      </c>
      <c r="P50" s="40" t="str">
        <f aca="false">IF(D50=0,"",IF(H50&gt;=1,"No steady state: line grows by ~"&amp;TEXT((D50-G50*F50)*10,"0")&amp;" in this slot",IF(ISNUMBER(O50),IF(ABS(O50-1)&lt;=0.2,"Little's Law holds (steady)",IF(O50&gt;1,"More waiting than λWq: queue left over from before","Fewer waiting than λWq: queue still building")),"Hardly any queue")))</f>
        <v/>
      </c>
    </row>
    <row r="51" customFormat="false" ht="15" hidden="false" customHeight="false" outlineLevel="0" collapsed="false">
      <c r="A51" s="6" t="s">
        <v>267</v>
      </c>
      <c r="B51" s="6" t="s">
        <v>252</v>
      </c>
      <c r="C51" s="6" t="s">
        <v>256</v>
      </c>
      <c r="D51" s="35" t="n">
        <f aca="false">'Sim Data'!$E$187</f>
        <v>0</v>
      </c>
      <c r="E51" s="36" t="n">
        <f aca="false">'Sim Data'!$G$187</f>
        <v>0</v>
      </c>
      <c r="F51" s="37" t="n">
        <f aca="false">IF(E51&gt;0,1/E51,60/Assumptions!$B$13)</f>
        <v>30</v>
      </c>
      <c r="G51" s="38" t="n">
        <f aca="false">Assumptions!$B$12</f>
        <v>1</v>
      </c>
      <c r="H51" s="39" t="n">
        <f aca="false">D51/(G51*F51)</f>
        <v>0</v>
      </c>
      <c r="I51" s="40" t="str">
        <f aca="false">IF(D51=0,"No arrivals",IF(H51&lt;0.85,"Stable",IF(H51&lt;1,"Stable, near capacity","UNSTABLE: queue grows")))</f>
        <v>No arrivals</v>
      </c>
      <c r="J51" s="34" t="str">
        <f aca="false">IF(AND(D51&gt;0,H51&lt;1),H51/(F51-D51),"—")</f>
        <v>—</v>
      </c>
      <c r="K51" s="34" t="str">
        <f aca="false">IF(ISNUMBER(J51),(1+0.3^2)/2*J51,"—")</f>
        <v>—</v>
      </c>
      <c r="L51" s="35" t="n">
        <f aca="false">'Sim Data'!$F$187</f>
        <v>0</v>
      </c>
      <c r="M51" s="41" t="n">
        <f aca="false">'Sim Data'!$H$187</f>
        <v>0</v>
      </c>
      <c r="N51" s="37" t="n">
        <f aca="false">D51*L51</f>
        <v>0</v>
      </c>
      <c r="O51" s="34" t="str">
        <f aca="false">IF(MAX(M51,N51)&lt;0.5,"both ≈ 0",IF(N51=0,"no new arrivals",M51/N51))</f>
        <v>both ≈ 0</v>
      </c>
      <c r="P51" s="40" t="str">
        <f aca="false">IF(D51=0,"",IF(H51&gt;=1,"No steady state: line grows by ~"&amp;TEXT((D51-G51*F51)*10,"0")&amp;" in this slot",IF(ISNUMBER(O51),IF(ABS(O51-1)&lt;=0.2,"Little's Law holds (steady)",IF(O51&gt;1,"More waiting than λWq: queue left over from before","Fewer waiting than λWq: queue still building")),"Hardly any queue")))</f>
        <v/>
      </c>
    </row>
    <row r="52" customFormat="false" ht="15" hidden="false" customHeight="false" outlineLevel="0" collapsed="false">
      <c r="A52" s="6" t="s">
        <v>267</v>
      </c>
      <c r="B52" s="6" t="s">
        <v>252</v>
      </c>
      <c r="C52" s="6" t="s">
        <v>124</v>
      </c>
      <c r="D52" s="35" t="n">
        <f aca="false">'Sim Data'!$E$188</f>
        <v>14.52</v>
      </c>
      <c r="E52" s="36" t="n">
        <f aca="false">'Sim Data'!$G$188</f>
        <v>0.0333</v>
      </c>
      <c r="F52" s="37" t="n">
        <f aca="false">IF(E52&gt;0,1/E52,60/Assumptions!$B$13)</f>
        <v>30.03003003003</v>
      </c>
      <c r="G52" s="38" t="n">
        <f aca="false">Assumptions!$B$12</f>
        <v>1</v>
      </c>
      <c r="H52" s="39" t="n">
        <f aca="false">D52/(G52*F52)</f>
        <v>0.483516</v>
      </c>
      <c r="I52" s="40" t="str">
        <f aca="false">IF(D52=0,"No arrivals",IF(H52&lt;0.85,"Stable",IF(H52&lt;1,"Stable, near capacity","UNSTABLE: queue grows")))</f>
        <v>Stable</v>
      </c>
      <c r="J52" s="34" t="n">
        <f aca="false">IF(AND(D52&gt;0,H52&lt;1),H52/(F52-D52),"—")</f>
        <v>0.0311744077260864</v>
      </c>
      <c r="K52" s="34" t="n">
        <f aca="false">IF(ISNUMBER(J52),(1+0.3^2)/2*J52,"—")</f>
        <v>0.0169900522107171</v>
      </c>
      <c r="L52" s="35" t="n">
        <f aca="false">'Sim Data'!$F$188</f>
        <v>0.0184</v>
      </c>
      <c r="M52" s="41" t="n">
        <f aca="false">'Sim Data'!$H$188</f>
        <v>0.2669</v>
      </c>
      <c r="N52" s="37" t="n">
        <f aca="false">D52*L52</f>
        <v>0.267168</v>
      </c>
      <c r="O52" s="34" t="str">
        <f aca="false">IF(MAX(M52,N52)&lt;0.5,"both ≈ 0",IF(N52=0,"no new arrivals",M52/N52))</f>
        <v>both ≈ 0</v>
      </c>
      <c r="P52" s="40" t="str">
        <f aca="false">IF(D52=0,"",IF(H52&gt;=1,"No steady state: line grows by ~"&amp;TEXT((D52-G52*F52)*10,"0")&amp;" in this slot",IF(ISNUMBER(O52),IF(ABS(O52-1)&lt;=0.2,"Little's Law holds (steady)",IF(O52&gt;1,"More waiting than λWq: queue left over from before","Fewer waiting than λWq: queue still building")),"Hardly any queue")))</f>
        <v>Hardly any queue</v>
      </c>
    </row>
    <row r="53" customFormat="false" ht="15" hidden="false" customHeight="false" outlineLevel="0" collapsed="false">
      <c r="A53" s="6" t="s">
        <v>267</v>
      </c>
      <c r="B53" s="6" t="s">
        <v>252</v>
      </c>
      <c r="C53" s="6" t="s">
        <v>257</v>
      </c>
      <c r="D53" s="35" t="n">
        <f aca="false">'Sim Data'!$E$189</f>
        <v>18.77</v>
      </c>
      <c r="E53" s="36" t="n">
        <f aca="false">'Sim Data'!$G$189</f>
        <v>0.0334</v>
      </c>
      <c r="F53" s="37" t="n">
        <f aca="false">IF(E53&gt;0,1/E53,60/Assumptions!$B$13)</f>
        <v>29.940119760479</v>
      </c>
      <c r="G53" s="38" t="n">
        <f aca="false">Assumptions!$B$12</f>
        <v>1</v>
      </c>
      <c r="H53" s="39" t="n">
        <f aca="false">D53/(G53*F53)</f>
        <v>0.626918</v>
      </c>
      <c r="I53" s="40" t="str">
        <f aca="false">IF(D53=0,"No arrivals",IF(H53&lt;0.85,"Stable",IF(H53&lt;1,"Stable, near capacity","UNSTABLE: queue grows")))</f>
        <v>Stable</v>
      </c>
      <c r="J53" s="34" t="n">
        <f aca="false">IF(AND(D53&gt;0,H53&lt;1),H53/(F53-D53),"—")</f>
        <v>0.0561245549235825</v>
      </c>
      <c r="K53" s="34" t="n">
        <f aca="false">IF(ISNUMBER(J53),(1+0.3^2)/2*J53,"—")</f>
        <v>0.0305878824333525</v>
      </c>
      <c r="L53" s="35" t="n">
        <f aca="false">'Sim Data'!$F$189</f>
        <v>0.0291</v>
      </c>
      <c r="M53" s="41" t="n">
        <f aca="false">'Sim Data'!$H$189</f>
        <v>0.5419</v>
      </c>
      <c r="N53" s="37" t="n">
        <f aca="false">D53*L53</f>
        <v>0.546207</v>
      </c>
      <c r="O53" s="34" t="n">
        <f aca="false">IF(MAX(M53,N53)&lt;0.5,"both ≈ 0",IF(N53=0,"no new arrivals",M53/N53))</f>
        <v>0.992114711089386</v>
      </c>
      <c r="P53" s="40" t="str">
        <f aca="false">IF(D53=0,"",IF(H53&gt;=1,"No steady state: line grows by ~"&amp;TEXT((D53-G53*F53)*10,"0")&amp;" in this slot",IF(ISNUMBER(O53),IF(ABS(O53-1)&lt;=0.2,"Little's Law holds (steady)",IF(O53&gt;1,"More waiting than λWq: queue left over from before","Fewer waiting than λWq: queue still building")),"Hardly any queue")))</f>
        <v>Little's Law holds (steady)</v>
      </c>
    </row>
    <row r="54" customFormat="false" ht="15" hidden="false" customHeight="false" outlineLevel="0" collapsed="false">
      <c r="A54" s="6" t="s">
        <v>267</v>
      </c>
      <c r="B54" s="6" t="s">
        <v>252</v>
      </c>
      <c r="C54" s="6" t="s">
        <v>258</v>
      </c>
      <c r="D54" s="35" t="n">
        <f aca="false">'Sim Data'!$E$190</f>
        <v>18.615</v>
      </c>
      <c r="E54" s="36" t="n">
        <f aca="false">'Sim Data'!$G$190</f>
        <v>0.0332</v>
      </c>
      <c r="F54" s="37" t="n">
        <f aca="false">IF(E54&gt;0,1/E54,60/Assumptions!$B$13)</f>
        <v>30.1204819277108</v>
      </c>
      <c r="G54" s="38" t="n">
        <f aca="false">Assumptions!$B$12</f>
        <v>1</v>
      </c>
      <c r="H54" s="39" t="n">
        <f aca="false">D54/(G54*F54)</f>
        <v>0.618018</v>
      </c>
      <c r="I54" s="40" t="str">
        <f aca="false">IF(D54=0,"No arrivals",IF(H54&lt;0.85,"Stable",IF(H54&lt;1,"Stable, near capacity","UNSTABLE: queue grows")))</f>
        <v>Stable</v>
      </c>
      <c r="J54" s="34" t="n">
        <f aca="false">IF(AND(D54&gt;0,H54&lt;1),H54/(F54-D54),"—")</f>
        <v>0.0537150902398542</v>
      </c>
      <c r="K54" s="34" t="n">
        <f aca="false">IF(ISNUMBER(J54),(1+0.3^2)/2*J54,"—")</f>
        <v>0.0292747241807206</v>
      </c>
      <c r="L54" s="35" t="n">
        <f aca="false">'Sim Data'!$F$190</f>
        <v>0.0358</v>
      </c>
      <c r="M54" s="41" t="n">
        <f aca="false">'Sim Data'!$H$190</f>
        <v>0.6705</v>
      </c>
      <c r="N54" s="37" t="n">
        <f aca="false">D54*L54</f>
        <v>0.666417</v>
      </c>
      <c r="O54" s="34" t="n">
        <f aca="false">IF(MAX(M54,N54)&lt;0.5,"both ≈ 0",IF(N54=0,"no new arrivals",M54/N54))</f>
        <v>1.00612679448453</v>
      </c>
      <c r="P54" s="40" t="str">
        <f aca="false">IF(D54=0,"",IF(H54&gt;=1,"No steady state: line grows by ~"&amp;TEXT((D54-G54*F54)*10,"0")&amp;" in this slot",IF(ISNUMBER(O54),IF(ABS(O54-1)&lt;=0.2,"Little's Law holds (steady)",IF(O54&gt;1,"More waiting than λWq: queue left over from before","Fewer waiting than λWq: queue still building")),"Hardly any queue")))</f>
        <v>Little's Law holds (steady)</v>
      </c>
    </row>
    <row r="55" customFormat="false" ht="15" hidden="false" customHeight="false" outlineLevel="0" collapsed="false">
      <c r="A55" s="6" t="s">
        <v>267</v>
      </c>
      <c r="B55" s="6" t="s">
        <v>252</v>
      </c>
      <c r="C55" s="6" t="s">
        <v>133</v>
      </c>
      <c r="D55" s="35" t="n">
        <f aca="false">'Sim Data'!$E$191</f>
        <v>21.535</v>
      </c>
      <c r="E55" s="36" t="n">
        <f aca="false">'Sim Data'!$G$191</f>
        <v>0.0335</v>
      </c>
      <c r="F55" s="37" t="n">
        <f aca="false">IF(E55&gt;0,1/E55,60/Assumptions!$B$13)</f>
        <v>29.8507462686567</v>
      </c>
      <c r="G55" s="38" t="n">
        <f aca="false">Assumptions!$B$12</f>
        <v>1</v>
      </c>
      <c r="H55" s="39" t="n">
        <f aca="false">D55/(G55*F55)</f>
        <v>0.7214225</v>
      </c>
      <c r="I55" s="40" t="str">
        <f aca="false">IF(D55=0,"No arrivals",IF(H55&lt;0.85,"Stable",IF(H55&lt;1,"Stable, near capacity","UNSTABLE: queue grows")))</f>
        <v>Stable</v>
      </c>
      <c r="J55" s="34" t="n">
        <f aca="false">IF(AND(D55&gt;0,H55&lt;1),H55/(F55-D55),"—")</f>
        <v>0.0867537893404888</v>
      </c>
      <c r="K55" s="34" t="n">
        <f aca="false">IF(ISNUMBER(J55),(1+0.3^2)/2*J55,"—")</f>
        <v>0.0472808151905664</v>
      </c>
      <c r="L55" s="35" t="n">
        <f aca="false">'Sim Data'!$F$191</f>
        <v>0.0547</v>
      </c>
      <c r="M55" s="41" t="n">
        <f aca="false">'Sim Data'!$H$191</f>
        <v>1.173</v>
      </c>
      <c r="N55" s="37" t="n">
        <f aca="false">D55*L55</f>
        <v>1.1779645</v>
      </c>
      <c r="O55" s="34" t="n">
        <f aca="false">IF(MAX(M55,N55)&lt;0.5,"both ≈ 0",IF(N55=0,"no new arrivals",M55/N55))</f>
        <v>0.99578552664363</v>
      </c>
      <c r="P55" s="40" t="str">
        <f aca="false">IF(D55=0,"",IF(H55&gt;=1,"No steady state: line grows by ~"&amp;TEXT((D55-G55*F55)*10,"0")&amp;" in this slot",IF(ISNUMBER(O55),IF(ABS(O55-1)&lt;=0.2,"Little's Law holds (steady)",IF(O55&gt;1,"More waiting than λWq: queue left over from before","Fewer waiting than λWq: queue still building")),"Hardly any queue")))</f>
        <v>Little's Law holds (steady)</v>
      </c>
    </row>
    <row r="56" customFormat="false" ht="15" hidden="false" customHeight="false" outlineLevel="0" collapsed="false">
      <c r="A56" s="6" t="s">
        <v>267</v>
      </c>
      <c r="B56" s="6" t="s">
        <v>252</v>
      </c>
      <c r="C56" s="6" t="s">
        <v>137</v>
      </c>
      <c r="D56" s="35" t="n">
        <f aca="false">'Sim Data'!$E$192</f>
        <v>18.48</v>
      </c>
      <c r="E56" s="36" t="n">
        <f aca="false">'Sim Data'!$G$192</f>
        <v>0.0334</v>
      </c>
      <c r="F56" s="37" t="n">
        <f aca="false">IF(E56&gt;0,1/E56,60/Assumptions!$B$13)</f>
        <v>29.940119760479</v>
      </c>
      <c r="G56" s="38" t="n">
        <f aca="false">Assumptions!$B$12</f>
        <v>1</v>
      </c>
      <c r="H56" s="39" t="n">
        <f aca="false">D56/(G56*F56)</f>
        <v>0.617232</v>
      </c>
      <c r="I56" s="40" t="str">
        <f aca="false">IF(D56=0,"No arrivals",IF(H56&lt;0.85,"Stable",IF(H56&lt;1,"Stable, near capacity","UNSTABLE: queue grows")))</f>
        <v>Stable</v>
      </c>
      <c r="J56" s="34" t="n">
        <f aca="false">IF(AND(D56&gt;0,H56&lt;1),H56/(F56-D56),"—")</f>
        <v>0.0538591230196882</v>
      </c>
      <c r="K56" s="34" t="n">
        <f aca="false">IF(ISNUMBER(J56),(1+0.3^2)/2*J56,"—")</f>
        <v>0.0293532220457301</v>
      </c>
      <c r="L56" s="35" t="n">
        <f aca="false">'Sim Data'!$F$192</f>
        <v>0.036</v>
      </c>
      <c r="M56" s="41" t="n">
        <f aca="false">'Sim Data'!$H$192</f>
        <v>0.6662</v>
      </c>
      <c r="N56" s="37" t="n">
        <f aca="false">D56*L56</f>
        <v>0.66528</v>
      </c>
      <c r="O56" s="34" t="n">
        <f aca="false">IF(MAX(M56,N56)&lt;0.5,"both ≈ 0",IF(N56=0,"no new arrivals",M56/N56))</f>
        <v>1.00138287638288</v>
      </c>
      <c r="P56" s="40" t="str">
        <f aca="false">IF(D56=0,"",IF(H56&gt;=1,"No steady state: line grows by ~"&amp;TEXT((D56-G56*F56)*10,"0")&amp;" in this slot",IF(ISNUMBER(O56),IF(ABS(O56-1)&lt;=0.2,"Little's Law holds (steady)",IF(O56&gt;1,"More waiting than λWq: queue left over from before","Fewer waiting than λWq: queue still building")),"Hardly any queue")))</f>
        <v>Little's Law holds (steady)</v>
      </c>
    </row>
    <row r="57" customFormat="false" ht="15" hidden="false" customHeight="false" outlineLevel="0" collapsed="false">
      <c r="A57" s="6" t="s">
        <v>267</v>
      </c>
      <c r="B57" s="6" t="s">
        <v>252</v>
      </c>
      <c r="C57" s="6" t="s">
        <v>140</v>
      </c>
      <c r="D57" s="35" t="n">
        <f aca="false">'Sim Data'!$E$193</f>
        <v>15.44</v>
      </c>
      <c r="E57" s="36" t="n">
        <f aca="false">'Sim Data'!$G$193</f>
        <v>0.0332</v>
      </c>
      <c r="F57" s="37" t="n">
        <f aca="false">IF(E57&gt;0,1/E57,60/Assumptions!$B$13)</f>
        <v>30.1204819277108</v>
      </c>
      <c r="G57" s="38" t="n">
        <f aca="false">Assumptions!$B$12</f>
        <v>1</v>
      </c>
      <c r="H57" s="39" t="n">
        <f aca="false">D57/(G57*F57)</f>
        <v>0.512608</v>
      </c>
      <c r="I57" s="40" t="str">
        <f aca="false">IF(D57=0,"No arrivals",IF(H57&lt;0.85,"Stable",IF(H57&lt;1,"Stable, near capacity","UNSTABLE: queue grows")))</f>
        <v>Stable</v>
      </c>
      <c r="J57" s="34" t="n">
        <f aca="false">IF(AND(D57&gt;0,H57&lt;1),H57/(F57-D57),"—")</f>
        <v>0.0349176547830083</v>
      </c>
      <c r="K57" s="34" t="n">
        <f aca="false">IF(ISNUMBER(J57),(1+0.3^2)/2*J57,"—")</f>
        <v>0.0190301218567395</v>
      </c>
      <c r="L57" s="35" t="n">
        <f aca="false">'Sim Data'!$F$193</f>
        <v>0.0197</v>
      </c>
      <c r="M57" s="41" t="n">
        <f aca="false">'Sim Data'!$H$193</f>
        <v>0.3076</v>
      </c>
      <c r="N57" s="37" t="n">
        <f aca="false">D57*L57</f>
        <v>0.304168</v>
      </c>
      <c r="O57" s="34" t="str">
        <f aca="false">IF(MAX(M57,N57)&lt;0.5,"both ≈ 0",IF(N57=0,"no new arrivals",M57/N57))</f>
        <v>both ≈ 0</v>
      </c>
      <c r="P57" s="40" t="str">
        <f aca="false">IF(D57=0,"",IF(H57&gt;=1,"No steady state: line grows by ~"&amp;TEXT((D57-G57*F57)*10,"0")&amp;" in this slot",IF(ISNUMBER(O57),IF(ABS(O57-1)&lt;=0.2,"Little's Law holds (steady)",IF(O57&gt;1,"More waiting than λWq: queue left over from before","Fewer waiting than λWq: queue still building")),"Hardly any queue")))</f>
        <v>Hardly any queue</v>
      </c>
    </row>
    <row r="58" customFormat="false" ht="15" hidden="false" customHeight="false" outlineLevel="0" collapsed="false">
      <c r="A58" s="6" t="s">
        <v>267</v>
      </c>
      <c r="B58" s="6" t="s">
        <v>252</v>
      </c>
      <c r="C58" s="6" t="s">
        <v>125</v>
      </c>
      <c r="D58" s="35" t="n">
        <f aca="false">'Sim Data'!$E$194</f>
        <v>21.385</v>
      </c>
      <c r="E58" s="36" t="n">
        <f aca="false">'Sim Data'!$G$194</f>
        <v>0.0332</v>
      </c>
      <c r="F58" s="37" t="n">
        <f aca="false">IF(E58&gt;0,1/E58,60/Assumptions!$B$13)</f>
        <v>30.1204819277108</v>
      </c>
      <c r="G58" s="38" t="n">
        <f aca="false">Assumptions!$B$12</f>
        <v>1</v>
      </c>
      <c r="H58" s="39" t="n">
        <f aca="false">D58/(G58*F58)</f>
        <v>0.709982</v>
      </c>
      <c r="I58" s="40" t="str">
        <f aca="false">IF(D58=0,"No arrivals",IF(H58&lt;0.85,"Stable",IF(H58&lt;1,"Stable, near capacity","UNSTABLE: queue grows")))</f>
        <v>Stable</v>
      </c>
      <c r="J58" s="34" t="n">
        <f aca="false">IF(AND(D58&gt;0,H58&lt;1),H58/(F58-D58),"—")</f>
        <v>0.0812756532353165</v>
      </c>
      <c r="K58" s="34" t="n">
        <f aca="false">IF(ISNUMBER(J58),(1+0.3^2)/2*J58,"—")</f>
        <v>0.0442952310132475</v>
      </c>
      <c r="L58" s="35" t="n">
        <f aca="false">'Sim Data'!$F$194</f>
        <v>0.064</v>
      </c>
      <c r="M58" s="41" t="n">
        <f aca="false">'Sim Data'!$H$194</f>
        <v>1.3496</v>
      </c>
      <c r="N58" s="37" t="n">
        <f aca="false">D58*L58</f>
        <v>1.36864</v>
      </c>
      <c r="O58" s="34" t="n">
        <f aca="false">IF(MAX(M58,N58)&lt;0.5,"both ≈ 0",IF(N58=0,"no new arrivals",M58/N58))</f>
        <v>0.986088379705401</v>
      </c>
      <c r="P58" s="40" t="str">
        <f aca="false">IF(D58=0,"",IF(H58&gt;=1,"No steady state: line grows by ~"&amp;TEXT((D58-G58*F58)*10,"0")&amp;" in this slot",IF(ISNUMBER(O58),IF(ABS(O58-1)&lt;=0.2,"Little's Law holds (steady)",IF(O58&gt;1,"More waiting than λWq: queue left over from before","Fewer waiting than λWq: queue still building")),"Hardly any queue")))</f>
        <v>Little's Law holds (steady)</v>
      </c>
    </row>
    <row r="59" customFormat="false" ht="15" hidden="false" customHeight="false" outlineLevel="0" collapsed="false">
      <c r="A59" s="6" t="s">
        <v>267</v>
      </c>
      <c r="B59" s="6" t="s">
        <v>252</v>
      </c>
      <c r="C59" s="6" t="s">
        <v>259</v>
      </c>
      <c r="D59" s="35" t="n">
        <f aca="false">'Sim Data'!$E$195</f>
        <v>21.26</v>
      </c>
      <c r="E59" s="36" t="n">
        <f aca="false">'Sim Data'!$G$195</f>
        <v>0.0334</v>
      </c>
      <c r="F59" s="37" t="n">
        <f aca="false">IF(E59&gt;0,1/E59,60/Assumptions!$B$13)</f>
        <v>29.940119760479</v>
      </c>
      <c r="G59" s="38" t="n">
        <f aca="false">Assumptions!$B$12</f>
        <v>1</v>
      </c>
      <c r="H59" s="39" t="n">
        <f aca="false">D59/(G59*F59)</f>
        <v>0.710084</v>
      </c>
      <c r="I59" s="40" t="str">
        <f aca="false">IF(D59=0,"No arrivals",IF(H59&lt;0.85,"Stable",IF(H59&lt;1,"Stable, near capacity","UNSTABLE: queue grows")))</f>
        <v>Stable</v>
      </c>
      <c r="J59" s="34" t="n">
        <f aca="false">IF(AND(D59&gt;0,H59&lt;1),H59/(F59-D59),"—")</f>
        <v>0.081805783744257</v>
      </c>
      <c r="K59" s="34" t="n">
        <f aca="false">IF(ISNUMBER(J59),(1+0.3^2)/2*J59,"—")</f>
        <v>0.0445841521406201</v>
      </c>
      <c r="L59" s="35" t="n">
        <f aca="false">'Sim Data'!$F$195</f>
        <v>0.0707</v>
      </c>
      <c r="M59" s="41" t="n">
        <f aca="false">'Sim Data'!$H$195</f>
        <v>1.516</v>
      </c>
      <c r="N59" s="37" t="n">
        <f aca="false">D59*L59</f>
        <v>1.503082</v>
      </c>
      <c r="O59" s="34" t="n">
        <f aca="false">IF(MAX(M59,N59)&lt;0.5,"both ≈ 0",IF(N59=0,"no new arrivals",M59/N59))</f>
        <v>1.00859434149301</v>
      </c>
      <c r="P59" s="40" t="str">
        <f aca="false">IF(D59=0,"",IF(H59&gt;=1,"No steady state: line grows by ~"&amp;TEXT((D59-G59*F59)*10,"0")&amp;" in this slot",IF(ISNUMBER(O59),IF(ABS(O59-1)&lt;=0.2,"Little's Law holds (steady)",IF(O59&gt;1,"More waiting than λWq: queue left over from before","Fewer waiting than λWq: queue still building")),"Hardly any queue")))</f>
        <v>Little's Law holds (steady)</v>
      </c>
    </row>
    <row r="60" customFormat="false" ht="15" hidden="false" customHeight="false" outlineLevel="0" collapsed="false">
      <c r="A60" s="6" t="s">
        <v>267</v>
      </c>
      <c r="B60" s="6" t="s">
        <v>252</v>
      </c>
      <c r="C60" s="6" t="s">
        <v>260</v>
      </c>
      <c r="D60" s="35" t="n">
        <f aca="false">'Sim Data'!$E$196</f>
        <v>19.735</v>
      </c>
      <c r="E60" s="36" t="n">
        <f aca="false">'Sim Data'!$G$196</f>
        <v>0.0334</v>
      </c>
      <c r="F60" s="37" t="n">
        <f aca="false">IF(E60&gt;0,1/E60,60/Assumptions!$B$13)</f>
        <v>29.940119760479</v>
      </c>
      <c r="G60" s="38" t="n">
        <f aca="false">Assumptions!$B$12</f>
        <v>1</v>
      </c>
      <c r="H60" s="39" t="n">
        <f aca="false">D60/(G60*F60)</f>
        <v>0.659149</v>
      </c>
      <c r="I60" s="40" t="str">
        <f aca="false">IF(D60=0,"No arrivals",IF(H60&lt;0.85,"Stable",IF(H60&lt;1,"Stable, near capacity","UNSTABLE: queue grows")))</f>
        <v>Stable</v>
      </c>
      <c r="J60" s="34" t="n">
        <f aca="false">IF(AND(D60&gt;0,H60&lt;1),H60/(F60-D60),"—")</f>
        <v>0.0645900308345875</v>
      </c>
      <c r="K60" s="34" t="n">
        <f aca="false">IF(ISNUMBER(J60),(1+0.3^2)/2*J60,"—")</f>
        <v>0.0352015668048502</v>
      </c>
      <c r="L60" s="35" t="n">
        <f aca="false">'Sim Data'!$F$196</f>
        <v>0.0602</v>
      </c>
      <c r="M60" s="41" t="n">
        <f aca="false">'Sim Data'!$H$196</f>
        <v>1.1919</v>
      </c>
      <c r="N60" s="37" t="n">
        <f aca="false">D60*L60</f>
        <v>1.188047</v>
      </c>
      <c r="O60" s="34" t="n">
        <f aca="false">IF(MAX(M60,N60)&lt;0.5,"both ≈ 0",IF(N60=0,"no new arrivals",M60/N60))</f>
        <v>1.00324313768731</v>
      </c>
      <c r="P60" s="40" t="str">
        <f aca="false">IF(D60=0,"",IF(H60&gt;=1,"No steady state: line grows by ~"&amp;TEXT((D60-G60*F60)*10,"0")&amp;" in this slot",IF(ISNUMBER(O60),IF(ABS(O60-1)&lt;=0.2,"Little's Law holds (steady)",IF(O60&gt;1,"More waiting than λWq: queue left over from before","Fewer waiting than λWq: queue still building")),"Hardly any queue")))</f>
        <v>Little's Law holds (steady)</v>
      </c>
    </row>
    <row r="61" customFormat="false" ht="15" hidden="false" customHeight="false" outlineLevel="0" collapsed="false">
      <c r="A61" s="6" t="s">
        <v>267</v>
      </c>
      <c r="B61" s="6" t="s">
        <v>252</v>
      </c>
      <c r="C61" s="6" t="s">
        <v>134</v>
      </c>
      <c r="D61" s="35" t="n">
        <f aca="false">'Sim Data'!$E$197</f>
        <v>17.25</v>
      </c>
      <c r="E61" s="36" t="n">
        <f aca="false">'Sim Data'!$G$197</f>
        <v>0.0333</v>
      </c>
      <c r="F61" s="37" t="n">
        <f aca="false">IF(E61&gt;0,1/E61,60/Assumptions!$B$13)</f>
        <v>30.03003003003</v>
      </c>
      <c r="G61" s="38" t="n">
        <f aca="false">Assumptions!$B$12</f>
        <v>1</v>
      </c>
      <c r="H61" s="39" t="n">
        <f aca="false">D61/(G61*F61)</f>
        <v>0.574425</v>
      </c>
      <c r="I61" s="40" t="str">
        <f aca="false">IF(D61=0,"No arrivals",IF(H61&lt;0.85,"Stable",IF(H61&lt;1,"Stable, near capacity","UNSTABLE: queue grows")))</f>
        <v>Stable</v>
      </c>
      <c r="J61" s="34" t="n">
        <f aca="false">IF(AND(D61&gt;0,H61&lt;1),H61/(F61-D61),"—")</f>
        <v>0.0449470774834048</v>
      </c>
      <c r="K61" s="34" t="n">
        <f aca="false">IF(ISNUMBER(J61),(1+0.3^2)/2*J61,"—")</f>
        <v>0.0244961572284556</v>
      </c>
      <c r="L61" s="35" t="n">
        <f aca="false">'Sim Data'!$F$197</f>
        <v>0.0302</v>
      </c>
      <c r="M61" s="41" t="n">
        <f aca="false">'Sim Data'!$H$197</f>
        <v>0.5233</v>
      </c>
      <c r="N61" s="37" t="n">
        <f aca="false">D61*L61</f>
        <v>0.52095</v>
      </c>
      <c r="O61" s="34" t="n">
        <f aca="false">IF(MAX(M61,N61)&lt;0.5,"both ≈ 0",IF(N61=0,"no new arrivals",M61/N61))</f>
        <v>1.00451098953834</v>
      </c>
      <c r="P61" s="40" t="str">
        <f aca="false">IF(D61=0,"",IF(H61&gt;=1,"No steady state: line grows by ~"&amp;TEXT((D61-G61*F61)*10,"0")&amp;" in this slot",IF(ISNUMBER(O61),IF(ABS(O61-1)&lt;=0.2,"Little's Law holds (steady)",IF(O61&gt;1,"More waiting than λWq: queue left over from before","Fewer waiting than λWq: queue still building")),"Hardly any queue")))</f>
        <v>Little's Law holds (steady)</v>
      </c>
    </row>
    <row r="62" customFormat="false" ht="15" hidden="false" customHeight="false" outlineLevel="0" collapsed="false">
      <c r="A62" s="6" t="s">
        <v>267</v>
      </c>
      <c r="B62" s="6" t="s">
        <v>252</v>
      </c>
      <c r="C62" s="6" t="s">
        <v>138</v>
      </c>
      <c r="D62" s="35" t="n">
        <f aca="false">'Sim Data'!$E$198</f>
        <v>13.165</v>
      </c>
      <c r="E62" s="36" t="n">
        <f aca="false">'Sim Data'!$G$198</f>
        <v>0.0334</v>
      </c>
      <c r="F62" s="37" t="n">
        <f aca="false">IF(E62&gt;0,1/E62,60/Assumptions!$B$13)</f>
        <v>29.940119760479</v>
      </c>
      <c r="G62" s="38" t="n">
        <f aca="false">Assumptions!$B$12</f>
        <v>1</v>
      </c>
      <c r="H62" s="39" t="n">
        <f aca="false">D62/(G62*F62)</f>
        <v>0.439711</v>
      </c>
      <c r="I62" s="40" t="str">
        <f aca="false">IF(D62=0,"No arrivals",IF(H62&lt;0.85,"Stable",IF(H62&lt;1,"Stable, near capacity","UNSTABLE: queue grows")))</f>
        <v>Stable</v>
      </c>
      <c r="J62" s="34" t="n">
        <f aca="false">IF(AND(D62&gt;0,H62&lt;1),H62/(F62-D62),"—")</f>
        <v>0.0262120930448394</v>
      </c>
      <c r="K62" s="34" t="n">
        <f aca="false">IF(ISNUMBER(J62),(1+0.3^2)/2*J62,"—")</f>
        <v>0.0142855907094375</v>
      </c>
      <c r="L62" s="35" t="n">
        <f aca="false">'Sim Data'!$F$198</f>
        <v>0.0161</v>
      </c>
      <c r="M62" s="41" t="n">
        <f aca="false">'Sim Data'!$H$198</f>
        <v>0.213</v>
      </c>
      <c r="N62" s="37" t="n">
        <f aca="false">D62*L62</f>
        <v>0.2119565</v>
      </c>
      <c r="O62" s="34" t="str">
        <f aca="false">IF(MAX(M62,N62)&lt;0.5,"both ≈ 0",IF(N62=0,"no new arrivals",M62/N62))</f>
        <v>both ≈ 0</v>
      </c>
      <c r="P62" s="40" t="str">
        <f aca="false">IF(D62=0,"",IF(H62&gt;=1,"No steady state: line grows by ~"&amp;TEXT((D62-G62*F62)*10,"0")&amp;" in this slot",IF(ISNUMBER(O62),IF(ABS(O62-1)&lt;=0.2,"Little's Law holds (steady)",IF(O62&gt;1,"More waiting than λWq: queue left over from before","Fewer waiting than λWq: queue still building")),"Hardly any queue")))</f>
        <v>Hardly any queue</v>
      </c>
    </row>
    <row r="63" customFormat="false" ht="15" hidden="false" customHeight="false" outlineLevel="0" collapsed="false">
      <c r="A63" s="6" t="s">
        <v>267</v>
      </c>
      <c r="B63" s="6" t="s">
        <v>252</v>
      </c>
      <c r="C63" s="6" t="s">
        <v>141</v>
      </c>
      <c r="D63" s="35" t="n">
        <f aca="false">'Sim Data'!$E$199</f>
        <v>7.17</v>
      </c>
      <c r="E63" s="36" t="n">
        <f aca="false">'Sim Data'!$G$199</f>
        <v>0.0333</v>
      </c>
      <c r="F63" s="37" t="n">
        <f aca="false">IF(E63&gt;0,1/E63,60/Assumptions!$B$13)</f>
        <v>30.03003003003</v>
      </c>
      <c r="G63" s="38" t="n">
        <f aca="false">Assumptions!$B$12</f>
        <v>1</v>
      </c>
      <c r="H63" s="39" t="n">
        <f aca="false">D63/(G63*F63)</f>
        <v>0.238761</v>
      </c>
      <c r="I63" s="40" t="str">
        <f aca="false">IF(D63=0,"No arrivals",IF(H63&lt;0.85,"Stable",IF(H63&lt;1,"Stable, near capacity","UNSTABLE: queue grows")))</f>
        <v>Stable</v>
      </c>
      <c r="J63" s="34" t="n">
        <f aca="false">IF(AND(D63&gt;0,H63&lt;1),H63/(F63-D63),"—")</f>
        <v>0.0104444744685966</v>
      </c>
      <c r="K63" s="34" t="n">
        <f aca="false">IF(ISNUMBER(J63),(1+0.3^2)/2*J63,"—")</f>
        <v>0.00569223858538514</v>
      </c>
      <c r="L63" s="35" t="n">
        <f aca="false">'Sim Data'!$F$199</f>
        <v>0.0062</v>
      </c>
      <c r="M63" s="41" t="n">
        <f aca="false">'Sim Data'!$H$199</f>
        <v>0.0448</v>
      </c>
      <c r="N63" s="37" t="n">
        <f aca="false">D63*L63</f>
        <v>0.044454</v>
      </c>
      <c r="O63" s="34" t="str">
        <f aca="false">IF(MAX(M63,N63)&lt;0.5,"both ≈ 0",IF(N63=0,"no new arrivals",M63/N63))</f>
        <v>both ≈ 0</v>
      </c>
      <c r="P63" s="40" t="str">
        <f aca="false">IF(D63=0,"",IF(H63&gt;=1,"No steady state: line grows by ~"&amp;TEXT((D63-G63*F63)*10,"0")&amp;" in this slot",IF(ISNUMBER(O63),IF(ABS(O63-1)&lt;=0.2,"Little's Law holds (steady)",IF(O63&gt;1,"More waiting than λWq: queue left over from before","Fewer waiting than λWq: queue still building")),"Hardly any queue")))</f>
        <v>Hardly any queue</v>
      </c>
    </row>
    <row r="64" customFormat="false" ht="15" hidden="false" customHeight="false" outlineLevel="0" collapsed="false">
      <c r="A64" s="6" t="s">
        <v>267</v>
      </c>
      <c r="B64" s="6" t="s">
        <v>252</v>
      </c>
      <c r="C64" s="6" t="s">
        <v>128</v>
      </c>
      <c r="D64" s="35" t="n">
        <f aca="false">'Sim Data'!$E$200</f>
        <v>0</v>
      </c>
      <c r="E64" s="36" t="n">
        <f aca="false">'Sim Data'!$G$200</f>
        <v>0</v>
      </c>
      <c r="F64" s="37" t="n">
        <f aca="false">IF(E64&gt;0,1/E64,60/Assumptions!$B$13)</f>
        <v>30</v>
      </c>
      <c r="G64" s="38" t="n">
        <f aca="false">Assumptions!$B$12</f>
        <v>1</v>
      </c>
      <c r="H64" s="39" t="n">
        <f aca="false">D64/(G64*F64)</f>
        <v>0</v>
      </c>
      <c r="I64" s="40" t="str">
        <f aca="false">IF(D64=0,"No arrivals",IF(H64&lt;0.85,"Stable",IF(H64&lt;1,"Stable, near capacity","UNSTABLE: queue grows")))</f>
        <v>No arrivals</v>
      </c>
      <c r="J64" s="34" t="str">
        <f aca="false">IF(AND(D64&gt;0,H64&lt;1),H64/(F64-D64),"—")</f>
        <v>—</v>
      </c>
      <c r="K64" s="34" t="str">
        <f aca="false">IF(ISNUMBER(J64),(1+0.3^2)/2*J64,"—")</f>
        <v>—</v>
      </c>
      <c r="L64" s="35" t="n">
        <f aca="false">'Sim Data'!$F$200</f>
        <v>0</v>
      </c>
      <c r="M64" s="41" t="n">
        <f aca="false">'Sim Data'!$H$200</f>
        <v>0</v>
      </c>
      <c r="N64" s="37" t="n">
        <f aca="false">D64*L64</f>
        <v>0</v>
      </c>
      <c r="O64" s="34" t="str">
        <f aca="false">IF(MAX(M64,N64)&lt;0.5,"both ≈ 0",IF(N64=0,"no new arrivals",M64/N64))</f>
        <v>both ≈ 0</v>
      </c>
      <c r="P64" s="40" t="str">
        <f aca="false">IF(D64=0,"",IF(H64&gt;=1,"No steady state: line grows by ~"&amp;TEXT((D64-G64*F64)*10,"0")&amp;" in this slot",IF(ISNUMBER(O64),IF(ABS(O64-1)&lt;=0.2,"Little's Law holds (steady)",IF(O64&gt;1,"More waiting than λWq: queue left over from before","Fewer waiting than λWq: queue still building")),"Hardly any queue")))</f>
        <v/>
      </c>
    </row>
    <row r="65" customFormat="false" ht="15" hidden="false" customHeight="false" outlineLevel="0" collapsed="false">
      <c r="A65" s="6" t="s">
        <v>267</v>
      </c>
      <c r="B65" s="6" t="s">
        <v>252</v>
      </c>
      <c r="C65" s="6" t="s">
        <v>261</v>
      </c>
      <c r="D65" s="35" t="n">
        <f aca="false">'Sim Data'!$E$201</f>
        <v>0</v>
      </c>
      <c r="E65" s="36" t="n">
        <f aca="false">'Sim Data'!$G$201</f>
        <v>0</v>
      </c>
      <c r="F65" s="37" t="n">
        <f aca="false">IF(E65&gt;0,1/E65,60/Assumptions!$B$13)</f>
        <v>30</v>
      </c>
      <c r="G65" s="38" t="n">
        <f aca="false">Assumptions!$B$12</f>
        <v>1</v>
      </c>
      <c r="H65" s="39" t="n">
        <f aca="false">D65/(G65*F65)</f>
        <v>0</v>
      </c>
      <c r="I65" s="40" t="str">
        <f aca="false">IF(D65=0,"No arrivals",IF(H65&lt;0.85,"Stable",IF(H65&lt;1,"Stable, near capacity","UNSTABLE: queue grows")))</f>
        <v>No arrivals</v>
      </c>
      <c r="J65" s="34" t="str">
        <f aca="false">IF(AND(D65&gt;0,H65&lt;1),H65/(F65-D65),"—")</f>
        <v>—</v>
      </c>
      <c r="K65" s="34" t="str">
        <f aca="false">IF(ISNUMBER(J65),(1+0.3^2)/2*J65,"—")</f>
        <v>—</v>
      </c>
      <c r="L65" s="35" t="n">
        <f aca="false">'Sim Data'!$F$201</f>
        <v>0</v>
      </c>
      <c r="M65" s="41" t="n">
        <f aca="false">'Sim Data'!$H$201</f>
        <v>0</v>
      </c>
      <c r="N65" s="37" t="n">
        <f aca="false">D65*L65</f>
        <v>0</v>
      </c>
      <c r="O65" s="34" t="str">
        <f aca="false">IF(MAX(M65,N65)&lt;0.5,"both ≈ 0",IF(N65=0,"no new arrivals",M65/N65))</f>
        <v>both ≈ 0</v>
      </c>
      <c r="P65" s="40" t="str">
        <f aca="false">IF(D65=0,"",IF(H65&gt;=1,"No steady state: line grows by ~"&amp;TEXT((D65-G65*F65)*10,"0")&amp;" in this slot",IF(ISNUMBER(O65),IF(ABS(O65-1)&lt;=0.2,"Little's Law holds (steady)",IF(O65&gt;1,"More waiting than λWq: queue left over from before","Fewer waiting than λWq: queue still building")),"Hardly any queue")))</f>
        <v/>
      </c>
    </row>
    <row r="66" customFormat="false" ht="15" hidden="false" customHeight="false" outlineLevel="0" collapsed="false">
      <c r="A66" s="6" t="s">
        <v>267</v>
      </c>
      <c r="B66" s="6" t="s">
        <v>252</v>
      </c>
      <c r="C66" s="6" t="s">
        <v>262</v>
      </c>
      <c r="D66" s="35" t="n">
        <f aca="false">'Sim Data'!$E$202</f>
        <v>0</v>
      </c>
      <c r="E66" s="36" t="n">
        <f aca="false">'Sim Data'!$G$202</f>
        <v>0</v>
      </c>
      <c r="F66" s="37" t="n">
        <f aca="false">IF(E66&gt;0,1/E66,60/Assumptions!$B$13)</f>
        <v>30</v>
      </c>
      <c r="G66" s="38" t="n">
        <f aca="false">Assumptions!$B$12</f>
        <v>1</v>
      </c>
      <c r="H66" s="39" t="n">
        <f aca="false">D66/(G66*F66)</f>
        <v>0</v>
      </c>
      <c r="I66" s="40" t="str">
        <f aca="false">IF(D66=0,"No arrivals",IF(H66&lt;0.85,"Stable",IF(H66&lt;1,"Stable, near capacity","UNSTABLE: queue grows")))</f>
        <v>No arrivals</v>
      </c>
      <c r="J66" s="34" t="str">
        <f aca="false">IF(AND(D66&gt;0,H66&lt;1),H66/(F66-D66),"—")</f>
        <v>—</v>
      </c>
      <c r="K66" s="34" t="str">
        <f aca="false">IF(ISNUMBER(J66),(1+0.3^2)/2*J66,"—")</f>
        <v>—</v>
      </c>
      <c r="L66" s="35" t="n">
        <f aca="false">'Sim Data'!$F$202</f>
        <v>0</v>
      </c>
      <c r="M66" s="41" t="n">
        <f aca="false">'Sim Data'!$H$202</f>
        <v>0</v>
      </c>
      <c r="N66" s="37" t="n">
        <f aca="false">D66*L66</f>
        <v>0</v>
      </c>
      <c r="O66" s="34" t="str">
        <f aca="false">IF(MAX(M66,N66)&lt;0.5,"both ≈ 0",IF(N66=0,"no new arrivals",M66/N66))</f>
        <v>both ≈ 0</v>
      </c>
      <c r="P66" s="40" t="str">
        <f aca="false">IF(D66=0,"",IF(H66&gt;=1,"No steady state: line grows by ~"&amp;TEXT((D66-G66*F66)*10,"0")&amp;" in this slot",IF(ISNUMBER(O66),IF(ABS(O66-1)&lt;=0.2,"Little's Law holds (steady)",IF(O66&gt;1,"More waiting than λWq: queue left over from before","Fewer waiting than λWq: queue still building")),"Hardly any queue")))</f>
        <v/>
      </c>
    </row>
    <row r="67" customFormat="false" ht="15" hidden="false" customHeight="false" outlineLevel="0" collapsed="false">
      <c r="A67" s="6" t="s">
        <v>267</v>
      </c>
      <c r="B67" s="6" t="s">
        <v>266</v>
      </c>
      <c r="C67" s="6" t="s">
        <v>254</v>
      </c>
      <c r="D67" s="35" t="n">
        <f aca="false">'Sim Data'!$E$275</f>
        <v>0</v>
      </c>
      <c r="E67" s="36" t="n">
        <f aca="false">'Sim Data'!$G$275</f>
        <v>0</v>
      </c>
      <c r="F67" s="37" t="n">
        <f aca="false">IF(E67&gt;0,1/E67,60/Assumptions!$B$13)</f>
        <v>30</v>
      </c>
      <c r="G67" s="38" t="n">
        <f aca="false">Assumptions!$B$12</f>
        <v>1</v>
      </c>
      <c r="H67" s="39" t="n">
        <f aca="false">D67/(G67*F67)</f>
        <v>0</v>
      </c>
      <c r="I67" s="40" t="str">
        <f aca="false">IF(D67=0,"No arrivals",IF(H67&lt;0.85,"Stable",IF(H67&lt;1,"Stable, near capacity","UNSTABLE: queue grows")))</f>
        <v>No arrivals</v>
      </c>
      <c r="J67" s="34" t="str">
        <f aca="false">IF(AND(D67&gt;0,H67&lt;1),H67/(F67-D67),"—")</f>
        <v>—</v>
      </c>
      <c r="K67" s="34" t="str">
        <f aca="false">IF(ISNUMBER(J67),(1+0.3^2)/2*J67,"—")</f>
        <v>—</v>
      </c>
      <c r="L67" s="35" t="n">
        <f aca="false">'Sim Data'!$F$275</f>
        <v>0</v>
      </c>
      <c r="M67" s="41" t="n">
        <f aca="false">'Sim Data'!$H$275</f>
        <v>0</v>
      </c>
      <c r="N67" s="37" t="n">
        <f aca="false">D67*L67</f>
        <v>0</v>
      </c>
      <c r="O67" s="34" t="str">
        <f aca="false">IF(MAX(M67,N67)&lt;0.5,"both ≈ 0",IF(N67=0,"no new arrivals",M67/N67))</f>
        <v>both ≈ 0</v>
      </c>
      <c r="P67" s="40" t="str">
        <f aca="false">IF(D67=0,"",IF(H67&gt;=1,"No steady state: line grows by ~"&amp;TEXT((D67-G67*F67)*10,"0")&amp;" in this slot",IF(ISNUMBER(O67),IF(ABS(O67-1)&lt;=0.2,"Little's Law holds (steady)",IF(O67&gt;1,"More waiting than λWq: queue left over from before","Fewer waiting than λWq: queue still building")),"Hardly any queue")))</f>
        <v/>
      </c>
    </row>
    <row r="68" customFormat="false" ht="15" hidden="false" customHeight="false" outlineLevel="0" collapsed="false">
      <c r="A68" s="6" t="s">
        <v>267</v>
      </c>
      <c r="B68" s="6" t="s">
        <v>266</v>
      </c>
      <c r="C68" s="6" t="s">
        <v>255</v>
      </c>
      <c r="D68" s="35" t="n">
        <f aca="false">'Sim Data'!$E$276</f>
        <v>0</v>
      </c>
      <c r="E68" s="36" t="n">
        <f aca="false">'Sim Data'!$G$276</f>
        <v>0</v>
      </c>
      <c r="F68" s="37" t="n">
        <f aca="false">IF(E68&gt;0,1/E68,60/Assumptions!$B$13)</f>
        <v>30</v>
      </c>
      <c r="G68" s="38" t="n">
        <f aca="false">Assumptions!$B$12</f>
        <v>1</v>
      </c>
      <c r="H68" s="39" t="n">
        <f aca="false">D68/(G68*F68)</f>
        <v>0</v>
      </c>
      <c r="I68" s="40" t="str">
        <f aca="false">IF(D68=0,"No arrivals",IF(H68&lt;0.85,"Stable",IF(H68&lt;1,"Stable, near capacity","UNSTABLE: queue grows")))</f>
        <v>No arrivals</v>
      </c>
      <c r="J68" s="34" t="str">
        <f aca="false">IF(AND(D68&gt;0,H68&lt;1),H68/(F68-D68),"—")</f>
        <v>—</v>
      </c>
      <c r="K68" s="34" t="str">
        <f aca="false">IF(ISNUMBER(J68),(1+0.3^2)/2*J68,"—")</f>
        <v>—</v>
      </c>
      <c r="L68" s="35" t="n">
        <f aca="false">'Sim Data'!$F$276</f>
        <v>0</v>
      </c>
      <c r="M68" s="41" t="n">
        <f aca="false">'Sim Data'!$H$276</f>
        <v>0</v>
      </c>
      <c r="N68" s="37" t="n">
        <f aca="false">D68*L68</f>
        <v>0</v>
      </c>
      <c r="O68" s="34" t="str">
        <f aca="false">IF(MAX(M68,N68)&lt;0.5,"both ≈ 0",IF(N68=0,"no new arrivals",M68/N68))</f>
        <v>both ≈ 0</v>
      </c>
      <c r="P68" s="40" t="str">
        <f aca="false">IF(D68=0,"",IF(H68&gt;=1,"No steady state: line grows by ~"&amp;TEXT((D68-G68*F68)*10,"0")&amp;" in this slot",IF(ISNUMBER(O68),IF(ABS(O68-1)&lt;=0.2,"Little's Law holds (steady)",IF(O68&gt;1,"More waiting than λWq: queue left over from before","Fewer waiting than λWq: queue still building")),"Hardly any queue")))</f>
        <v/>
      </c>
    </row>
    <row r="69" customFormat="false" ht="15" hidden="false" customHeight="false" outlineLevel="0" collapsed="false">
      <c r="A69" s="6" t="s">
        <v>267</v>
      </c>
      <c r="B69" s="6" t="s">
        <v>266</v>
      </c>
      <c r="C69" s="6" t="s">
        <v>256</v>
      </c>
      <c r="D69" s="35" t="n">
        <f aca="false">'Sim Data'!$E$277</f>
        <v>0</v>
      </c>
      <c r="E69" s="36" t="n">
        <f aca="false">'Sim Data'!$G$277</f>
        <v>0</v>
      </c>
      <c r="F69" s="37" t="n">
        <f aca="false">IF(E69&gt;0,1/E69,60/Assumptions!$B$13)</f>
        <v>30</v>
      </c>
      <c r="G69" s="38" t="n">
        <f aca="false">Assumptions!$B$12</f>
        <v>1</v>
      </c>
      <c r="H69" s="39" t="n">
        <f aca="false">D69/(G69*F69)</f>
        <v>0</v>
      </c>
      <c r="I69" s="40" t="str">
        <f aca="false">IF(D69=0,"No arrivals",IF(H69&lt;0.85,"Stable",IF(H69&lt;1,"Stable, near capacity","UNSTABLE: queue grows")))</f>
        <v>No arrivals</v>
      </c>
      <c r="J69" s="34" t="str">
        <f aca="false">IF(AND(D69&gt;0,H69&lt;1),H69/(F69-D69),"—")</f>
        <v>—</v>
      </c>
      <c r="K69" s="34" t="str">
        <f aca="false">IF(ISNUMBER(J69),(1+0.3^2)/2*J69,"—")</f>
        <v>—</v>
      </c>
      <c r="L69" s="35" t="n">
        <f aca="false">'Sim Data'!$F$277</f>
        <v>0</v>
      </c>
      <c r="M69" s="41" t="n">
        <f aca="false">'Sim Data'!$H$277</f>
        <v>0</v>
      </c>
      <c r="N69" s="37" t="n">
        <f aca="false">D69*L69</f>
        <v>0</v>
      </c>
      <c r="O69" s="34" t="str">
        <f aca="false">IF(MAX(M69,N69)&lt;0.5,"both ≈ 0",IF(N69=0,"no new arrivals",M69/N69))</f>
        <v>both ≈ 0</v>
      </c>
      <c r="P69" s="40" t="str">
        <f aca="false">IF(D69=0,"",IF(H69&gt;=1,"No steady state: line grows by ~"&amp;TEXT((D69-G69*F69)*10,"0")&amp;" in this slot",IF(ISNUMBER(O69),IF(ABS(O69-1)&lt;=0.2,"Little's Law holds (steady)",IF(O69&gt;1,"More waiting than λWq: queue left over from before","Fewer waiting than λWq: queue still building")),"Hardly any queue")))</f>
        <v/>
      </c>
    </row>
    <row r="70" customFormat="false" ht="15" hidden="false" customHeight="false" outlineLevel="0" collapsed="false">
      <c r="A70" s="6" t="s">
        <v>267</v>
      </c>
      <c r="B70" s="6" t="s">
        <v>266</v>
      </c>
      <c r="C70" s="6" t="s">
        <v>124</v>
      </c>
      <c r="D70" s="35" t="n">
        <f aca="false">'Sim Data'!$E$278</f>
        <v>3.88</v>
      </c>
      <c r="E70" s="36" t="n">
        <f aca="false">'Sim Data'!$G$278</f>
        <v>0.0336</v>
      </c>
      <c r="F70" s="37" t="n">
        <f aca="false">IF(E70&gt;0,1/E70,60/Assumptions!$B$13)</f>
        <v>29.7619047619048</v>
      </c>
      <c r="G70" s="38" t="n">
        <f aca="false">Assumptions!$B$12</f>
        <v>1</v>
      </c>
      <c r="H70" s="39" t="n">
        <f aca="false">D70/(G70*F70)</f>
        <v>0.130368</v>
      </c>
      <c r="I70" s="40" t="str">
        <f aca="false">IF(D70=0,"No arrivals",IF(H70&lt;0.85,"Stable",IF(H70&lt;1,"Stable, near capacity","UNSTABLE: queue grows")))</f>
        <v>Stable</v>
      </c>
      <c r="J70" s="34" t="n">
        <f aca="false">IF(AND(D70&gt;0,H70&lt;1),H70/(F70-D70),"—")</f>
        <v>0.00503703267589049</v>
      </c>
      <c r="K70" s="34" t="n">
        <f aca="false">IF(ISNUMBER(J70),(1+0.3^2)/2*J70,"—")</f>
        <v>0.00274518280836032</v>
      </c>
      <c r="L70" s="35" t="n">
        <f aca="false">'Sim Data'!$F$278</f>
        <v>0.0031</v>
      </c>
      <c r="M70" s="41" t="n">
        <f aca="false">'Sim Data'!$H$278</f>
        <v>0.0122</v>
      </c>
      <c r="N70" s="37" t="n">
        <f aca="false">D70*L70</f>
        <v>0.012028</v>
      </c>
      <c r="O70" s="34" t="str">
        <f aca="false">IF(MAX(M70,N70)&lt;0.5,"both ≈ 0",IF(N70=0,"no new arrivals",M70/N70))</f>
        <v>both ≈ 0</v>
      </c>
      <c r="P70" s="40" t="str">
        <f aca="false">IF(D70=0,"",IF(H70&gt;=1,"No steady state: line grows by ~"&amp;TEXT((D70-G70*F70)*10,"0")&amp;" in this slot",IF(ISNUMBER(O70),IF(ABS(O70-1)&lt;=0.2,"Little's Law holds (steady)",IF(O70&gt;1,"More waiting than λWq: queue left over from before","Fewer waiting than λWq: queue still building")),"Hardly any queue")))</f>
        <v>Hardly any queue</v>
      </c>
    </row>
    <row r="71" customFormat="false" ht="15" hidden="false" customHeight="false" outlineLevel="0" collapsed="false">
      <c r="A71" s="6" t="s">
        <v>267</v>
      </c>
      <c r="B71" s="6" t="s">
        <v>266</v>
      </c>
      <c r="C71" s="6" t="s">
        <v>257</v>
      </c>
      <c r="D71" s="35" t="n">
        <f aca="false">'Sim Data'!$E$279</f>
        <v>4.64</v>
      </c>
      <c r="E71" s="36" t="n">
        <f aca="false">'Sim Data'!$G$279</f>
        <v>0.0335</v>
      </c>
      <c r="F71" s="37" t="n">
        <f aca="false">IF(E71&gt;0,1/E71,60/Assumptions!$B$13)</f>
        <v>29.8507462686567</v>
      </c>
      <c r="G71" s="38" t="n">
        <f aca="false">Assumptions!$B$12</f>
        <v>1</v>
      </c>
      <c r="H71" s="39" t="n">
        <f aca="false">D71/(G71*F71)</f>
        <v>0.15544</v>
      </c>
      <c r="I71" s="40" t="str">
        <f aca="false">IF(D71=0,"No arrivals",IF(H71&lt;0.85,"Stable",IF(H71&lt;1,"Stable, near capacity","UNSTABLE: queue grows")))</f>
        <v>Stable</v>
      </c>
      <c r="J71" s="34" t="n">
        <f aca="false">IF(AND(D71&gt;0,H71&lt;1),H71/(F71-D71),"—")</f>
        <v>0.00616562470398788</v>
      </c>
      <c r="K71" s="34" t="n">
        <f aca="false">IF(ISNUMBER(J71),(1+0.3^2)/2*J71,"—")</f>
        <v>0.00336026546367339</v>
      </c>
      <c r="L71" s="35" t="n">
        <f aca="false">'Sim Data'!$F$279</f>
        <v>0.003</v>
      </c>
      <c r="M71" s="41" t="n">
        <f aca="false">'Sim Data'!$H$279</f>
        <v>0.0141</v>
      </c>
      <c r="N71" s="37" t="n">
        <f aca="false">D71*L71</f>
        <v>0.01392</v>
      </c>
      <c r="O71" s="34" t="str">
        <f aca="false">IF(MAX(M71,N71)&lt;0.5,"both ≈ 0",IF(N71=0,"no new arrivals",M71/N71))</f>
        <v>both ≈ 0</v>
      </c>
      <c r="P71" s="40" t="str">
        <f aca="false">IF(D71=0,"",IF(H71&gt;=1,"No steady state: line grows by ~"&amp;TEXT((D71-G71*F71)*10,"0")&amp;" in this slot",IF(ISNUMBER(O71),IF(ABS(O71-1)&lt;=0.2,"Little's Law holds (steady)",IF(O71&gt;1,"More waiting than λWq: queue left over from before","Fewer waiting than λWq: queue still building")),"Hardly any queue")))</f>
        <v>Hardly any queue</v>
      </c>
    </row>
    <row r="72" customFormat="false" ht="15" hidden="false" customHeight="false" outlineLevel="0" collapsed="false">
      <c r="A72" s="6" t="s">
        <v>267</v>
      </c>
      <c r="B72" s="6" t="s">
        <v>266</v>
      </c>
      <c r="C72" s="6" t="s">
        <v>258</v>
      </c>
      <c r="D72" s="35" t="n">
        <f aca="false">'Sim Data'!$E$280</f>
        <v>4.99</v>
      </c>
      <c r="E72" s="36" t="n">
        <f aca="false">'Sim Data'!$G$280</f>
        <v>0.0331</v>
      </c>
      <c r="F72" s="37" t="n">
        <f aca="false">IF(E72&gt;0,1/E72,60/Assumptions!$B$13)</f>
        <v>30.2114803625378</v>
      </c>
      <c r="G72" s="38" t="n">
        <f aca="false">Assumptions!$B$12</f>
        <v>1</v>
      </c>
      <c r="H72" s="39" t="n">
        <f aca="false">D72/(G72*F72)</f>
        <v>0.165169</v>
      </c>
      <c r="I72" s="40" t="str">
        <f aca="false">IF(D72=0,"No arrivals",IF(H72&lt;0.85,"Stable",IF(H72&lt;1,"Stable, near capacity","UNSTABLE: queue grows")))</f>
        <v>Stable</v>
      </c>
      <c r="J72" s="34" t="n">
        <f aca="false">IF(AND(D72&gt;0,H72&lt;1),H72/(F72-D72),"—")</f>
        <v>0.00654874327857974</v>
      </c>
      <c r="K72" s="34" t="n">
        <f aca="false">IF(ISNUMBER(J72),(1+0.3^2)/2*J72,"—")</f>
        <v>0.00356906508682596</v>
      </c>
      <c r="L72" s="35" t="n">
        <f aca="false">'Sim Data'!$F$280</f>
        <v>0.0042</v>
      </c>
      <c r="M72" s="41" t="n">
        <f aca="false">'Sim Data'!$H$280</f>
        <v>0.0209</v>
      </c>
      <c r="N72" s="37" t="n">
        <f aca="false">D72*L72</f>
        <v>0.020958</v>
      </c>
      <c r="O72" s="34" t="str">
        <f aca="false">IF(MAX(M72,N72)&lt;0.5,"both ≈ 0",IF(N72=0,"no new arrivals",M72/N72))</f>
        <v>both ≈ 0</v>
      </c>
      <c r="P72" s="40" t="str">
        <f aca="false">IF(D72=0,"",IF(H72&gt;=1,"No steady state: line grows by ~"&amp;TEXT((D72-G72*F72)*10,"0")&amp;" in this slot",IF(ISNUMBER(O72),IF(ABS(O72-1)&lt;=0.2,"Little's Law holds (steady)",IF(O72&gt;1,"More waiting than λWq: queue left over from before","Fewer waiting than λWq: queue still building")),"Hardly any queue")))</f>
        <v>Hardly any queue</v>
      </c>
    </row>
    <row r="73" customFormat="false" ht="15" hidden="false" customHeight="false" outlineLevel="0" collapsed="false">
      <c r="A73" s="6" t="s">
        <v>267</v>
      </c>
      <c r="B73" s="6" t="s">
        <v>266</v>
      </c>
      <c r="C73" s="6" t="s">
        <v>133</v>
      </c>
      <c r="D73" s="35" t="n">
        <f aca="false">'Sim Data'!$E$281</f>
        <v>7.035</v>
      </c>
      <c r="E73" s="36" t="n">
        <f aca="false">'Sim Data'!$G$281</f>
        <v>0.0338</v>
      </c>
      <c r="F73" s="37" t="n">
        <f aca="false">IF(E73&gt;0,1/E73,60/Assumptions!$B$13)</f>
        <v>29.5857988165681</v>
      </c>
      <c r="G73" s="38" t="n">
        <f aca="false">Assumptions!$B$12</f>
        <v>1</v>
      </c>
      <c r="H73" s="39" t="n">
        <f aca="false">D73/(G73*F73)</f>
        <v>0.237783</v>
      </c>
      <c r="I73" s="40" t="str">
        <f aca="false">IF(D73=0,"No arrivals",IF(H73&lt;0.85,"Stable",IF(H73&lt;1,"Stable, near capacity","UNSTABLE: queue grows")))</f>
        <v>Stable</v>
      </c>
      <c r="J73" s="34" t="n">
        <f aca="false">IF(AND(D73&gt;0,H73&lt;1),H73/(F73-D73),"—")</f>
        <v>0.0105443271404338</v>
      </c>
      <c r="K73" s="34" t="n">
        <f aca="false">IF(ISNUMBER(J73),(1+0.3^2)/2*J73,"—")</f>
        <v>0.0057466582915364</v>
      </c>
      <c r="L73" s="35" t="n">
        <f aca="false">'Sim Data'!$F$281</f>
        <v>0.0102</v>
      </c>
      <c r="M73" s="41" t="n">
        <f aca="false">'Sim Data'!$H$281</f>
        <v>0.0712</v>
      </c>
      <c r="N73" s="37" t="n">
        <f aca="false">D73*L73</f>
        <v>0.071757</v>
      </c>
      <c r="O73" s="34" t="str">
        <f aca="false">IF(MAX(M73,N73)&lt;0.5,"both ≈ 0",IF(N73=0,"no new arrivals",M73/N73))</f>
        <v>both ≈ 0</v>
      </c>
      <c r="P73" s="40" t="str">
        <f aca="false">IF(D73=0,"",IF(H73&gt;=1,"No steady state: line grows by ~"&amp;TEXT((D73-G73*F73)*10,"0")&amp;" in this slot",IF(ISNUMBER(O73),IF(ABS(O73-1)&lt;=0.2,"Little's Law holds (steady)",IF(O73&gt;1,"More waiting than λWq: queue left over from before","Fewer waiting than λWq: queue still building")),"Hardly any queue")))</f>
        <v>Hardly any queue</v>
      </c>
    </row>
    <row r="74" customFormat="false" ht="15" hidden="false" customHeight="false" outlineLevel="0" collapsed="false">
      <c r="A74" s="6" t="s">
        <v>267</v>
      </c>
      <c r="B74" s="6" t="s">
        <v>266</v>
      </c>
      <c r="C74" s="6" t="s">
        <v>137</v>
      </c>
      <c r="D74" s="35" t="n">
        <f aca="false">'Sim Data'!$E$282</f>
        <v>7.255</v>
      </c>
      <c r="E74" s="36" t="n">
        <f aca="false">'Sim Data'!$G$282</f>
        <v>0.0338</v>
      </c>
      <c r="F74" s="37" t="n">
        <f aca="false">IF(E74&gt;0,1/E74,60/Assumptions!$B$13)</f>
        <v>29.5857988165681</v>
      </c>
      <c r="G74" s="38" t="n">
        <f aca="false">Assumptions!$B$12</f>
        <v>1</v>
      </c>
      <c r="H74" s="39" t="n">
        <f aca="false">D74/(G74*F74)</f>
        <v>0.245219</v>
      </c>
      <c r="I74" s="40" t="str">
        <f aca="false">IF(D74=0,"No arrivals",IF(H74&lt;0.85,"Stable",IF(H74&lt;1,"Stable, near capacity","UNSTABLE: queue grows")))</f>
        <v>Stable</v>
      </c>
      <c r="J74" s="34" t="n">
        <f aca="false">IF(AND(D74&gt;0,H74&lt;1),H74/(F74-D74),"—")</f>
        <v>0.0109812014345883</v>
      </c>
      <c r="K74" s="34" t="n">
        <f aca="false">IF(ISNUMBER(J74),(1+0.3^2)/2*J74,"—")</f>
        <v>0.00598475478185063</v>
      </c>
      <c r="L74" s="35" t="n">
        <f aca="false">'Sim Data'!$F$282</f>
        <v>0.011</v>
      </c>
      <c r="M74" s="41" t="n">
        <f aca="false">'Sim Data'!$H$282</f>
        <v>0.0799</v>
      </c>
      <c r="N74" s="37" t="n">
        <f aca="false">D74*L74</f>
        <v>0.079805</v>
      </c>
      <c r="O74" s="34" t="str">
        <f aca="false">IF(MAX(M74,N74)&lt;0.5,"both ≈ 0",IF(N74=0,"no new arrivals",M74/N74))</f>
        <v>both ≈ 0</v>
      </c>
      <c r="P74" s="40" t="str">
        <f aca="false">IF(D74=0,"",IF(H74&gt;=1,"No steady state: line grows by ~"&amp;TEXT((D74-G74*F74)*10,"0")&amp;" in this slot",IF(ISNUMBER(O74),IF(ABS(O74-1)&lt;=0.2,"Little's Law holds (steady)",IF(O74&gt;1,"More waiting than λWq: queue left over from before","Fewer waiting than λWq: queue still building")),"Hardly any queue")))</f>
        <v>Hardly any queue</v>
      </c>
    </row>
    <row r="75" customFormat="false" ht="15" hidden="false" customHeight="false" outlineLevel="0" collapsed="false">
      <c r="A75" s="6" t="s">
        <v>267</v>
      </c>
      <c r="B75" s="6" t="s">
        <v>266</v>
      </c>
      <c r="C75" s="6" t="s">
        <v>140</v>
      </c>
      <c r="D75" s="35" t="n">
        <f aca="false">'Sim Data'!$E$283</f>
        <v>5.845</v>
      </c>
      <c r="E75" s="36" t="n">
        <f aca="false">'Sim Data'!$G$283</f>
        <v>0.0336</v>
      </c>
      <c r="F75" s="37" t="n">
        <f aca="false">IF(E75&gt;0,1/E75,60/Assumptions!$B$13)</f>
        <v>29.7619047619048</v>
      </c>
      <c r="G75" s="38" t="n">
        <f aca="false">Assumptions!$B$12</f>
        <v>1</v>
      </c>
      <c r="H75" s="39" t="n">
        <f aca="false">D75/(G75*F75)</f>
        <v>0.196392</v>
      </c>
      <c r="I75" s="40" t="str">
        <f aca="false">IF(D75=0,"No arrivals",IF(H75&lt;0.85,"Stable",IF(H75&lt;1,"Stable, near capacity","UNSTABLE: queue grows")))</f>
        <v>Stable</v>
      </c>
      <c r="J75" s="34" t="n">
        <f aca="false">IF(AND(D75&gt;0,H75&lt;1),H75/(F75-D75),"—")</f>
        <v>0.00821143044867647</v>
      </c>
      <c r="K75" s="34" t="n">
        <f aca="false">IF(ISNUMBER(J75),(1+0.3^2)/2*J75,"—")</f>
        <v>0.00447522959452868</v>
      </c>
      <c r="L75" s="35" t="n">
        <f aca="false">'Sim Data'!$F$283</f>
        <v>0.009</v>
      </c>
      <c r="M75" s="41" t="n">
        <f aca="false">'Sim Data'!$H$283</f>
        <v>0.0527</v>
      </c>
      <c r="N75" s="37" t="n">
        <f aca="false">D75*L75</f>
        <v>0.052605</v>
      </c>
      <c r="O75" s="34" t="str">
        <f aca="false">IF(MAX(M75,N75)&lt;0.5,"both ≈ 0",IF(N75=0,"no new arrivals",M75/N75))</f>
        <v>both ≈ 0</v>
      </c>
      <c r="P75" s="40" t="str">
        <f aca="false">IF(D75=0,"",IF(H75&gt;=1,"No steady state: line grows by ~"&amp;TEXT((D75-G75*F75)*10,"0")&amp;" in this slot",IF(ISNUMBER(O75),IF(ABS(O75-1)&lt;=0.2,"Little's Law holds (steady)",IF(O75&gt;1,"More waiting than λWq: queue left over from before","Fewer waiting than λWq: queue still building")),"Hardly any queue")))</f>
        <v>Hardly any queue</v>
      </c>
    </row>
    <row r="76" customFormat="false" ht="15" hidden="false" customHeight="false" outlineLevel="0" collapsed="false">
      <c r="A76" s="6" t="s">
        <v>267</v>
      </c>
      <c r="B76" s="6" t="s">
        <v>266</v>
      </c>
      <c r="C76" s="6" t="s">
        <v>125</v>
      </c>
      <c r="D76" s="35" t="n">
        <f aca="false">'Sim Data'!$E$284</f>
        <v>6.595</v>
      </c>
      <c r="E76" s="36" t="n">
        <f aca="false">'Sim Data'!$G$284</f>
        <v>0.0331</v>
      </c>
      <c r="F76" s="37" t="n">
        <f aca="false">IF(E76&gt;0,1/E76,60/Assumptions!$B$13)</f>
        <v>30.2114803625378</v>
      </c>
      <c r="G76" s="38" t="n">
        <f aca="false">Assumptions!$B$12</f>
        <v>1</v>
      </c>
      <c r="H76" s="39" t="n">
        <f aca="false">D76/(G76*F76)</f>
        <v>0.2182945</v>
      </c>
      <c r="I76" s="40" t="str">
        <f aca="false">IF(D76=0,"No arrivals",IF(H76&lt;0.85,"Stable",IF(H76&lt;1,"Stable, near capacity","UNSTABLE: queue grows")))</f>
        <v>Stable</v>
      </c>
      <c r="J76" s="34" t="n">
        <f aca="false">IF(AND(D76&gt;0,H76&lt;1),H76/(F76-D76),"—")</f>
        <v>0.00924331215528098</v>
      </c>
      <c r="K76" s="34" t="n">
        <f aca="false">IF(ISNUMBER(J76),(1+0.3^2)/2*J76,"—")</f>
        <v>0.00503760512462814</v>
      </c>
      <c r="L76" s="35" t="n">
        <f aca="false">'Sim Data'!$F$284</f>
        <v>0.009</v>
      </c>
      <c r="M76" s="41" t="n">
        <f aca="false">'Sim Data'!$H$284</f>
        <v>0.0578</v>
      </c>
      <c r="N76" s="37" t="n">
        <f aca="false">D76*L76</f>
        <v>0.059355</v>
      </c>
      <c r="O76" s="34" t="str">
        <f aca="false">IF(MAX(M76,N76)&lt;0.5,"both ≈ 0",IF(N76=0,"no new arrivals",M76/N76))</f>
        <v>both ≈ 0</v>
      </c>
      <c r="P76" s="40" t="str">
        <f aca="false">IF(D76=0,"",IF(H76&gt;=1,"No steady state: line grows by ~"&amp;TEXT((D76-G76*F76)*10,"0")&amp;" in this slot",IF(ISNUMBER(O76),IF(ABS(O76-1)&lt;=0.2,"Little's Law holds (steady)",IF(O76&gt;1,"More waiting than λWq: queue left over from before","Fewer waiting than λWq: queue still building")),"Hardly any queue")))</f>
        <v>Hardly any queue</v>
      </c>
    </row>
    <row r="77" customFormat="false" ht="15" hidden="false" customHeight="false" outlineLevel="0" collapsed="false">
      <c r="A77" s="6" t="s">
        <v>267</v>
      </c>
      <c r="B77" s="6" t="s">
        <v>266</v>
      </c>
      <c r="C77" s="6" t="s">
        <v>259</v>
      </c>
      <c r="D77" s="35" t="n">
        <f aca="false">'Sim Data'!$E$285</f>
        <v>15.66</v>
      </c>
      <c r="E77" s="36" t="n">
        <f aca="false">'Sim Data'!$G$285</f>
        <v>0.0331</v>
      </c>
      <c r="F77" s="37" t="n">
        <f aca="false">IF(E77&gt;0,1/E77,60/Assumptions!$B$13)</f>
        <v>30.2114803625378</v>
      </c>
      <c r="G77" s="38" t="n">
        <f aca="false">Assumptions!$B$12</f>
        <v>1</v>
      </c>
      <c r="H77" s="39" t="n">
        <f aca="false">D77/(G77*F77)</f>
        <v>0.518346</v>
      </c>
      <c r="I77" s="40" t="str">
        <f aca="false">IF(D77=0,"No arrivals",IF(H77&lt;0.85,"Stable",IF(H77&lt;1,"Stable, near capacity","UNSTABLE: queue grows")))</f>
        <v>Stable</v>
      </c>
      <c r="J77" s="34" t="n">
        <f aca="false">IF(AND(D77&gt;0,H77&lt;1),H77/(F77-D77),"—")</f>
        <v>0.0356215303931868</v>
      </c>
      <c r="K77" s="34" t="n">
        <f aca="false">IF(ISNUMBER(J77),(1+0.3^2)/2*J77,"—")</f>
        <v>0.0194137340642868</v>
      </c>
      <c r="L77" s="35" t="n">
        <f aca="false">'Sim Data'!$F$285</f>
        <v>0.0248</v>
      </c>
      <c r="M77" s="41" t="n">
        <f aca="false">'Sim Data'!$H$285</f>
        <v>0.3896</v>
      </c>
      <c r="N77" s="37" t="n">
        <f aca="false">D77*L77</f>
        <v>0.388368</v>
      </c>
      <c r="O77" s="34" t="str">
        <f aca="false">IF(MAX(M77,N77)&lt;0.5,"both ≈ 0",IF(N77=0,"no new arrivals",M77/N77))</f>
        <v>both ≈ 0</v>
      </c>
      <c r="P77" s="40" t="str">
        <f aca="false">IF(D77=0,"",IF(H77&gt;=1,"No steady state: line grows by ~"&amp;TEXT((D77-G77*F77)*10,"0")&amp;" in this slot",IF(ISNUMBER(O77),IF(ABS(O77-1)&lt;=0.2,"Little's Law holds (steady)",IF(O77&gt;1,"More waiting than λWq: queue left over from before","Fewer waiting than λWq: queue still building")),"Hardly any queue")))</f>
        <v>Hardly any queue</v>
      </c>
    </row>
    <row r="78" customFormat="false" ht="15" hidden="false" customHeight="false" outlineLevel="0" collapsed="false">
      <c r="A78" s="6" t="s">
        <v>267</v>
      </c>
      <c r="B78" s="6" t="s">
        <v>266</v>
      </c>
      <c r="C78" s="6" t="s">
        <v>260</v>
      </c>
      <c r="D78" s="35" t="n">
        <f aca="false">'Sim Data'!$E$286</f>
        <v>16.08</v>
      </c>
      <c r="E78" s="36" t="n">
        <f aca="false">'Sim Data'!$G$286</f>
        <v>0.0333</v>
      </c>
      <c r="F78" s="37" t="n">
        <f aca="false">IF(E78&gt;0,1/E78,60/Assumptions!$B$13)</f>
        <v>30.03003003003</v>
      </c>
      <c r="G78" s="38" t="n">
        <f aca="false">Assumptions!$B$12</f>
        <v>1</v>
      </c>
      <c r="H78" s="39" t="n">
        <f aca="false">D78/(G78*F78)</f>
        <v>0.535464</v>
      </c>
      <c r="I78" s="40" t="str">
        <f aca="false">IF(D78=0,"No arrivals",IF(H78&lt;0.85,"Stable",IF(H78&lt;1,"Stable, near capacity","UNSTABLE: queue grows")))</f>
        <v>Stable</v>
      </c>
      <c r="J78" s="34" t="n">
        <f aca="false">IF(AND(D78&gt;0,H78&lt;1),H78/(F78-D78),"—")</f>
        <v>0.0383844334992337</v>
      </c>
      <c r="K78" s="34" t="n">
        <f aca="false">IF(ISNUMBER(J78),(1+0.3^2)/2*J78,"—")</f>
        <v>0.0209195162570823</v>
      </c>
      <c r="L78" s="35" t="n">
        <f aca="false">'Sim Data'!$F$286</f>
        <v>0.0291</v>
      </c>
      <c r="M78" s="41" t="n">
        <f aca="false">'Sim Data'!$H$286</f>
        <v>0.4678</v>
      </c>
      <c r="N78" s="37" t="n">
        <f aca="false">D78*L78</f>
        <v>0.467928</v>
      </c>
      <c r="O78" s="34" t="str">
        <f aca="false">IF(MAX(M78,N78)&lt;0.5,"both ≈ 0",IF(N78=0,"no new arrivals",M78/N78))</f>
        <v>both ≈ 0</v>
      </c>
      <c r="P78" s="40" t="str">
        <f aca="false">IF(D78=0,"",IF(H78&gt;=1,"No steady state: line grows by ~"&amp;TEXT((D78-G78*F78)*10,"0")&amp;" in this slot",IF(ISNUMBER(O78),IF(ABS(O78-1)&lt;=0.2,"Little's Law holds (steady)",IF(O78&gt;1,"More waiting than λWq: queue left over from before","Fewer waiting than λWq: queue still building")),"Hardly any queue")))</f>
        <v>Hardly any queue</v>
      </c>
    </row>
    <row r="79" customFormat="false" ht="15" hidden="false" customHeight="false" outlineLevel="0" collapsed="false">
      <c r="A79" s="6" t="s">
        <v>267</v>
      </c>
      <c r="B79" s="6" t="s">
        <v>266</v>
      </c>
      <c r="C79" s="6" t="s">
        <v>134</v>
      </c>
      <c r="D79" s="35" t="n">
        <f aca="false">'Sim Data'!$E$287</f>
        <v>9.655</v>
      </c>
      <c r="E79" s="36" t="n">
        <f aca="false">'Sim Data'!$G$287</f>
        <v>0.0333</v>
      </c>
      <c r="F79" s="37" t="n">
        <f aca="false">IF(E79&gt;0,1/E79,60/Assumptions!$B$13)</f>
        <v>30.03003003003</v>
      </c>
      <c r="G79" s="38" t="n">
        <f aca="false">Assumptions!$B$12</f>
        <v>1</v>
      </c>
      <c r="H79" s="39" t="n">
        <f aca="false">D79/(G79*F79)</f>
        <v>0.3215115</v>
      </c>
      <c r="I79" s="40" t="str">
        <f aca="false">IF(D79=0,"No arrivals",IF(H79&lt;0.85,"Stable",IF(H79&lt;1,"Stable, near capacity","UNSTABLE: queue grows")))</f>
        <v>Stable</v>
      </c>
      <c r="J79" s="34" t="n">
        <f aca="false">IF(AND(D79&gt;0,H79&lt;1),H79/(F79-D79),"—")</f>
        <v>0.0157796822643273</v>
      </c>
      <c r="K79" s="34" t="n">
        <f aca="false">IF(ISNUMBER(J79),(1+0.3^2)/2*J79,"—")</f>
        <v>0.00859992683405835</v>
      </c>
      <c r="L79" s="35" t="n">
        <f aca="false">'Sim Data'!$F$287</f>
        <v>0.0174</v>
      </c>
      <c r="M79" s="41" t="n">
        <f aca="false">'Sim Data'!$H$287</f>
        <v>0.1679</v>
      </c>
      <c r="N79" s="37" t="n">
        <f aca="false">D79*L79</f>
        <v>0.167997</v>
      </c>
      <c r="O79" s="34" t="str">
        <f aca="false">IF(MAX(M79,N79)&lt;0.5,"both ≈ 0",IF(N79=0,"no new arrivals",M79/N79))</f>
        <v>both ≈ 0</v>
      </c>
      <c r="P79" s="40" t="str">
        <f aca="false">IF(D79=0,"",IF(H79&gt;=1,"No steady state: line grows by ~"&amp;TEXT((D79-G79*F79)*10,"0")&amp;" in this slot",IF(ISNUMBER(O79),IF(ABS(O79-1)&lt;=0.2,"Little's Law holds (steady)",IF(O79&gt;1,"More waiting than λWq: queue left over from before","Fewer waiting than λWq: queue still building")),"Hardly any queue")))</f>
        <v>Hardly any queue</v>
      </c>
    </row>
    <row r="80" customFormat="false" ht="15" hidden="false" customHeight="false" outlineLevel="0" collapsed="false">
      <c r="A80" s="6" t="s">
        <v>267</v>
      </c>
      <c r="B80" s="6" t="s">
        <v>266</v>
      </c>
      <c r="C80" s="6" t="s">
        <v>138</v>
      </c>
      <c r="D80" s="35" t="n">
        <f aca="false">'Sim Data'!$E$288</f>
        <v>5.01</v>
      </c>
      <c r="E80" s="36" t="n">
        <f aca="false">'Sim Data'!$G$288</f>
        <v>0.0335</v>
      </c>
      <c r="F80" s="37" t="n">
        <f aca="false">IF(E80&gt;0,1/E80,60/Assumptions!$B$13)</f>
        <v>29.8507462686567</v>
      </c>
      <c r="G80" s="38" t="n">
        <f aca="false">Assumptions!$B$12</f>
        <v>1</v>
      </c>
      <c r="H80" s="39" t="n">
        <f aca="false">D80/(G80*F80)</f>
        <v>0.167835</v>
      </c>
      <c r="I80" s="40" t="str">
        <f aca="false">IF(D80=0,"No arrivals",IF(H80&lt;0.85,"Stable",IF(H80&lt;1,"Stable, near capacity","UNSTABLE: queue grows")))</f>
        <v>Stable</v>
      </c>
      <c r="J80" s="34" t="n">
        <f aca="false">IF(AND(D80&gt;0,H80&lt;1),H80/(F80-D80),"—")</f>
        <v>0.00675643952821856</v>
      </c>
      <c r="K80" s="34" t="n">
        <f aca="false">IF(ISNUMBER(J80),(1+0.3^2)/2*J80,"—")</f>
        <v>0.00368225954287912</v>
      </c>
      <c r="L80" s="35" t="n">
        <f aca="false">'Sim Data'!$F$288</f>
        <v>0.0055</v>
      </c>
      <c r="M80" s="41" t="n">
        <f aca="false">'Sim Data'!$H$288</f>
        <v>0.0274</v>
      </c>
      <c r="N80" s="37" t="n">
        <f aca="false">D80*L80</f>
        <v>0.027555</v>
      </c>
      <c r="O80" s="34" t="str">
        <f aca="false">IF(MAX(M80,N80)&lt;0.5,"both ≈ 0",IF(N80=0,"no new arrivals",M80/N80))</f>
        <v>both ≈ 0</v>
      </c>
      <c r="P80" s="40" t="str">
        <f aca="false">IF(D80=0,"",IF(H80&gt;=1,"No steady state: line grows by ~"&amp;TEXT((D80-G80*F80)*10,"0")&amp;" in this slot",IF(ISNUMBER(O80),IF(ABS(O80-1)&lt;=0.2,"Little's Law holds (steady)",IF(O80&gt;1,"More waiting than λWq: queue left over from before","Fewer waiting than λWq: queue still building")),"Hardly any queue")))</f>
        <v>Hardly any queue</v>
      </c>
    </row>
    <row r="81" customFormat="false" ht="15" hidden="false" customHeight="false" outlineLevel="0" collapsed="false">
      <c r="A81" s="6" t="s">
        <v>267</v>
      </c>
      <c r="B81" s="6" t="s">
        <v>266</v>
      </c>
      <c r="C81" s="6" t="s">
        <v>141</v>
      </c>
      <c r="D81" s="35" t="n">
        <f aca="false">'Sim Data'!$E$289</f>
        <v>1.825</v>
      </c>
      <c r="E81" s="36" t="n">
        <f aca="false">'Sim Data'!$G$289</f>
        <v>0.0329</v>
      </c>
      <c r="F81" s="37" t="n">
        <f aca="false">IF(E81&gt;0,1/E81,60/Assumptions!$B$13)</f>
        <v>30.3951367781155</v>
      </c>
      <c r="G81" s="38" t="n">
        <f aca="false">Assumptions!$B$12</f>
        <v>1</v>
      </c>
      <c r="H81" s="39" t="n">
        <f aca="false">D81/(G81*F81)</f>
        <v>0.0600425</v>
      </c>
      <c r="I81" s="40" t="str">
        <f aca="false">IF(D81=0,"No arrivals",IF(H81&lt;0.85,"Stable",IF(H81&lt;1,"Stable, near capacity","UNSTABLE: queue grows")))</f>
        <v>Stable</v>
      </c>
      <c r="J81" s="34" t="n">
        <f aca="false">IF(AND(D81&gt;0,H81&lt;1),H81/(F81-D81),"—")</f>
        <v>0.00210158251835854</v>
      </c>
      <c r="K81" s="34" t="n">
        <f aca="false">IF(ISNUMBER(J81),(1+0.3^2)/2*J81,"—")</f>
        <v>0.00114536247250541</v>
      </c>
      <c r="L81" s="35" t="n">
        <f aca="false">'Sim Data'!$F$289</f>
        <v>0.0011</v>
      </c>
      <c r="M81" s="41" t="n">
        <f aca="false">'Sim Data'!$H$289</f>
        <v>0.0021</v>
      </c>
      <c r="N81" s="37" t="n">
        <f aca="false">D81*L81</f>
        <v>0.0020075</v>
      </c>
      <c r="O81" s="34" t="str">
        <f aca="false">IF(MAX(M81,N81)&lt;0.5,"both ≈ 0",IF(N81=0,"no new arrivals",M81/N81))</f>
        <v>both ≈ 0</v>
      </c>
      <c r="P81" s="40" t="str">
        <f aca="false">IF(D81=0,"",IF(H81&gt;=1,"No steady state: line grows by ~"&amp;TEXT((D81-G81*F81)*10,"0")&amp;" in this slot",IF(ISNUMBER(O81),IF(ABS(O81-1)&lt;=0.2,"Little's Law holds (steady)",IF(O81&gt;1,"More waiting than λWq: queue left over from before","Fewer waiting than λWq: queue still building")),"Hardly any queue")))</f>
        <v>Hardly any queue</v>
      </c>
    </row>
    <row r="82" customFormat="false" ht="15" hidden="false" customHeight="false" outlineLevel="0" collapsed="false">
      <c r="A82" s="6" t="s">
        <v>267</v>
      </c>
      <c r="B82" s="6" t="s">
        <v>266</v>
      </c>
      <c r="C82" s="6" t="s">
        <v>128</v>
      </c>
      <c r="D82" s="35" t="n">
        <f aca="false">'Sim Data'!$E$290</f>
        <v>0</v>
      </c>
      <c r="E82" s="36" t="n">
        <f aca="false">'Sim Data'!$G$290</f>
        <v>0</v>
      </c>
      <c r="F82" s="37" t="n">
        <f aca="false">IF(E82&gt;0,1/E82,60/Assumptions!$B$13)</f>
        <v>30</v>
      </c>
      <c r="G82" s="38" t="n">
        <f aca="false">Assumptions!$B$12</f>
        <v>1</v>
      </c>
      <c r="H82" s="39" t="n">
        <f aca="false">D82/(G82*F82)</f>
        <v>0</v>
      </c>
      <c r="I82" s="40" t="str">
        <f aca="false">IF(D82=0,"No arrivals",IF(H82&lt;0.85,"Stable",IF(H82&lt;1,"Stable, near capacity","UNSTABLE: queue grows")))</f>
        <v>No arrivals</v>
      </c>
      <c r="J82" s="34" t="str">
        <f aca="false">IF(AND(D82&gt;0,H82&lt;1),H82/(F82-D82),"—")</f>
        <v>—</v>
      </c>
      <c r="K82" s="34" t="str">
        <f aca="false">IF(ISNUMBER(J82),(1+0.3^2)/2*J82,"—")</f>
        <v>—</v>
      </c>
      <c r="L82" s="35" t="n">
        <f aca="false">'Sim Data'!$F$290</f>
        <v>0</v>
      </c>
      <c r="M82" s="41" t="n">
        <f aca="false">'Sim Data'!$H$290</f>
        <v>0</v>
      </c>
      <c r="N82" s="37" t="n">
        <f aca="false">D82*L82</f>
        <v>0</v>
      </c>
      <c r="O82" s="34" t="str">
        <f aca="false">IF(MAX(M82,N82)&lt;0.5,"both ≈ 0",IF(N82=0,"no new arrivals",M82/N82))</f>
        <v>both ≈ 0</v>
      </c>
      <c r="P82" s="40" t="str">
        <f aca="false">IF(D82=0,"",IF(H82&gt;=1,"No steady state: line grows by ~"&amp;TEXT((D82-G82*F82)*10,"0")&amp;" in this slot",IF(ISNUMBER(O82),IF(ABS(O82-1)&lt;=0.2,"Little's Law holds (steady)",IF(O82&gt;1,"More waiting than λWq: queue left over from before","Fewer waiting than λWq: queue still building")),"Hardly any queue")))</f>
        <v/>
      </c>
    </row>
    <row r="83" customFormat="false" ht="15" hidden="false" customHeight="false" outlineLevel="0" collapsed="false">
      <c r="A83" s="6" t="s">
        <v>267</v>
      </c>
      <c r="B83" s="6" t="s">
        <v>266</v>
      </c>
      <c r="C83" s="6" t="s">
        <v>261</v>
      </c>
      <c r="D83" s="35" t="n">
        <f aca="false">'Sim Data'!$E$291</f>
        <v>0</v>
      </c>
      <c r="E83" s="36" t="n">
        <f aca="false">'Sim Data'!$G$291</f>
        <v>0</v>
      </c>
      <c r="F83" s="37" t="n">
        <f aca="false">IF(E83&gt;0,1/E83,60/Assumptions!$B$13)</f>
        <v>30</v>
      </c>
      <c r="G83" s="38" t="n">
        <f aca="false">Assumptions!$B$12</f>
        <v>1</v>
      </c>
      <c r="H83" s="39" t="n">
        <f aca="false">D83/(G83*F83)</f>
        <v>0</v>
      </c>
      <c r="I83" s="40" t="str">
        <f aca="false">IF(D83=0,"No arrivals",IF(H83&lt;0.85,"Stable",IF(H83&lt;1,"Stable, near capacity","UNSTABLE: queue grows")))</f>
        <v>No arrivals</v>
      </c>
      <c r="J83" s="34" t="str">
        <f aca="false">IF(AND(D83&gt;0,H83&lt;1),H83/(F83-D83),"—")</f>
        <v>—</v>
      </c>
      <c r="K83" s="34" t="str">
        <f aca="false">IF(ISNUMBER(J83),(1+0.3^2)/2*J83,"—")</f>
        <v>—</v>
      </c>
      <c r="L83" s="35" t="n">
        <f aca="false">'Sim Data'!$F$291</f>
        <v>0</v>
      </c>
      <c r="M83" s="41" t="n">
        <f aca="false">'Sim Data'!$H$291</f>
        <v>0</v>
      </c>
      <c r="N83" s="37" t="n">
        <f aca="false">D83*L83</f>
        <v>0</v>
      </c>
      <c r="O83" s="34" t="str">
        <f aca="false">IF(MAX(M83,N83)&lt;0.5,"both ≈ 0",IF(N83=0,"no new arrivals",M83/N83))</f>
        <v>both ≈ 0</v>
      </c>
      <c r="P83" s="40" t="str">
        <f aca="false">IF(D83=0,"",IF(H83&gt;=1,"No steady state: line grows by ~"&amp;TEXT((D83-G83*F83)*10,"0")&amp;" in this slot",IF(ISNUMBER(O83),IF(ABS(O83-1)&lt;=0.2,"Little's Law holds (steady)",IF(O83&gt;1,"More waiting than λWq: queue left over from before","Fewer waiting than λWq: queue still building")),"Hardly any queue")))</f>
        <v/>
      </c>
    </row>
    <row r="84" customFormat="false" ht="15" hidden="false" customHeight="false" outlineLevel="0" collapsed="false">
      <c r="A84" s="6" t="s">
        <v>267</v>
      </c>
      <c r="B84" s="6" t="s">
        <v>266</v>
      </c>
      <c r="C84" s="6" t="s">
        <v>262</v>
      </c>
      <c r="D84" s="35" t="n">
        <f aca="false">'Sim Data'!$E$292</f>
        <v>0</v>
      </c>
      <c r="E84" s="36" t="n">
        <f aca="false">'Sim Data'!$G$292</f>
        <v>0</v>
      </c>
      <c r="F84" s="37" t="n">
        <f aca="false">IF(E84&gt;0,1/E84,60/Assumptions!$B$13)</f>
        <v>30</v>
      </c>
      <c r="G84" s="38" t="n">
        <f aca="false">Assumptions!$B$12</f>
        <v>1</v>
      </c>
      <c r="H84" s="39" t="n">
        <f aca="false">D84/(G84*F84)</f>
        <v>0</v>
      </c>
      <c r="I84" s="40" t="str">
        <f aca="false">IF(D84=0,"No arrivals",IF(H84&lt;0.85,"Stable",IF(H84&lt;1,"Stable, near capacity","UNSTABLE: queue grows")))</f>
        <v>No arrivals</v>
      </c>
      <c r="J84" s="34" t="str">
        <f aca="false">IF(AND(D84&gt;0,H84&lt;1),H84/(F84-D84),"—")</f>
        <v>—</v>
      </c>
      <c r="K84" s="34" t="str">
        <f aca="false">IF(ISNUMBER(J84),(1+0.3^2)/2*J84,"—")</f>
        <v>—</v>
      </c>
      <c r="L84" s="35" t="n">
        <f aca="false">'Sim Data'!$F$292</f>
        <v>0</v>
      </c>
      <c r="M84" s="41" t="n">
        <f aca="false">'Sim Data'!$H$292</f>
        <v>0</v>
      </c>
      <c r="N84" s="37" t="n">
        <f aca="false">D84*L84</f>
        <v>0</v>
      </c>
      <c r="O84" s="34" t="str">
        <f aca="false">IF(MAX(M84,N84)&lt;0.5,"both ≈ 0",IF(N84=0,"no new arrivals",M84/N84))</f>
        <v>both ≈ 0</v>
      </c>
      <c r="P84" s="40" t="str">
        <f aca="false">IF(D84=0,"",IF(H84&gt;=1,"No steady state: line grows by ~"&amp;TEXT((D84-G84*F84)*10,"0")&amp;" in this slot",IF(ISNUMBER(O84),IF(ABS(O84-1)&lt;=0.2,"Little's Law holds (steady)",IF(O84&gt;1,"More waiting than λWq: queue left over from before","Fewer waiting than λWq: queue still building")),"Hardly any queue")))</f>
        <v/>
      </c>
    </row>
    <row r="87" customFormat="false" ht="15" hidden="false" customHeight="false" outlineLevel="0" collapsed="false">
      <c r="A87" s="4" t="s">
        <v>290</v>
      </c>
    </row>
    <row r="88" customFormat="false" ht="30" hidden="false" customHeight="true" outlineLevel="0" collapsed="false">
      <c r="A88" s="16" t="s">
        <v>245</v>
      </c>
      <c r="B88" s="16" t="s">
        <v>291</v>
      </c>
      <c r="C88" s="16" t="s">
        <v>292</v>
      </c>
      <c r="D88" s="16" t="s">
        <v>293</v>
      </c>
      <c r="E88" s="16" t="s">
        <v>294</v>
      </c>
      <c r="F88" s="16" t="s">
        <v>295</v>
      </c>
    </row>
    <row r="89" customFormat="false" ht="15" hidden="false" customHeight="false" outlineLevel="0" collapsed="false">
      <c r="A89" s="6" t="s">
        <v>254</v>
      </c>
      <c r="B89" s="39" t="n">
        <f aca="false">H13</f>
        <v>0</v>
      </c>
      <c r="C89" s="39" t="n">
        <f aca="false">H31</f>
        <v>0</v>
      </c>
      <c r="D89" s="39" t="n">
        <f aca="false">H49</f>
        <v>0</v>
      </c>
      <c r="E89" s="39" t="n">
        <f aca="false">H67</f>
        <v>0</v>
      </c>
      <c r="F89" s="42" t="n">
        <v>1</v>
      </c>
    </row>
    <row r="90" customFormat="false" ht="15" hidden="false" customHeight="false" outlineLevel="0" collapsed="false">
      <c r="A90" s="6" t="s">
        <v>255</v>
      </c>
      <c r="B90" s="39" t="n">
        <f aca="false">H14</f>
        <v>0</v>
      </c>
      <c r="C90" s="39" t="n">
        <f aca="false">H32</f>
        <v>0</v>
      </c>
      <c r="D90" s="39" t="n">
        <f aca="false">H50</f>
        <v>0</v>
      </c>
      <c r="E90" s="39" t="n">
        <f aca="false">H68</f>
        <v>0</v>
      </c>
      <c r="F90" s="42" t="n">
        <v>1</v>
      </c>
    </row>
    <row r="91" customFormat="false" ht="15" hidden="false" customHeight="false" outlineLevel="0" collapsed="false">
      <c r="A91" s="6" t="s">
        <v>256</v>
      </c>
      <c r="B91" s="39" t="n">
        <f aca="false">H15</f>
        <v>0</v>
      </c>
      <c r="C91" s="39" t="n">
        <f aca="false">H33</f>
        <v>0</v>
      </c>
      <c r="D91" s="39" t="n">
        <f aca="false">H51</f>
        <v>0</v>
      </c>
      <c r="E91" s="39" t="n">
        <f aca="false">H69</f>
        <v>0</v>
      </c>
      <c r="F91" s="42" t="n">
        <v>1</v>
      </c>
    </row>
    <row r="92" customFormat="false" ht="15" hidden="false" customHeight="false" outlineLevel="0" collapsed="false">
      <c r="A92" s="6" t="s">
        <v>124</v>
      </c>
      <c r="B92" s="39" t="n">
        <f aca="false">H16</f>
        <v>0.483516</v>
      </c>
      <c r="C92" s="39" t="n">
        <f aca="false">H34</f>
        <v>0.130368</v>
      </c>
      <c r="D92" s="39" t="n">
        <f aca="false">H52</f>
        <v>0.483516</v>
      </c>
      <c r="E92" s="39" t="n">
        <f aca="false">H70</f>
        <v>0.130368</v>
      </c>
      <c r="F92" s="42" t="n">
        <v>1</v>
      </c>
    </row>
    <row r="93" customFormat="false" ht="15" hidden="false" customHeight="false" outlineLevel="0" collapsed="false">
      <c r="A93" s="6" t="s">
        <v>257</v>
      </c>
      <c r="B93" s="39" t="n">
        <f aca="false">H17</f>
        <v>0.626918</v>
      </c>
      <c r="C93" s="39" t="n">
        <f aca="false">H35</f>
        <v>0.15544</v>
      </c>
      <c r="D93" s="39" t="n">
        <f aca="false">H53</f>
        <v>0.626918</v>
      </c>
      <c r="E93" s="39" t="n">
        <f aca="false">H71</f>
        <v>0.15544</v>
      </c>
      <c r="F93" s="42" t="n">
        <v>1</v>
      </c>
    </row>
    <row r="94" customFormat="false" ht="15" hidden="false" customHeight="false" outlineLevel="0" collapsed="false">
      <c r="A94" s="6" t="s">
        <v>258</v>
      </c>
      <c r="B94" s="39" t="n">
        <f aca="false">H18</f>
        <v>0.62499</v>
      </c>
      <c r="C94" s="39" t="n">
        <f aca="false">H36</f>
        <v>0.157262</v>
      </c>
      <c r="D94" s="39" t="n">
        <f aca="false">H54</f>
        <v>0.618018</v>
      </c>
      <c r="E94" s="39" t="n">
        <f aca="false">H72</f>
        <v>0.165169</v>
      </c>
      <c r="F94" s="42" t="n">
        <v>1</v>
      </c>
    </row>
    <row r="95" customFormat="false" ht="15" hidden="false" customHeight="false" outlineLevel="0" collapsed="false">
      <c r="A95" s="6" t="s">
        <v>133</v>
      </c>
      <c r="B95" s="39" t="n">
        <f aca="false">H19</f>
        <v>0.7676525</v>
      </c>
      <c r="C95" s="39" t="n">
        <f aca="false">H37</f>
        <v>0.191382</v>
      </c>
      <c r="D95" s="39" t="n">
        <f aca="false">H55</f>
        <v>0.7214225</v>
      </c>
      <c r="E95" s="39" t="n">
        <f aca="false">H73</f>
        <v>0.237783</v>
      </c>
      <c r="F95" s="42" t="n">
        <v>1</v>
      </c>
    </row>
    <row r="96" customFormat="false" ht="15" hidden="false" customHeight="false" outlineLevel="0" collapsed="false">
      <c r="A96" s="6" t="s">
        <v>137</v>
      </c>
      <c r="B96" s="39" t="n">
        <f aca="false">H20</f>
        <v>0.67969</v>
      </c>
      <c r="C96" s="39" t="n">
        <f aca="false">H38</f>
        <v>0.178488</v>
      </c>
      <c r="D96" s="39" t="n">
        <f aca="false">H56</f>
        <v>0.617232</v>
      </c>
      <c r="E96" s="39" t="n">
        <f aca="false">H74</f>
        <v>0.245219</v>
      </c>
      <c r="F96" s="42" t="n">
        <v>1</v>
      </c>
    </row>
    <row r="97" customFormat="false" ht="15" hidden="false" customHeight="false" outlineLevel="0" collapsed="false">
      <c r="A97" s="6" t="s">
        <v>140</v>
      </c>
      <c r="B97" s="39" t="n">
        <f aca="false">H21</f>
        <v>0.561438</v>
      </c>
      <c r="C97" s="39" t="n">
        <f aca="false">H39</f>
        <v>0.147</v>
      </c>
      <c r="D97" s="39" t="n">
        <f aca="false">H57</f>
        <v>0.512608</v>
      </c>
      <c r="E97" s="39" t="n">
        <f aca="false">H75</f>
        <v>0.196392</v>
      </c>
      <c r="F97" s="42" t="n">
        <v>1</v>
      </c>
    </row>
    <row r="98" customFormat="false" ht="15" hidden="false" customHeight="false" outlineLevel="0" collapsed="false">
      <c r="A98" s="6" t="s">
        <v>125</v>
      </c>
      <c r="B98" s="39" t="n">
        <f aca="false">H22</f>
        <v>0.758347</v>
      </c>
      <c r="C98" s="39" t="n">
        <f aca="false">H40</f>
        <v>0.189945</v>
      </c>
      <c r="D98" s="39" t="n">
        <f aca="false">H58</f>
        <v>0.709982</v>
      </c>
      <c r="E98" s="39" t="n">
        <f aca="false">H76</f>
        <v>0.2182945</v>
      </c>
      <c r="F98" s="42" t="n">
        <v>1</v>
      </c>
    </row>
    <row r="99" customFormat="false" ht="15" hidden="false" customHeight="false" outlineLevel="0" collapsed="false">
      <c r="A99" s="6" t="s">
        <v>259</v>
      </c>
      <c r="B99" s="39" t="n">
        <f aca="false">H23</f>
        <v>0.987304</v>
      </c>
      <c r="C99" s="39" t="n">
        <f aca="false">H41</f>
        <v>0.2475855</v>
      </c>
      <c r="D99" s="39" t="n">
        <f aca="false">H59</f>
        <v>0.710084</v>
      </c>
      <c r="E99" s="39" t="n">
        <f aca="false">H77</f>
        <v>0.518346</v>
      </c>
      <c r="F99" s="42" t="n">
        <v>1</v>
      </c>
    </row>
    <row r="100" customFormat="false" ht="15" hidden="false" customHeight="false" outlineLevel="0" collapsed="false">
      <c r="A100" s="6" t="s">
        <v>260</v>
      </c>
      <c r="B100" s="39" t="n">
        <f aca="false">H24</f>
        <v>0.937723</v>
      </c>
      <c r="C100" s="39" t="n">
        <f aca="false">H42</f>
        <v>0.24549</v>
      </c>
      <c r="D100" s="39" t="n">
        <f aca="false">H60</f>
        <v>0.659149</v>
      </c>
      <c r="E100" s="39" t="n">
        <f aca="false">H78</f>
        <v>0.535464</v>
      </c>
      <c r="F100" s="42" t="n">
        <v>1</v>
      </c>
    </row>
    <row r="101" customFormat="false" ht="15" hidden="false" customHeight="false" outlineLevel="0" collapsed="false">
      <c r="A101" s="6" t="s">
        <v>134</v>
      </c>
      <c r="B101" s="39" t="n">
        <f aca="false">H25</f>
        <v>0.70882</v>
      </c>
      <c r="C101" s="39" t="n">
        <f aca="false">H43</f>
        <v>0.175028</v>
      </c>
      <c r="D101" s="39" t="n">
        <f aca="false">H61</f>
        <v>0.574425</v>
      </c>
      <c r="E101" s="39" t="n">
        <f aca="false">H79</f>
        <v>0.3215115</v>
      </c>
      <c r="F101" s="42" t="n">
        <v>1</v>
      </c>
    </row>
    <row r="102" customFormat="false" ht="15" hidden="false" customHeight="false" outlineLevel="0" collapsed="false">
      <c r="A102" s="6" t="s">
        <v>138</v>
      </c>
      <c r="B102" s="39" t="n">
        <f aca="false">H26</f>
        <v>0.486805</v>
      </c>
      <c r="C102" s="39" t="n">
        <f aca="false">H44</f>
        <v>0.11725</v>
      </c>
      <c r="D102" s="39" t="n">
        <f aca="false">H62</f>
        <v>0.439711</v>
      </c>
      <c r="E102" s="39" t="n">
        <f aca="false">H80</f>
        <v>0.167835</v>
      </c>
      <c r="F102" s="42" t="n">
        <v>1</v>
      </c>
    </row>
    <row r="103" customFormat="false" ht="15" hidden="false" customHeight="false" outlineLevel="0" collapsed="false">
      <c r="A103" s="6" t="s">
        <v>141</v>
      </c>
      <c r="B103" s="39" t="n">
        <f aca="false">H27</f>
        <v>0.240912</v>
      </c>
      <c r="C103" s="39" t="n">
        <f aca="false">H45</f>
        <v>0.0611375</v>
      </c>
      <c r="D103" s="39" t="n">
        <f aca="false">H63</f>
        <v>0.238761</v>
      </c>
      <c r="E103" s="39" t="n">
        <f aca="false">H81</f>
        <v>0.0600425</v>
      </c>
      <c r="F103" s="42" t="n">
        <v>1</v>
      </c>
    </row>
    <row r="104" customFormat="false" ht="15" hidden="false" customHeight="false" outlineLevel="0" collapsed="false">
      <c r="A104" s="6" t="s">
        <v>128</v>
      </c>
      <c r="B104" s="39" t="n">
        <f aca="false">H28</f>
        <v>0</v>
      </c>
      <c r="C104" s="39" t="n">
        <f aca="false">H46</f>
        <v>0</v>
      </c>
      <c r="D104" s="39" t="n">
        <f aca="false">H64</f>
        <v>0</v>
      </c>
      <c r="E104" s="39" t="n">
        <f aca="false">H82</f>
        <v>0</v>
      </c>
      <c r="F104" s="42" t="n">
        <v>1</v>
      </c>
    </row>
    <row r="105" customFormat="false" ht="15" hidden="false" customHeight="false" outlineLevel="0" collapsed="false">
      <c r="A105" s="6" t="s">
        <v>261</v>
      </c>
      <c r="B105" s="39" t="n">
        <f aca="false">H29</f>
        <v>0</v>
      </c>
      <c r="C105" s="39" t="n">
        <f aca="false">H47</f>
        <v>0</v>
      </c>
      <c r="D105" s="39" t="n">
        <f aca="false">H65</f>
        <v>0</v>
      </c>
      <c r="E105" s="39" t="n">
        <f aca="false">H83</f>
        <v>0</v>
      </c>
      <c r="F105" s="42" t="n">
        <v>1</v>
      </c>
    </row>
    <row r="106" customFormat="false" ht="15" hidden="false" customHeight="false" outlineLevel="0" collapsed="false">
      <c r="A106" s="6" t="s">
        <v>262</v>
      </c>
      <c r="B106" s="39" t="n">
        <f aca="false">H30</f>
        <v>0</v>
      </c>
      <c r="C106" s="39" t="n">
        <f aca="false">H48</f>
        <v>0</v>
      </c>
      <c r="D106" s="39" t="n">
        <f aca="false">H66</f>
        <v>0</v>
      </c>
      <c r="E106" s="39" t="n">
        <f aca="false">H84</f>
        <v>0</v>
      </c>
      <c r="F106" s="42" t="n">
        <v>1</v>
      </c>
    </row>
  </sheetData>
  <autoFilter ref="A12:P84"/>
  <mergeCells count="1">
    <mergeCell ref="I4:P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2" topLeftCell="D13" activePane="bottomRight" state="frozen"/>
      <selection pane="topLeft" activeCell="A1" activeCellId="0" sqref="A1"/>
      <selection pane="topRight" activeCell="D1" activeCellId="0" sqref="D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2"/>
    <col collapsed="false" customWidth="true" hidden="false" outlineLevel="0" max="3" min="3" style="0" width="8"/>
    <col collapsed="false" customWidth="true" hidden="false" outlineLevel="0" max="4" min="4" style="0" width="11"/>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0"/>
    <col collapsed="false" customWidth="true" hidden="false" outlineLevel="0" max="9" min="9" style="0" width="26"/>
    <col collapsed="false" customWidth="true" hidden="false" outlineLevel="0" max="14" min="10" style="0" width="12"/>
    <col collapsed="false" customWidth="true" hidden="false" outlineLevel="0" max="15" min="15" style="0" width="13"/>
    <col collapsed="false" customWidth="true" hidden="false" outlineLevel="0" max="16" min="16" style="0" width="26"/>
  </cols>
  <sheetData>
    <row r="1" customFormat="false" ht="17.35" hidden="false" customHeight="false" outlineLevel="0" collapsed="false">
      <c r="A1" s="1" t="s">
        <v>296</v>
      </c>
      <c r="B1" s="2"/>
      <c r="C1" s="2"/>
      <c r="D1" s="2"/>
      <c r="E1" s="2"/>
      <c r="F1" s="2"/>
      <c r="G1" s="2"/>
      <c r="H1" s="2"/>
      <c r="I1" s="2"/>
      <c r="J1" s="2"/>
      <c r="K1" s="2"/>
      <c r="L1" s="2"/>
      <c r="M1" s="2"/>
      <c r="N1" s="2"/>
      <c r="O1" s="2"/>
      <c r="P1" s="2"/>
    </row>
    <row r="2" customFormat="false" ht="15" hidden="false" customHeight="false" outlineLevel="0" collapsed="false">
      <c r="A2" s="15" t="s">
        <v>297</v>
      </c>
    </row>
    <row r="4" customFormat="false" ht="43.5" hidden="false" customHeight="true" outlineLevel="0" collapsed="false">
      <c r="A4" s="16" t="s">
        <v>243</v>
      </c>
      <c r="B4" s="16" t="s">
        <v>244</v>
      </c>
      <c r="C4" s="16" t="s">
        <v>274</v>
      </c>
      <c r="D4" s="16" t="s">
        <v>275</v>
      </c>
      <c r="E4" s="16" t="s">
        <v>276</v>
      </c>
      <c r="F4" s="16" t="s">
        <v>277</v>
      </c>
      <c r="G4" s="16" t="s">
        <v>278</v>
      </c>
      <c r="I4" s="30" t="s">
        <v>298</v>
      </c>
      <c r="J4" s="30"/>
      <c r="K4" s="30"/>
      <c r="L4" s="30"/>
      <c r="M4" s="30"/>
      <c r="N4" s="30"/>
      <c r="O4" s="30"/>
      <c r="P4" s="30"/>
    </row>
    <row r="5" customFormat="false" ht="21.75" hidden="false" customHeight="true" outlineLevel="0" collapsed="false">
      <c r="A5" s="6" t="s">
        <v>251</v>
      </c>
      <c r="B5" s="6" t="s">
        <v>252</v>
      </c>
      <c r="C5" s="31" t="n">
        <f aca="false">_xlfn.MAXIFS(H13:H84,A13:A84,"Today (no screens)",B13:B84,"Central CT")</f>
        <v>1.4499485</v>
      </c>
      <c r="D5" s="32" t="n">
        <f aca="false">COUNTIFS(A13:A84,"Today (no screens)",B13:B84,"Central CT",H13:H84,"&gt;=1")</f>
        <v>6</v>
      </c>
      <c r="E5" s="33" t="n">
        <f aca="false">COUNTIFS(A13:A84,"Today (no screens)",B13:B84,"Central CT",H13:H84,"&gt;=0.85",H13:H84,"&lt;1")</f>
        <v>3</v>
      </c>
      <c r="F5" s="34" t="n">
        <f aca="false">_xlfn.MAXIFS(L13:L84,A13:A84,"Today (no screens)",B13:B84,"Central CT")</f>
        <v>14.0006</v>
      </c>
      <c r="G5" s="34" t="n">
        <f aca="false">SUMPRODUCT((A13:A84="Today (no screens)")*(B13:B84="Central CT")*L13:L84*D13:D84)/SUMPRODUCT((A13:A84="Today (no screens)")*(B13:B84="Central CT")*D13:D84)</f>
        <v>5.39055404781079</v>
      </c>
      <c r="I5" s="30"/>
      <c r="J5" s="30"/>
      <c r="K5" s="30"/>
      <c r="L5" s="30"/>
      <c r="M5" s="30"/>
      <c r="N5" s="30"/>
      <c r="O5" s="30"/>
      <c r="P5" s="30"/>
    </row>
    <row r="6" customFormat="false" ht="21.75" hidden="false" customHeight="true" outlineLevel="0" collapsed="false">
      <c r="A6" s="6" t="s">
        <v>251</v>
      </c>
      <c r="B6" s="6" t="s">
        <v>266</v>
      </c>
      <c r="C6" s="31" t="n">
        <f aca="false">_xlfn.MAXIFS(H13:H84,A13:A84,"Today (no screens)",B13:B84,"Munch Mess")</f>
        <v>0.381147</v>
      </c>
      <c r="D6" s="32" t="n">
        <f aca="false">COUNTIFS(A13:A84,"Today (no screens)",B13:B84,"Munch Mess",H13:H84,"&gt;=1")</f>
        <v>0</v>
      </c>
      <c r="E6" s="33" t="n">
        <f aca="false">COUNTIFS(A13:A84,"Today (no screens)",B13:B84,"Munch Mess",H13:H84,"&gt;=0.85",H13:H84,"&lt;1")</f>
        <v>0</v>
      </c>
      <c r="F6" s="34" t="n">
        <f aca="false">_xlfn.MAXIFS(L13:L84,A13:A84,"Today (no screens)",B13:B84,"Munch Mess")</f>
        <v>0.013</v>
      </c>
      <c r="G6" s="34" t="n">
        <f aca="false">SUMPRODUCT((A13:A84="Today (no screens)")*(B13:B84="Munch Mess")*L13:L84*D13:D84)/SUMPRODUCT((A13:A84="Today (no screens)")*(B13:B84="Munch Mess")*D13:D84)</f>
        <v>0.00651262841393135</v>
      </c>
      <c r="I6" s="30"/>
      <c r="J6" s="30"/>
      <c r="K6" s="30"/>
      <c r="L6" s="30"/>
      <c r="M6" s="30"/>
      <c r="N6" s="30"/>
      <c r="O6" s="30"/>
      <c r="P6" s="30"/>
    </row>
    <row r="7" customFormat="false" ht="21.75" hidden="false" customHeight="true" outlineLevel="0" collapsed="false">
      <c r="A7" s="6" t="s">
        <v>267</v>
      </c>
      <c r="B7" s="6" t="s">
        <v>252</v>
      </c>
      <c r="C7" s="31" t="n">
        <f aca="false">_xlfn.MAXIFS(H13:H84,A13:A84,"With Smart Scan screens",B13:B84,"Central CT")</f>
        <v>1.07321</v>
      </c>
      <c r="D7" s="32" t="n">
        <f aca="false">COUNTIFS(A13:A84,"With Smart Scan screens",B13:B84,"Central CT",H13:H84,"&gt;=1")</f>
        <v>4</v>
      </c>
      <c r="E7" s="33" t="n">
        <f aca="false">COUNTIFS(A13:A84,"With Smart Scan screens",B13:B84,"Central CT",H13:H84,"&gt;=0.85",H13:H84,"&lt;1")</f>
        <v>4</v>
      </c>
      <c r="F7" s="34" t="n">
        <f aca="false">_xlfn.MAXIFS(L13:L84,A13:A84,"With Smart Scan screens",B13:B84,"Central CT")</f>
        <v>2.3242</v>
      </c>
      <c r="G7" s="34" t="n">
        <f aca="false">SUMPRODUCT((A13:A84="With Smart Scan screens")*(B13:B84="Central CT")*L13:L84*D13:D84)/SUMPRODUCT((A13:A84="With Smart Scan screens")*(B13:B84="Central CT")*D13:D84)</f>
        <v>1.08469322561196</v>
      </c>
      <c r="I7" s="30"/>
      <c r="J7" s="30"/>
      <c r="K7" s="30"/>
      <c r="L7" s="30"/>
      <c r="M7" s="30"/>
      <c r="N7" s="30"/>
      <c r="O7" s="30"/>
      <c r="P7" s="30"/>
    </row>
    <row r="8" customFormat="false" ht="21.75" hidden="false" customHeight="true" outlineLevel="0" collapsed="false">
      <c r="A8" s="6" t="s">
        <v>267</v>
      </c>
      <c r="B8" s="6" t="s">
        <v>266</v>
      </c>
      <c r="C8" s="31" t="n">
        <f aca="false">_xlfn.MAXIFS(H13:H84,A13:A84,"With Smart Scan screens",B13:B84,"Munch Mess")</f>
        <v>0.790077</v>
      </c>
      <c r="D8" s="32" t="n">
        <f aca="false">COUNTIFS(A13:A84,"With Smart Scan screens",B13:B84,"Munch Mess",H13:H84,"&gt;=1")</f>
        <v>0</v>
      </c>
      <c r="E8" s="33" t="n">
        <f aca="false">COUNTIFS(A13:A84,"With Smart Scan screens",B13:B84,"Munch Mess",H13:H84,"&gt;=0.85",H13:H84,"&lt;1")</f>
        <v>0</v>
      </c>
      <c r="F8" s="34" t="n">
        <f aca="false">_xlfn.MAXIFS(L13:L84,A13:A84,"With Smart Scan screens",B13:B84,"Munch Mess")</f>
        <v>0.1465</v>
      </c>
      <c r="G8" s="34" t="n">
        <f aca="false">SUMPRODUCT((A13:A84="With Smart Scan screens")*(B13:B84="Munch Mess")*L13:L84*D13:D84)/SUMPRODUCT((A13:A84="With Smart Scan screens")*(B13:B84="Munch Mess")*D13:D84)</f>
        <v>0.0681850909912965</v>
      </c>
      <c r="I8" s="30"/>
      <c r="J8" s="30"/>
      <c r="K8" s="30"/>
      <c r="L8" s="30"/>
      <c r="M8" s="30"/>
      <c r="N8" s="30"/>
      <c r="O8" s="30"/>
      <c r="P8" s="30"/>
    </row>
    <row r="9" customFormat="false" ht="21.75" hidden="false" customHeight="true" outlineLevel="0" collapsed="false">
      <c r="I9" s="30"/>
      <c r="J9" s="30"/>
      <c r="K9" s="30"/>
      <c r="L9" s="30"/>
      <c r="M9" s="30"/>
      <c r="N9" s="30"/>
      <c r="O9" s="30"/>
      <c r="P9" s="30"/>
    </row>
    <row r="12" customFormat="false" ht="43.5" hidden="false" customHeight="true" outlineLevel="0" collapsed="false">
      <c r="A12" s="16" t="s">
        <v>243</v>
      </c>
      <c r="B12" s="16" t="s">
        <v>244</v>
      </c>
      <c r="C12" s="16" t="s">
        <v>245</v>
      </c>
      <c r="D12" s="16" t="s">
        <v>280</v>
      </c>
      <c r="E12" s="16" t="s">
        <v>281</v>
      </c>
      <c r="F12" s="16" t="s">
        <v>282</v>
      </c>
      <c r="G12" s="16" t="s">
        <v>158</v>
      </c>
      <c r="H12" s="16" t="s">
        <v>283</v>
      </c>
      <c r="I12" s="16" t="s">
        <v>169</v>
      </c>
      <c r="J12" s="16" t="s">
        <v>284</v>
      </c>
      <c r="K12" s="16" t="s">
        <v>285</v>
      </c>
      <c r="L12" s="16" t="s">
        <v>247</v>
      </c>
      <c r="M12" s="16" t="s">
        <v>286</v>
      </c>
      <c r="N12" s="16" t="s">
        <v>287</v>
      </c>
      <c r="O12" s="16" t="s">
        <v>288</v>
      </c>
      <c r="P12" s="16" t="s">
        <v>289</v>
      </c>
    </row>
    <row r="13" customFormat="false" ht="15" hidden="false" customHeight="false" outlineLevel="0" collapsed="false">
      <c r="A13" s="6" t="s">
        <v>251</v>
      </c>
      <c r="B13" s="6" t="s">
        <v>252</v>
      </c>
      <c r="C13" s="6" t="s">
        <v>254</v>
      </c>
      <c r="D13" s="35" t="n">
        <f aca="false">'Sim Data'!$E$23</f>
        <v>0</v>
      </c>
      <c r="E13" s="36" t="n">
        <f aca="false">'Sim Data'!$G$23</f>
        <v>0</v>
      </c>
      <c r="F13" s="37" t="n">
        <f aca="false">IF(E13&gt;0,1/E13,Assumptions!$B$17)</f>
        <v>10</v>
      </c>
      <c r="G13" s="38" t="n">
        <f aca="false">Assumptions!$B$16</f>
        <v>2</v>
      </c>
      <c r="H13" s="39" t="n">
        <f aca="false">D13/(G13*F13)</f>
        <v>0</v>
      </c>
      <c r="I13" s="40" t="str">
        <f aca="false">IF(D13=0,"No arrivals",IF(H13&lt;0.85,"Stable",IF(H13&lt;1,"Stable, near capacity","UNSTABLE: queue grows")))</f>
        <v>No arrivals</v>
      </c>
      <c r="J13" s="34" t="str">
        <f aca="false">IF(AND(D13&gt;0,H13&lt;1),((D13/F13)^G13/FACT(G13)/(1-H13))/(SUMPRODUCT(--({0,1,2,3,4,5,6,7,8,9}&lt;G13),(D13/F13)^{0,1,2,3,4,5,6,7,8,9}/FACT({0,1,2,3,4,5,6,7,8,9}))+((D13/F13)^G13/FACT(G13)/(1-H13)))/(G13*F13-D13),"—")</f>
        <v>—</v>
      </c>
      <c r="K13" s="34" t="str">
        <f aca="false">IF(ISNUMBER(J13),(1+Assumptions!$B$18^2)/2*J13,"—")</f>
        <v>—</v>
      </c>
      <c r="L13" s="35" t="n">
        <f aca="false">'Sim Data'!$F$23</f>
        <v>0</v>
      </c>
      <c r="M13" s="41" t="n">
        <f aca="false">'Sim Data'!$H$23</f>
        <v>0</v>
      </c>
      <c r="N13" s="37" t="n">
        <f aca="false">D13*L13</f>
        <v>0</v>
      </c>
      <c r="O13" s="34" t="str">
        <f aca="false">IF(MAX(M13,N13)&lt;0.5,"both ≈ 0",IF(N13=0,"no new arrivals",M13/N13))</f>
        <v>both ≈ 0</v>
      </c>
      <c r="P13" s="40" t="str">
        <f aca="false">IF(D13=0,"",IF(H13&gt;=1,"No steady state: line grows by ~"&amp;TEXT((D13-G13*F13)*10,"0")&amp;" in this slot",IF(ISNUMBER(O13),IF(ABS(O13-1)&lt;=0.2,"Little's Law holds (steady)",IF(O13&gt;1,"More waiting than λWq: queue left over from before","Fewer waiting than λWq: queue still building")),"Hardly any queue")))</f>
        <v/>
      </c>
    </row>
    <row r="14" customFormat="false" ht="15" hidden="false" customHeight="false" outlineLevel="0" collapsed="false">
      <c r="A14" s="6" t="s">
        <v>251</v>
      </c>
      <c r="B14" s="6" t="s">
        <v>252</v>
      </c>
      <c r="C14" s="6" t="s">
        <v>255</v>
      </c>
      <c r="D14" s="35" t="n">
        <f aca="false">'Sim Data'!$E$24</f>
        <v>0</v>
      </c>
      <c r="E14" s="36" t="n">
        <f aca="false">'Sim Data'!$G$24</f>
        <v>0</v>
      </c>
      <c r="F14" s="37" t="n">
        <f aca="false">IF(E14&gt;0,1/E14,Assumptions!$B$17)</f>
        <v>10</v>
      </c>
      <c r="G14" s="38" t="n">
        <f aca="false">Assumptions!$B$16</f>
        <v>2</v>
      </c>
      <c r="H14" s="39" t="n">
        <f aca="false">D14/(G14*F14)</f>
        <v>0</v>
      </c>
      <c r="I14" s="40" t="str">
        <f aca="false">IF(D14=0,"No arrivals",IF(H14&lt;0.85,"Stable",IF(H14&lt;1,"Stable, near capacity","UNSTABLE: queue grows")))</f>
        <v>No arrivals</v>
      </c>
      <c r="J14" s="34" t="str">
        <f aca="false">IF(AND(D14&gt;0,H14&lt;1),((D14/F14)^G14/FACT(G14)/(1-H14))/(SUMPRODUCT(--({0,1,2,3,4,5,6,7,8,9}&lt;G14),(D14/F14)^{0,1,2,3,4,5,6,7,8,9}/FACT({0,1,2,3,4,5,6,7,8,9}))+((D14/F14)^G14/FACT(G14)/(1-H14)))/(G14*F14-D14),"—")</f>
        <v>—</v>
      </c>
      <c r="K14" s="34" t="str">
        <f aca="false">IF(ISNUMBER(J14),(1+Assumptions!$B$18^2)/2*J14,"—")</f>
        <v>—</v>
      </c>
      <c r="L14" s="35" t="n">
        <f aca="false">'Sim Data'!$F$24</f>
        <v>0</v>
      </c>
      <c r="M14" s="41" t="n">
        <f aca="false">'Sim Data'!$H$24</f>
        <v>0</v>
      </c>
      <c r="N14" s="37" t="n">
        <f aca="false">D14*L14</f>
        <v>0</v>
      </c>
      <c r="O14" s="34" t="str">
        <f aca="false">IF(MAX(M14,N14)&lt;0.5,"both ≈ 0",IF(N14=0,"no new arrivals",M14/N14))</f>
        <v>both ≈ 0</v>
      </c>
      <c r="P14" s="40" t="str">
        <f aca="false">IF(D14=0,"",IF(H14&gt;=1,"No steady state: line grows by ~"&amp;TEXT((D14-G14*F14)*10,"0")&amp;" in this slot",IF(ISNUMBER(O14),IF(ABS(O14-1)&lt;=0.2,"Little's Law holds (steady)",IF(O14&gt;1,"More waiting than λWq: queue left over from before","Fewer waiting than λWq: queue still building")),"Hardly any queue")))</f>
        <v/>
      </c>
    </row>
    <row r="15" customFormat="false" ht="15" hidden="false" customHeight="false" outlineLevel="0" collapsed="false">
      <c r="A15" s="6" t="s">
        <v>251</v>
      </c>
      <c r="B15" s="6" t="s">
        <v>252</v>
      </c>
      <c r="C15" s="6" t="s">
        <v>256</v>
      </c>
      <c r="D15" s="35" t="n">
        <f aca="false">'Sim Data'!$E$25</f>
        <v>0</v>
      </c>
      <c r="E15" s="36" t="n">
        <f aca="false">'Sim Data'!$G$25</f>
        <v>0</v>
      </c>
      <c r="F15" s="37" t="n">
        <f aca="false">IF(E15&gt;0,1/E15,Assumptions!$B$17)</f>
        <v>10</v>
      </c>
      <c r="G15" s="38" t="n">
        <f aca="false">Assumptions!$B$16</f>
        <v>2</v>
      </c>
      <c r="H15" s="39" t="n">
        <f aca="false">D15/(G15*F15)</f>
        <v>0</v>
      </c>
      <c r="I15" s="40" t="str">
        <f aca="false">IF(D15=0,"No arrivals",IF(H15&lt;0.85,"Stable",IF(H15&lt;1,"Stable, near capacity","UNSTABLE: queue grows")))</f>
        <v>No arrivals</v>
      </c>
      <c r="J15" s="34" t="str">
        <f aca="false">IF(AND(D15&gt;0,H15&lt;1),((D15/F15)^G15/FACT(G15)/(1-H15))/(SUMPRODUCT(--({0,1,2,3,4,5,6,7,8,9}&lt;G15),(D15/F15)^{0,1,2,3,4,5,6,7,8,9}/FACT({0,1,2,3,4,5,6,7,8,9}))+((D15/F15)^G15/FACT(G15)/(1-H15)))/(G15*F15-D15),"—")</f>
        <v>—</v>
      </c>
      <c r="K15" s="34" t="str">
        <f aca="false">IF(ISNUMBER(J15),(1+Assumptions!$B$18^2)/2*J15,"—")</f>
        <v>—</v>
      </c>
      <c r="L15" s="35" t="n">
        <f aca="false">'Sim Data'!$F$25</f>
        <v>0</v>
      </c>
      <c r="M15" s="41" t="n">
        <f aca="false">'Sim Data'!$H$25</f>
        <v>0</v>
      </c>
      <c r="N15" s="37" t="n">
        <f aca="false">D15*L15</f>
        <v>0</v>
      </c>
      <c r="O15" s="34" t="str">
        <f aca="false">IF(MAX(M15,N15)&lt;0.5,"both ≈ 0",IF(N15=0,"no new arrivals",M15/N15))</f>
        <v>both ≈ 0</v>
      </c>
      <c r="P15" s="40" t="str">
        <f aca="false">IF(D15=0,"",IF(H15&gt;=1,"No steady state: line grows by ~"&amp;TEXT((D15-G15*F15)*10,"0")&amp;" in this slot",IF(ISNUMBER(O15),IF(ABS(O15-1)&lt;=0.2,"Little's Law holds (steady)",IF(O15&gt;1,"More waiting than λWq: queue left over from before","Fewer waiting than λWq: queue still building")),"Hardly any queue")))</f>
        <v/>
      </c>
    </row>
    <row r="16" customFormat="false" ht="15" hidden="false" customHeight="false" outlineLevel="0" collapsed="false">
      <c r="A16" s="6" t="s">
        <v>251</v>
      </c>
      <c r="B16" s="6" t="s">
        <v>252</v>
      </c>
      <c r="C16" s="6" t="s">
        <v>124</v>
      </c>
      <c r="D16" s="35" t="n">
        <f aca="false">'Sim Data'!$E$26</f>
        <v>13.675</v>
      </c>
      <c r="E16" s="36" t="n">
        <f aca="false">'Sim Data'!$G$26</f>
        <v>0.0988</v>
      </c>
      <c r="F16" s="37" t="n">
        <f aca="false">IF(E16&gt;0,1/E16,Assumptions!$B$17)</f>
        <v>10.1214574898785</v>
      </c>
      <c r="G16" s="38" t="n">
        <f aca="false">Assumptions!$B$16</f>
        <v>2</v>
      </c>
      <c r="H16" s="39" t="n">
        <f aca="false">D16/(G16*F16)</f>
        <v>0.675545</v>
      </c>
      <c r="I16" s="40" t="str">
        <f aca="false">IF(D16=0,"No arrivals",IF(H16&lt;0.85,"Stable",IF(H16&lt;1,"Stable, near capacity","UNSTABLE: queue grows")))</f>
        <v>Stable</v>
      </c>
      <c r="J16" s="34" t="n">
        <f aca="false">IF(AND(D16&gt;0,H16&lt;1),((D16/F16)^G16/FACT(G16)/(1-H16))/(SUMPRODUCT(--({0,1,2,3,4,5,6,7,8,9}&lt;G16),(D16/F16)^{0,1,2,3,4,5,6,7,8,9}/FACT({0,1,2,3,4,5,6,7,8,9}))+((D16/F16)^G16/FACT(G16)/(1-H16)))/(G16*F16-D16),"—")</f>
        <v>0.0829382648158832</v>
      </c>
      <c r="K16" s="34" t="n">
        <f aca="false">IF(ISNUMBER(J16),(1+Assumptions!$B$18^2)/2*J16,"—")</f>
        <v>0.0563980200748006</v>
      </c>
      <c r="L16" s="35" t="n">
        <f aca="false">'Sim Data'!$F$26</f>
        <v>0.0798</v>
      </c>
      <c r="M16" s="41" t="n">
        <f aca="false">'Sim Data'!$H$26</f>
        <v>1.0779</v>
      </c>
      <c r="N16" s="37" t="n">
        <f aca="false">D16*L16</f>
        <v>1.091265</v>
      </c>
      <c r="O16" s="34" t="n">
        <f aca="false">IF(MAX(M16,N16)&lt;0.5,"both ≈ 0",IF(N16=0,"no new arrivals",M16/N16))</f>
        <v>0.987752745666726</v>
      </c>
      <c r="P16" s="40" t="str">
        <f aca="false">IF(D16=0,"",IF(H16&gt;=1,"No steady state: line grows by ~"&amp;TEXT((D16-G16*F16)*10,"0")&amp;" in this slot",IF(ISNUMBER(O16),IF(ABS(O16-1)&lt;=0.2,"Little's Law holds (steady)",IF(O16&gt;1,"More waiting than λWq: queue left over from before","Fewer waiting than λWq: queue still building")),"Hardly any queue")))</f>
        <v>Little's Law holds (steady)</v>
      </c>
    </row>
    <row r="17" customFormat="false" ht="15" hidden="false" customHeight="false" outlineLevel="0" collapsed="false">
      <c r="A17" s="6" t="s">
        <v>251</v>
      </c>
      <c r="B17" s="6" t="s">
        <v>252</v>
      </c>
      <c r="C17" s="6" t="s">
        <v>257</v>
      </c>
      <c r="D17" s="35" t="n">
        <f aca="false">'Sim Data'!$E$27</f>
        <v>18.665</v>
      </c>
      <c r="E17" s="36" t="n">
        <f aca="false">'Sim Data'!$G$27</f>
        <v>0.0989</v>
      </c>
      <c r="F17" s="37" t="n">
        <f aca="false">IF(E17&gt;0,1/E17,Assumptions!$B$17)</f>
        <v>10.1112234580384</v>
      </c>
      <c r="G17" s="38" t="n">
        <f aca="false">Assumptions!$B$16</f>
        <v>2</v>
      </c>
      <c r="H17" s="39" t="n">
        <f aca="false">D17/(G17*F17)</f>
        <v>0.92298425</v>
      </c>
      <c r="I17" s="40" t="str">
        <f aca="false">IF(D17=0,"No arrivals",IF(H17&lt;0.85,"Stable",IF(H17&lt;1,"Stable, near capacity","UNSTABLE: queue grows")))</f>
        <v>Stable, near capacity</v>
      </c>
      <c r="J17" s="34" t="n">
        <f aca="false">IF(AND(D17&gt;0,H17&lt;1),((D17/F17)^G17/FACT(G17)/(1-H17))/(SUMPRODUCT(--({0,1,2,3,4,5,6,7,8,9}&lt;G17),(D17/F17)^{0,1,2,3,4,5,6,7,8,9}/FACT({0,1,2,3,4,5,6,7,8,9}))+((D17/F17)^G17/FACT(G17)/(1-H17)))/(G17*F17-D17),"—")</f>
        <v>0.568891697604136</v>
      </c>
      <c r="K17" s="34" t="n">
        <f aca="false">IF(ISNUMBER(J17),(1+Assumptions!$B$18^2)/2*J17,"—")</f>
        <v>0.386846354370813</v>
      </c>
      <c r="L17" s="35" t="n">
        <f aca="false">'Sim Data'!$F$27</f>
        <v>0.2161</v>
      </c>
      <c r="M17" s="41" t="n">
        <f aca="false">'Sim Data'!$H$27</f>
        <v>3.8686</v>
      </c>
      <c r="N17" s="37" t="n">
        <f aca="false">D17*L17</f>
        <v>4.0335065</v>
      </c>
      <c r="O17" s="34" t="n">
        <f aca="false">IF(MAX(M17,N17)&lt;0.5,"both ≈ 0",IF(N17=0,"no new arrivals",M17/N17))</f>
        <v>0.959115846224619</v>
      </c>
      <c r="P17" s="40" t="str">
        <f aca="false">IF(D17=0,"",IF(H17&gt;=1,"No steady state: line grows by ~"&amp;TEXT((D17-G17*F17)*10,"0")&amp;" in this slot",IF(ISNUMBER(O17),IF(ABS(O17-1)&lt;=0.2,"Little's Law holds (steady)",IF(O17&gt;1,"More waiting than λWq: queue left over from before","Fewer waiting than λWq: queue still building")),"Hardly any queue")))</f>
        <v>Little's Law holds (steady)</v>
      </c>
    </row>
    <row r="18" customFormat="false" ht="15" hidden="false" customHeight="false" outlineLevel="0" collapsed="false">
      <c r="A18" s="6" t="s">
        <v>251</v>
      </c>
      <c r="B18" s="6" t="s">
        <v>252</v>
      </c>
      <c r="C18" s="6" t="s">
        <v>258</v>
      </c>
      <c r="D18" s="35" t="n">
        <f aca="false">'Sim Data'!$E$28</f>
        <v>18.98</v>
      </c>
      <c r="E18" s="36" t="n">
        <f aca="false">'Sim Data'!$G$28</f>
        <v>0.1001</v>
      </c>
      <c r="F18" s="37" t="n">
        <f aca="false">IF(E18&gt;0,1/E18,Assumptions!$B$17)</f>
        <v>9.99000999000999</v>
      </c>
      <c r="G18" s="38" t="n">
        <f aca="false">Assumptions!$B$16</f>
        <v>2</v>
      </c>
      <c r="H18" s="39" t="n">
        <f aca="false">D18/(G18*F18)</f>
        <v>0.949949</v>
      </c>
      <c r="I18" s="40" t="str">
        <f aca="false">IF(D18=0,"No arrivals",IF(H18&lt;0.85,"Stable",IF(H18&lt;1,"Stable, near capacity","UNSTABLE: queue grows")))</f>
        <v>Stable, near capacity</v>
      </c>
      <c r="J18" s="34" t="n">
        <f aca="false">IF(AND(D18&gt;0,H18&lt;1),((D18/F18)^G18/FACT(G18)/(1-H18))/(SUMPRODUCT(--({0,1,2,3,4,5,6,7,8,9}&lt;G18),(D18/F18)^{0,1,2,3,4,5,6,7,8,9}/FACT({0,1,2,3,4,5,6,7,8,9}))+((D18/F18)^G18/FACT(G18)/(1-H18)))/(G18*F18-D18),"—")</f>
        <v>0.925547358345487</v>
      </c>
      <c r="K18" s="34" t="n">
        <f aca="false">IF(ISNUMBER(J18),(1+Assumptions!$B$18^2)/2*J18,"—")</f>
        <v>0.629372203674931</v>
      </c>
      <c r="L18" s="35" t="n">
        <f aca="false">'Sim Data'!$F$28</f>
        <v>0.5106</v>
      </c>
      <c r="M18" s="41" t="n">
        <f aca="false">'Sim Data'!$H$28</f>
        <v>9.3616</v>
      </c>
      <c r="N18" s="37" t="n">
        <f aca="false">D18*L18</f>
        <v>9.691188</v>
      </c>
      <c r="O18" s="34" t="n">
        <f aca="false">IF(MAX(M18,N18)&lt;0.5,"both ≈ 0",IF(N18=0,"no new arrivals",M18/N18))</f>
        <v>0.965990960035034</v>
      </c>
      <c r="P18" s="40" t="str">
        <f aca="false">IF(D18=0,"",IF(H18&gt;=1,"No steady state: line grows by ~"&amp;TEXT((D18-G18*F18)*10,"0")&amp;" in this slot",IF(ISNUMBER(O18),IF(ABS(O18-1)&lt;=0.2,"Little's Law holds (steady)",IF(O18&gt;1,"More waiting than λWq: queue left over from before","Fewer waiting than λWq: queue still building")),"Hardly any queue")))</f>
        <v>Little's Law holds (steady)</v>
      </c>
    </row>
    <row r="19" customFormat="false" ht="15" hidden="false" customHeight="false" outlineLevel="0" collapsed="false">
      <c r="A19" s="6" t="s">
        <v>251</v>
      </c>
      <c r="B19" s="6" t="s">
        <v>252</v>
      </c>
      <c r="C19" s="6" t="s">
        <v>133</v>
      </c>
      <c r="D19" s="35" t="n">
        <f aca="false">'Sim Data'!$E$29</f>
        <v>22.625</v>
      </c>
      <c r="E19" s="36" t="n">
        <f aca="false">'Sim Data'!$G$29</f>
        <v>0.0985</v>
      </c>
      <c r="F19" s="37" t="n">
        <f aca="false">IF(E19&gt;0,1/E19,Assumptions!$B$17)</f>
        <v>10.1522842639594</v>
      </c>
      <c r="G19" s="38" t="n">
        <f aca="false">Assumptions!$B$16</f>
        <v>2</v>
      </c>
      <c r="H19" s="39" t="n">
        <f aca="false">D19/(G19*F19)</f>
        <v>1.11428125</v>
      </c>
      <c r="I19" s="40" t="str">
        <f aca="false">IF(D19=0,"No arrivals",IF(H19&lt;0.85,"Stable",IF(H19&lt;1,"Stable, near capacity","UNSTABLE: queue grows")))</f>
        <v>UNSTABLE: queue grows</v>
      </c>
      <c r="J19" s="34" t="str">
        <f aca="false">IF(AND(D19&gt;0,H19&lt;1),((D19/F19)^G19/FACT(G19)/(1-H19))/(SUMPRODUCT(--({0,1,2,3,4,5,6,7,8,9}&lt;G19),(D19/F19)^{0,1,2,3,4,5,6,7,8,9}/FACT({0,1,2,3,4,5,6,7,8,9}))+((D19/F19)^G19/FACT(G19)/(1-H19)))/(G19*F19-D19),"—")</f>
        <v>—</v>
      </c>
      <c r="K19" s="34" t="str">
        <f aca="false">IF(ISNUMBER(J19),(1+Assumptions!$B$18^2)/2*J19,"—")</f>
        <v>—</v>
      </c>
      <c r="L19" s="35" t="n">
        <f aca="false">'Sim Data'!$F$29</f>
        <v>1.1902</v>
      </c>
      <c r="M19" s="41" t="n">
        <f aca="false">'Sim Data'!$H$29</f>
        <v>23.1511</v>
      </c>
      <c r="N19" s="37" t="n">
        <f aca="false">D19*L19</f>
        <v>26.928275</v>
      </c>
      <c r="O19" s="34" t="n">
        <f aca="false">IF(MAX(M19,N19)&lt;0.5,"both ≈ 0",IF(N19=0,"no new arrivals",M19/N19))</f>
        <v>0.85973201031258</v>
      </c>
      <c r="P19" s="40" t="str">
        <f aca="false">IF(D19=0,"",IF(H19&gt;=1,"No steady state: line grows by ~"&amp;TEXT((D19-G19*F19)*10,"0")&amp;" in this slot",IF(ISNUMBER(O19),IF(ABS(O19-1)&lt;=0.2,"Little's Law holds (steady)",IF(O19&gt;1,"More waiting than λWq: queue left over from before","Fewer waiting than λWq: queue still building")),"Hardly any queue")))</f>
        <v>No steady state: line grows by ~23 in this slot</v>
      </c>
    </row>
    <row r="20" customFormat="false" ht="15" hidden="false" customHeight="false" outlineLevel="0" collapsed="false">
      <c r="A20" s="6" t="s">
        <v>251</v>
      </c>
      <c r="B20" s="6" t="s">
        <v>252</v>
      </c>
      <c r="C20" s="6" t="s">
        <v>137</v>
      </c>
      <c r="D20" s="35" t="n">
        <f aca="false">'Sim Data'!$E$30</f>
        <v>20.49</v>
      </c>
      <c r="E20" s="36" t="n">
        <f aca="false">'Sim Data'!$G$30</f>
        <v>0.0994</v>
      </c>
      <c r="F20" s="37" t="n">
        <f aca="false">IF(E20&gt;0,1/E20,Assumptions!$B$17)</f>
        <v>10.0603621730382</v>
      </c>
      <c r="G20" s="38" t="n">
        <f aca="false">Assumptions!$B$16</f>
        <v>2</v>
      </c>
      <c r="H20" s="39" t="n">
        <f aca="false">D20/(G20*F20)</f>
        <v>1.018353</v>
      </c>
      <c r="I20" s="40" t="str">
        <f aca="false">IF(D20=0,"No arrivals",IF(H20&lt;0.85,"Stable",IF(H20&lt;1,"Stable, near capacity","UNSTABLE: queue grows")))</f>
        <v>UNSTABLE: queue grows</v>
      </c>
      <c r="J20" s="34" t="str">
        <f aca="false">IF(AND(D20&gt;0,H20&lt;1),((D20/F20)^G20/FACT(G20)/(1-H20))/(SUMPRODUCT(--({0,1,2,3,4,5,6,7,8,9}&lt;G20),(D20/F20)^{0,1,2,3,4,5,6,7,8,9}/FACT({0,1,2,3,4,5,6,7,8,9}))+((D20/F20)^G20/FACT(G20)/(1-H20)))/(G20*F20-D20),"—")</f>
        <v>—</v>
      </c>
      <c r="K20" s="34" t="str">
        <f aca="false">IF(ISNUMBER(J20),(1+Assumptions!$B$18^2)/2*J20,"—")</f>
        <v>—</v>
      </c>
      <c r="L20" s="35" t="n">
        <f aca="false">'Sim Data'!$F$30</f>
        <v>2.5171</v>
      </c>
      <c r="M20" s="41" t="n">
        <f aca="false">'Sim Data'!$H$30</f>
        <v>41.663</v>
      </c>
      <c r="N20" s="37" t="n">
        <f aca="false">D20*L20</f>
        <v>51.575379</v>
      </c>
      <c r="O20" s="34" t="n">
        <f aca="false">IF(MAX(M20,N20)&lt;0.5,"both ≈ 0",IF(N20=0,"no new arrivals",M20/N20))</f>
        <v>0.807807927111888</v>
      </c>
      <c r="P20" s="40" t="str">
        <f aca="false">IF(D20=0,"",IF(H20&gt;=1,"No steady state: line grows by ~"&amp;TEXT((D20-G20*F20)*10,"0")&amp;" in this slot",IF(ISNUMBER(O20),IF(ABS(O20-1)&lt;=0.2,"Little's Law holds (steady)",IF(O20&gt;1,"More waiting than λWq: queue left over from before","Fewer waiting than λWq: queue still building")),"Hardly any queue")))</f>
        <v>No steady state: line grows by ~4 in this slot</v>
      </c>
    </row>
    <row r="21" customFormat="false" ht="15" hidden="false" customHeight="false" outlineLevel="0" collapsed="false">
      <c r="A21" s="6" t="s">
        <v>251</v>
      </c>
      <c r="B21" s="6" t="s">
        <v>252</v>
      </c>
      <c r="C21" s="6" t="s">
        <v>140</v>
      </c>
      <c r="D21" s="35" t="n">
        <f aca="false">'Sim Data'!$E$31</f>
        <v>17.23</v>
      </c>
      <c r="E21" s="36" t="n">
        <f aca="false">'Sim Data'!$G$31</f>
        <v>0.1006</v>
      </c>
      <c r="F21" s="37" t="n">
        <f aca="false">IF(E21&gt;0,1/E21,Assumptions!$B$17)</f>
        <v>9.9403578528827</v>
      </c>
      <c r="G21" s="38" t="n">
        <f aca="false">Assumptions!$B$16</f>
        <v>2</v>
      </c>
      <c r="H21" s="39" t="n">
        <f aca="false">D21/(G21*F21)</f>
        <v>0.866669</v>
      </c>
      <c r="I21" s="40" t="str">
        <f aca="false">IF(D21=0,"No arrivals",IF(H21&lt;0.85,"Stable",IF(H21&lt;1,"Stable, near capacity","UNSTABLE: queue grows")))</f>
        <v>Stable, near capacity</v>
      </c>
      <c r="J21" s="34" t="n">
        <f aca="false">IF(AND(D21&gt;0,H21&lt;1),((D21/F21)^G21/FACT(G21)/(1-H21))/(SUMPRODUCT(--({0,1,2,3,4,5,6,7,8,9}&lt;G21),(D21/F21)^{0,1,2,3,4,5,6,7,8,9}/FACT({0,1,2,3,4,5,6,7,8,9}))+((D21/F21)^G21/FACT(G21)/(1-H21)))/(G21*F21-D21),"—")</f>
        <v>0.30360299687897</v>
      </c>
      <c r="K21" s="34" t="n">
        <f aca="false">IF(ISNUMBER(J21),(1+Assumptions!$B$18^2)/2*J21,"—")</f>
        <v>0.2064500378777</v>
      </c>
      <c r="L21" s="35" t="n">
        <f aca="false">'Sim Data'!$F$31</f>
        <v>3.4626</v>
      </c>
      <c r="M21" s="41" t="n">
        <f aca="false">'Sim Data'!$H$31</f>
        <v>59.1264</v>
      </c>
      <c r="N21" s="37" t="n">
        <f aca="false">D21*L21</f>
        <v>59.660598</v>
      </c>
      <c r="O21" s="34" t="n">
        <f aca="false">IF(MAX(M21,N21)&lt;0.5,"both ≈ 0",IF(N21=0,"no new arrivals",M21/N21))</f>
        <v>0.991046050192122</v>
      </c>
      <c r="P21" s="40" t="str">
        <f aca="false">IF(D21=0,"",IF(H21&gt;=1,"No steady state: line grows by ~"&amp;TEXT((D21-G21*F21)*10,"0")&amp;" in this slot",IF(ISNUMBER(O21),IF(ABS(O21-1)&lt;=0.2,"Little's Law holds (steady)",IF(O21&gt;1,"More waiting than λWq: queue left over from before","Fewer waiting than λWq: queue still building")),"Hardly any queue")))</f>
        <v>Little's Law holds (steady)</v>
      </c>
    </row>
    <row r="22" customFormat="false" ht="15" hidden="false" customHeight="false" outlineLevel="0" collapsed="false">
      <c r="A22" s="6" t="s">
        <v>251</v>
      </c>
      <c r="B22" s="6" t="s">
        <v>252</v>
      </c>
      <c r="C22" s="6" t="s">
        <v>125</v>
      </c>
      <c r="D22" s="35" t="n">
        <f aca="false">'Sim Data'!$E$32</f>
        <v>21.57</v>
      </c>
      <c r="E22" s="36" t="n">
        <f aca="false">'Sim Data'!$G$32</f>
        <v>0.0989</v>
      </c>
      <c r="F22" s="37" t="n">
        <f aca="false">IF(E22&gt;0,1/E22,Assumptions!$B$17)</f>
        <v>10.1112234580384</v>
      </c>
      <c r="G22" s="38" t="n">
        <f aca="false">Assumptions!$B$16</f>
        <v>2</v>
      </c>
      <c r="H22" s="39" t="n">
        <f aca="false">D22/(G22*F22)</f>
        <v>1.0666365</v>
      </c>
      <c r="I22" s="40" t="str">
        <f aca="false">IF(D22=0,"No arrivals",IF(H22&lt;0.85,"Stable",IF(H22&lt;1,"Stable, near capacity","UNSTABLE: queue grows")))</f>
        <v>UNSTABLE: queue grows</v>
      </c>
      <c r="J22" s="34" t="str">
        <f aca="false">IF(AND(D22&gt;0,H22&lt;1),((D22/F22)^G22/FACT(G22)/(1-H22))/(SUMPRODUCT(--({0,1,2,3,4,5,6,7,8,9}&lt;G22),(D22/F22)^{0,1,2,3,4,5,6,7,8,9}/FACT({0,1,2,3,4,5,6,7,8,9}))+((D22/F22)^G22/FACT(G22)/(1-H22)))/(G22*F22-D22),"—")</f>
        <v>—</v>
      </c>
      <c r="K22" s="34" t="str">
        <f aca="false">IF(ISNUMBER(J22),(1+Assumptions!$B$18^2)/2*J22,"—")</f>
        <v>—</v>
      </c>
      <c r="L22" s="35" t="n">
        <f aca="false">'Sim Data'!$F$32</f>
        <v>2.6806</v>
      </c>
      <c r="M22" s="41" t="n">
        <f aca="false">'Sim Data'!$H$32</f>
        <v>53.2539</v>
      </c>
      <c r="N22" s="37" t="n">
        <f aca="false">D22*L22</f>
        <v>57.820542</v>
      </c>
      <c r="O22" s="34" t="n">
        <f aca="false">IF(MAX(M22,N22)&lt;0.5,"both ≈ 0",IF(N22=0,"no new arrivals",M22/N22))</f>
        <v>0.921020422119184</v>
      </c>
      <c r="P22" s="40" t="str">
        <f aca="false">IF(D22=0,"",IF(H22&gt;=1,"No steady state: line grows by ~"&amp;TEXT((D22-G22*F22)*10,"0")&amp;" in this slot",IF(ISNUMBER(O22),IF(ABS(O22-1)&lt;=0.2,"Little's Law holds (steady)",IF(O22&gt;1,"More waiting than λWq: queue left over from before","Fewer waiting than λWq: queue still building")),"Hardly any queue")))</f>
        <v>No steady state: line grows by ~13 in this slot</v>
      </c>
    </row>
    <row r="23" customFormat="false" ht="15" hidden="false" customHeight="false" outlineLevel="0" collapsed="false">
      <c r="A23" s="6" t="s">
        <v>251</v>
      </c>
      <c r="B23" s="6" t="s">
        <v>252</v>
      </c>
      <c r="C23" s="6" t="s">
        <v>259</v>
      </c>
      <c r="D23" s="35" t="n">
        <f aca="false">'Sim Data'!$E$33</f>
        <v>28.97</v>
      </c>
      <c r="E23" s="36" t="n">
        <f aca="false">'Sim Data'!$G$33</f>
        <v>0.1001</v>
      </c>
      <c r="F23" s="37" t="n">
        <f aca="false">IF(E23&gt;0,1/E23,Assumptions!$B$17)</f>
        <v>9.99000999000999</v>
      </c>
      <c r="G23" s="38" t="n">
        <f aca="false">Assumptions!$B$16</f>
        <v>2</v>
      </c>
      <c r="H23" s="39" t="n">
        <f aca="false">D23/(G23*F23)</f>
        <v>1.4499485</v>
      </c>
      <c r="I23" s="40" t="str">
        <f aca="false">IF(D23=0,"No arrivals",IF(H23&lt;0.85,"Stable",IF(H23&lt;1,"Stable, near capacity","UNSTABLE: queue grows")))</f>
        <v>UNSTABLE: queue grows</v>
      </c>
      <c r="J23" s="34" t="str">
        <f aca="false">IF(AND(D23&gt;0,H23&lt;1),((D23/F23)^G23/FACT(G23)/(1-H23))/(SUMPRODUCT(--({0,1,2,3,4,5,6,7,8,9}&lt;G23),(D23/F23)^{0,1,2,3,4,5,6,7,8,9}/FACT({0,1,2,3,4,5,6,7,8,9}))+((D23/F23)^G23/FACT(G23)/(1-H23)))/(G23*F23-D23),"—")</f>
        <v>—</v>
      </c>
      <c r="K23" s="34" t="str">
        <f aca="false">IF(ISNUMBER(J23),(1+Assumptions!$B$18^2)/2*J23,"—")</f>
        <v>—</v>
      </c>
      <c r="L23" s="35" t="n">
        <f aca="false">'Sim Data'!$F$33</f>
        <v>5.8834</v>
      </c>
      <c r="M23" s="41" t="n">
        <f aca="false">'Sim Data'!$H$33</f>
        <v>117.2804</v>
      </c>
      <c r="N23" s="37" t="n">
        <f aca="false">D23*L23</f>
        <v>170.442098</v>
      </c>
      <c r="O23" s="34" t="n">
        <f aca="false">IF(MAX(M23,N23)&lt;0.5,"both ≈ 0",IF(N23=0,"no new arrivals",M23/N23))</f>
        <v>0.68809526153568</v>
      </c>
      <c r="P23" s="40" t="str">
        <f aca="false">IF(D23=0,"",IF(H23&gt;=1,"No steady state: line grows by ~"&amp;TEXT((D23-G23*F23)*10,"0")&amp;" in this slot",IF(ISNUMBER(O23),IF(ABS(O23-1)&lt;=0.2,"Little's Law holds (steady)",IF(O23&gt;1,"More waiting than λWq: queue left over from before","Fewer waiting than λWq: queue still building")),"Hardly any queue")))</f>
        <v>No steady state: line grows by ~90 in this slot</v>
      </c>
    </row>
    <row r="24" customFormat="false" ht="15" hidden="false" customHeight="false" outlineLevel="0" collapsed="false">
      <c r="A24" s="6" t="s">
        <v>251</v>
      </c>
      <c r="B24" s="6" t="s">
        <v>252</v>
      </c>
      <c r="C24" s="6" t="s">
        <v>260</v>
      </c>
      <c r="D24" s="35" t="n">
        <f aca="false">'Sim Data'!$E$34</f>
        <v>28.925</v>
      </c>
      <c r="E24" s="36" t="n">
        <f aca="false">'Sim Data'!$G$34</f>
        <v>0.0999</v>
      </c>
      <c r="F24" s="37" t="n">
        <f aca="false">IF(E24&gt;0,1/E24,Assumptions!$B$17)</f>
        <v>10.01001001001</v>
      </c>
      <c r="G24" s="38" t="n">
        <f aca="false">Assumptions!$B$16</f>
        <v>2</v>
      </c>
      <c r="H24" s="39" t="n">
        <f aca="false">D24/(G24*F24)</f>
        <v>1.44480375</v>
      </c>
      <c r="I24" s="40" t="str">
        <f aca="false">IF(D24=0,"No arrivals",IF(H24&lt;0.85,"Stable",IF(H24&lt;1,"Stable, near capacity","UNSTABLE: queue grows")))</f>
        <v>UNSTABLE: queue grows</v>
      </c>
      <c r="J24" s="34" t="str">
        <f aca="false">IF(AND(D24&gt;0,H24&lt;1),((D24/F24)^G24/FACT(G24)/(1-H24))/(SUMPRODUCT(--({0,1,2,3,4,5,6,7,8,9}&lt;G24),(D24/F24)^{0,1,2,3,4,5,6,7,8,9}/FACT({0,1,2,3,4,5,6,7,8,9}))+((D24/F24)^G24/FACT(G24)/(1-H24)))/(G24*F24-D24),"—")</f>
        <v>—</v>
      </c>
      <c r="K24" s="34" t="str">
        <f aca="false">IF(ISNUMBER(J24),(1+Assumptions!$B$18^2)/2*J24,"—")</f>
        <v>—</v>
      </c>
      <c r="L24" s="35" t="n">
        <f aca="false">'Sim Data'!$F$34</f>
        <v>10.5662</v>
      </c>
      <c r="M24" s="41" t="n">
        <f aca="false">'Sim Data'!$H$34</f>
        <v>208.0828</v>
      </c>
      <c r="N24" s="37" t="n">
        <f aca="false">D24*L24</f>
        <v>305.627335</v>
      </c>
      <c r="O24" s="34" t="n">
        <f aca="false">IF(MAX(M24,N24)&lt;0.5,"both ≈ 0",IF(N24=0,"no new arrivals",M24/N24))</f>
        <v>0.680838315721989</v>
      </c>
      <c r="P24" s="40" t="str">
        <f aca="false">IF(D24=0,"",IF(H24&gt;=1,"No steady state: line grows by ~"&amp;TEXT((D24-G24*F24)*10,"0")&amp;" in this slot",IF(ISNUMBER(O24),IF(ABS(O24-1)&lt;=0.2,"Little's Law holds (steady)",IF(O24&gt;1,"More waiting than λWq: queue left over from before","Fewer waiting than λWq: queue still building")),"Hardly any queue")))</f>
        <v>No steady state: line grows by ~89 in this slot</v>
      </c>
    </row>
    <row r="25" customFormat="false" ht="15" hidden="false" customHeight="false" outlineLevel="0" collapsed="false">
      <c r="A25" s="6" t="s">
        <v>251</v>
      </c>
      <c r="B25" s="6" t="s">
        <v>252</v>
      </c>
      <c r="C25" s="6" t="s">
        <v>134</v>
      </c>
      <c r="D25" s="35" t="n">
        <f aca="false">'Sim Data'!$E$35</f>
        <v>22.34</v>
      </c>
      <c r="E25" s="36" t="n">
        <f aca="false">'Sim Data'!$G$35</f>
        <v>0.1006</v>
      </c>
      <c r="F25" s="37" t="n">
        <f aca="false">IF(E25&gt;0,1/E25,Assumptions!$B$17)</f>
        <v>9.9403578528827</v>
      </c>
      <c r="G25" s="38" t="n">
        <f aca="false">Assumptions!$B$16</f>
        <v>2</v>
      </c>
      <c r="H25" s="39" t="n">
        <f aca="false">D25/(G25*F25)</f>
        <v>1.123702</v>
      </c>
      <c r="I25" s="40" t="str">
        <f aca="false">IF(D25=0,"No arrivals",IF(H25&lt;0.85,"Stable",IF(H25&lt;1,"Stable, near capacity","UNSTABLE: queue grows")))</f>
        <v>UNSTABLE: queue grows</v>
      </c>
      <c r="J25" s="34" t="str">
        <f aca="false">IF(AND(D25&gt;0,H25&lt;1),((D25/F25)^G25/FACT(G25)/(1-H25))/(SUMPRODUCT(--({0,1,2,3,4,5,6,7,8,9}&lt;G25),(D25/F25)^{0,1,2,3,4,5,6,7,8,9}/FACT({0,1,2,3,4,5,6,7,8,9}))+((D25/F25)^G25/FACT(G25)/(1-H25)))/(G25*F25-D25),"—")</f>
        <v>—</v>
      </c>
      <c r="K25" s="34" t="str">
        <f aca="false">IF(ISNUMBER(J25),(1+Assumptions!$B$18^2)/2*J25,"—")</f>
        <v>—</v>
      </c>
      <c r="L25" s="35" t="n">
        <f aca="false">'Sim Data'!$F$35</f>
        <v>14.0006</v>
      </c>
      <c r="M25" s="41" t="n">
        <f aca="false">'Sim Data'!$H$35</f>
        <v>272.3424</v>
      </c>
      <c r="N25" s="37" t="n">
        <f aca="false">D25*L25</f>
        <v>312.773404</v>
      </c>
      <c r="O25" s="34" t="n">
        <f aca="false">IF(MAX(M25,N25)&lt;0.5,"both ≈ 0",IF(N25=0,"no new arrivals",M25/N25))</f>
        <v>0.870733881196625</v>
      </c>
      <c r="P25" s="40" t="str">
        <f aca="false">IF(D25=0,"",IF(H25&gt;=1,"No steady state: line grows by ~"&amp;TEXT((D25-G25*F25)*10,"0")&amp;" in this slot",IF(ISNUMBER(O25),IF(ABS(O25-1)&lt;=0.2,"Little's Law holds (steady)",IF(O25&gt;1,"More waiting than λWq: queue left over from before","Fewer waiting than λWq: queue still building")),"Hardly any queue")))</f>
        <v>No steady state: line grows by ~25 in this slot</v>
      </c>
    </row>
    <row r="26" customFormat="false" ht="15" hidden="false" customHeight="false" outlineLevel="0" collapsed="false">
      <c r="A26" s="6" t="s">
        <v>251</v>
      </c>
      <c r="B26" s="6" t="s">
        <v>252</v>
      </c>
      <c r="C26" s="6" t="s">
        <v>138</v>
      </c>
      <c r="D26" s="35" t="n">
        <f aca="false">'Sim Data'!$E$36</f>
        <v>14.85</v>
      </c>
      <c r="E26" s="36" t="n">
        <f aca="false">'Sim Data'!$G$36</f>
        <v>0.1012</v>
      </c>
      <c r="F26" s="37" t="n">
        <f aca="false">IF(E26&gt;0,1/E26,Assumptions!$B$17)</f>
        <v>9.88142292490119</v>
      </c>
      <c r="G26" s="38" t="n">
        <f aca="false">Assumptions!$B$16</f>
        <v>2</v>
      </c>
      <c r="H26" s="39" t="n">
        <f aca="false">D26/(G26*F26)</f>
        <v>0.75141</v>
      </c>
      <c r="I26" s="40" t="str">
        <f aca="false">IF(D26=0,"No arrivals",IF(H26&lt;0.85,"Stable",IF(H26&lt;1,"Stable, near capacity","UNSTABLE: queue grows")))</f>
        <v>Stable</v>
      </c>
      <c r="J26" s="34" t="n">
        <f aca="false">IF(AND(D26&gt;0,H26&lt;1),((D26/F26)^G26/FACT(G26)/(1-H26))/(SUMPRODUCT(--({0,1,2,3,4,5,6,7,8,9}&lt;G26),(D26/F26)^{0,1,2,3,4,5,6,7,8,9}/FACT({0,1,2,3,4,5,6,7,8,9}))+((D26/F26)^G26/FACT(G26)/(1-H26)))/(G26*F26-D26),"—")</f>
        <v>0.131239018597363</v>
      </c>
      <c r="K26" s="34" t="n">
        <f aca="false">IF(ISNUMBER(J26),(1+Assumptions!$B$18^2)/2*J26,"—")</f>
        <v>0.0892425326462068</v>
      </c>
      <c r="L26" s="35" t="n">
        <f aca="false">'Sim Data'!$F$36</f>
        <v>13.575</v>
      </c>
      <c r="M26" s="41" t="n">
        <f aca="false">'Sim Data'!$H$36</f>
        <v>266.5962</v>
      </c>
      <c r="N26" s="37" t="n">
        <f aca="false">D26*L26</f>
        <v>201.58875</v>
      </c>
      <c r="O26" s="34" t="n">
        <f aca="false">IF(MAX(M26,N26)&lt;0.5,"both ≈ 0",IF(N26=0,"no new arrivals",M26/N26))</f>
        <v>1.32247558457503</v>
      </c>
      <c r="P26" s="40" t="str">
        <f aca="false">IF(D26=0,"",IF(H26&gt;=1,"No steady state: line grows by ~"&amp;TEXT((D26-G26*F26)*10,"0")&amp;" in this slot",IF(ISNUMBER(O26),IF(ABS(O26-1)&lt;=0.2,"Little's Law holds (steady)",IF(O26&gt;1,"More waiting than λWq: queue left over from before","Fewer waiting than λWq: queue still building")),"Hardly any queue")))</f>
        <v>More waiting than λWq: queue left over from before</v>
      </c>
    </row>
    <row r="27" customFormat="false" ht="15" hidden="false" customHeight="false" outlineLevel="0" collapsed="false">
      <c r="A27" s="6" t="s">
        <v>251</v>
      </c>
      <c r="B27" s="6" t="s">
        <v>252</v>
      </c>
      <c r="C27" s="6" t="s">
        <v>141</v>
      </c>
      <c r="D27" s="35" t="n">
        <f aca="false">'Sim Data'!$E$37</f>
        <v>7.43</v>
      </c>
      <c r="E27" s="36" t="n">
        <f aca="false">'Sim Data'!$G$37</f>
        <v>0.1004</v>
      </c>
      <c r="F27" s="37" t="n">
        <f aca="false">IF(E27&gt;0,1/E27,Assumptions!$B$17)</f>
        <v>9.9601593625498</v>
      </c>
      <c r="G27" s="38" t="n">
        <f aca="false">Assumptions!$B$16</f>
        <v>2</v>
      </c>
      <c r="H27" s="39" t="n">
        <f aca="false">D27/(G27*F27)</f>
        <v>0.372986</v>
      </c>
      <c r="I27" s="40" t="str">
        <f aca="false">IF(D27=0,"No arrivals",IF(H27&lt;0.85,"Stable",IF(H27&lt;1,"Stable, near capacity","UNSTABLE: queue grows")))</f>
        <v>Stable</v>
      </c>
      <c r="J27" s="34" t="n">
        <f aca="false">IF(AND(D27&gt;0,H27&lt;1),((D27/F27)^G27/FACT(G27)/(1-H27))/(SUMPRODUCT(--({0,1,2,3,4,5,6,7,8,9}&lt;G27),(D27/F27)^{0,1,2,3,4,5,6,7,8,9}/FACT({0,1,2,3,4,5,6,7,8,9}))+((D27/F27)^G27/FACT(G27)/(1-H27)))/(G27*F27-D27),"—")</f>
        <v>0.0162246533975222</v>
      </c>
      <c r="K27" s="34" t="n">
        <f aca="false">IF(ISNUMBER(J27),(1+Assumptions!$B$18^2)/2*J27,"—")</f>
        <v>0.0110327643103151</v>
      </c>
      <c r="L27" s="35" t="n">
        <f aca="false">'Sim Data'!$F$37</f>
        <v>9.3754</v>
      </c>
      <c r="M27" s="41" t="n">
        <f aca="false">'Sim Data'!$H$37</f>
        <v>178.3619</v>
      </c>
      <c r="N27" s="37" t="n">
        <f aca="false">D27*L27</f>
        <v>69.659222</v>
      </c>
      <c r="O27" s="34" t="n">
        <f aca="false">IF(MAX(M27,N27)&lt;0.5,"both ≈ 0",IF(N27=0,"no new arrivals",M27/N27))</f>
        <v>2.56049227767718</v>
      </c>
      <c r="P27" s="40" t="str">
        <f aca="false">IF(D27=0,"",IF(H27&gt;=1,"No steady state: line grows by ~"&amp;TEXT((D27-G27*F27)*10,"0")&amp;" in this slot",IF(ISNUMBER(O27),IF(ABS(O27-1)&lt;=0.2,"Little's Law holds (steady)",IF(O27&gt;1,"More waiting than λWq: queue left over from before","Fewer waiting than λWq: queue still building")),"Hardly any queue")))</f>
        <v>More waiting than λWq: queue left over from before</v>
      </c>
    </row>
    <row r="28" customFormat="false" ht="15" hidden="false" customHeight="false" outlineLevel="0" collapsed="false">
      <c r="A28" s="6" t="s">
        <v>251</v>
      </c>
      <c r="B28" s="6" t="s">
        <v>252</v>
      </c>
      <c r="C28" s="6" t="s">
        <v>128</v>
      </c>
      <c r="D28" s="35" t="n">
        <f aca="false">'Sim Data'!$E$38</f>
        <v>0.18</v>
      </c>
      <c r="E28" s="36" t="n">
        <f aca="false">'Sim Data'!$G$38</f>
        <v>0.0846</v>
      </c>
      <c r="F28" s="37" t="n">
        <f aca="false">IF(E28&gt;0,1/E28,Assumptions!$B$17)</f>
        <v>11.8203309692671</v>
      </c>
      <c r="G28" s="38" t="n">
        <f aca="false">Assumptions!$B$16</f>
        <v>2</v>
      </c>
      <c r="H28" s="39" t="n">
        <f aca="false">D28/(G28*F28)</f>
        <v>0.007614</v>
      </c>
      <c r="I28" s="40" t="str">
        <f aca="false">IF(D28=0,"No arrivals",IF(H28&lt;0.85,"Stable",IF(H28&lt;1,"Stable, near capacity","UNSTABLE: queue grows")))</f>
        <v>Stable</v>
      </c>
      <c r="J28" s="34" t="n">
        <f aca="false">IF(AND(D28&gt;0,H28&lt;1),((D28/F28)^G28/FACT(G28)/(1-H28))/(SUMPRODUCT(--({0,1,2,3,4,5,6,7,8,9}&lt;G28),(D28/F28)^{0,1,2,3,4,5,6,7,8,9}/FACT({0,1,2,3,4,5,6,7,8,9}))+((D28/F28)^G28/FACT(G28)/(1-H28)))/(G28*F28-D28),"—")</f>
        <v>4.90479980753962E-006</v>
      </c>
      <c r="K28" s="34" t="n">
        <f aca="false">IF(ISNUMBER(J28),(1+Assumptions!$B$18^2)/2*J28,"—")</f>
        <v>3.33526386912694E-006</v>
      </c>
      <c r="L28" s="35" t="n">
        <f aca="false">'Sim Data'!$F$38</f>
        <v>5.0103</v>
      </c>
      <c r="M28" s="41" t="n">
        <f aca="false">'Sim Data'!$H$38</f>
        <v>37.6272</v>
      </c>
      <c r="N28" s="37" t="n">
        <f aca="false">D28*L28</f>
        <v>0.901854</v>
      </c>
      <c r="O28" s="34" t="n">
        <f aca="false">IF(MAX(M28,N28)&lt;0.5,"both ≈ 0",IF(N28=0,"no new arrivals",M28/N28))</f>
        <v>41.7220525717023</v>
      </c>
      <c r="P28" s="40" t="str">
        <f aca="false">IF(D28=0,"",IF(H28&gt;=1,"No steady state: line grows by ~"&amp;TEXT((D28-G28*F28)*10,"0")&amp;" in this slot",IF(ISNUMBER(O28),IF(ABS(O28-1)&lt;=0.2,"Little's Law holds (steady)",IF(O28&gt;1,"More waiting than λWq: queue left over from before","Fewer waiting than λWq: queue still building")),"Hardly any queue")))</f>
        <v>More waiting than λWq: queue left over from before</v>
      </c>
    </row>
    <row r="29" customFormat="false" ht="15" hidden="false" customHeight="false" outlineLevel="0" collapsed="false">
      <c r="A29" s="6" t="s">
        <v>251</v>
      </c>
      <c r="B29" s="6" t="s">
        <v>252</v>
      </c>
      <c r="C29" s="6" t="s">
        <v>261</v>
      </c>
      <c r="D29" s="35" t="n">
        <f aca="false">'Sim Data'!$E$39</f>
        <v>0</v>
      </c>
      <c r="E29" s="36" t="n">
        <f aca="false">'Sim Data'!$G$39</f>
        <v>0</v>
      </c>
      <c r="F29" s="37" t="n">
        <f aca="false">IF(E29&gt;0,1/E29,Assumptions!$B$17)</f>
        <v>10</v>
      </c>
      <c r="G29" s="38" t="n">
        <f aca="false">Assumptions!$B$16</f>
        <v>2</v>
      </c>
      <c r="H29" s="39" t="n">
        <f aca="false">D29/(G29*F29)</f>
        <v>0</v>
      </c>
      <c r="I29" s="40" t="str">
        <f aca="false">IF(D29=0,"No arrivals",IF(H29&lt;0.85,"Stable",IF(H29&lt;1,"Stable, near capacity","UNSTABLE: queue grows")))</f>
        <v>No arrivals</v>
      </c>
      <c r="J29" s="34" t="str">
        <f aca="false">IF(AND(D29&gt;0,H29&lt;1),((D29/F29)^G29/FACT(G29)/(1-H29))/(SUMPRODUCT(--({0,1,2,3,4,5,6,7,8,9}&lt;G29),(D29/F29)^{0,1,2,3,4,5,6,7,8,9}/FACT({0,1,2,3,4,5,6,7,8,9}))+((D29/F29)^G29/FACT(G29)/(1-H29)))/(G29*F29-D29),"—")</f>
        <v>—</v>
      </c>
      <c r="K29" s="34" t="str">
        <f aca="false">IF(ISNUMBER(J29),(1+Assumptions!$B$18^2)/2*J29,"—")</f>
        <v>—</v>
      </c>
      <c r="L29" s="35" t="n">
        <f aca="false">'Sim Data'!$F$39</f>
        <v>0</v>
      </c>
      <c r="M29" s="41" t="n">
        <f aca="false">'Sim Data'!$H$39</f>
        <v>0</v>
      </c>
      <c r="N29" s="37" t="n">
        <f aca="false">D29*L29</f>
        <v>0</v>
      </c>
      <c r="O29" s="34" t="str">
        <f aca="false">IF(MAX(M29,N29)&lt;0.5,"both ≈ 0",IF(N29=0,"no new arrivals",M29/N29))</f>
        <v>both ≈ 0</v>
      </c>
      <c r="P29" s="40" t="str">
        <f aca="false">IF(D29=0,"",IF(H29&gt;=1,"No steady state: line grows by ~"&amp;TEXT((D29-G29*F29)*10,"0")&amp;" in this slot",IF(ISNUMBER(O29),IF(ABS(O29-1)&lt;=0.2,"Little's Law holds (steady)",IF(O29&gt;1,"More waiting than λWq: queue left over from before","Fewer waiting than λWq: queue still building")),"Hardly any queue")))</f>
        <v/>
      </c>
    </row>
    <row r="30" customFormat="false" ht="15" hidden="false" customHeight="false" outlineLevel="0" collapsed="false">
      <c r="A30" s="6" t="s">
        <v>251</v>
      </c>
      <c r="B30" s="6" t="s">
        <v>252</v>
      </c>
      <c r="C30" s="6" t="s">
        <v>262</v>
      </c>
      <c r="D30" s="35" t="n">
        <f aca="false">'Sim Data'!$E$40</f>
        <v>0</v>
      </c>
      <c r="E30" s="36" t="n">
        <f aca="false">'Sim Data'!$G$40</f>
        <v>0</v>
      </c>
      <c r="F30" s="37" t="n">
        <f aca="false">IF(E30&gt;0,1/E30,Assumptions!$B$17)</f>
        <v>10</v>
      </c>
      <c r="G30" s="38" t="n">
        <f aca="false">Assumptions!$B$16</f>
        <v>2</v>
      </c>
      <c r="H30" s="39" t="n">
        <f aca="false">D30/(G30*F30)</f>
        <v>0</v>
      </c>
      <c r="I30" s="40" t="str">
        <f aca="false">IF(D30=0,"No arrivals",IF(H30&lt;0.85,"Stable",IF(H30&lt;1,"Stable, near capacity","UNSTABLE: queue grows")))</f>
        <v>No arrivals</v>
      </c>
      <c r="J30" s="34" t="str">
        <f aca="false">IF(AND(D30&gt;0,H30&lt;1),((D30/F30)^G30/FACT(G30)/(1-H30))/(SUMPRODUCT(--({0,1,2,3,4,5,6,7,8,9}&lt;G30),(D30/F30)^{0,1,2,3,4,5,6,7,8,9}/FACT({0,1,2,3,4,5,6,7,8,9}))+((D30/F30)^G30/FACT(G30)/(1-H30)))/(G30*F30-D30),"—")</f>
        <v>—</v>
      </c>
      <c r="K30" s="34" t="str">
        <f aca="false">IF(ISNUMBER(J30),(1+Assumptions!$B$18^2)/2*J30,"—")</f>
        <v>—</v>
      </c>
      <c r="L30" s="35" t="n">
        <f aca="false">'Sim Data'!$F$40</f>
        <v>0</v>
      </c>
      <c r="M30" s="41" t="n">
        <f aca="false">'Sim Data'!$H$40</f>
        <v>0</v>
      </c>
      <c r="N30" s="37" t="n">
        <f aca="false">D30*L30</f>
        <v>0</v>
      </c>
      <c r="O30" s="34" t="str">
        <f aca="false">IF(MAX(M30,N30)&lt;0.5,"both ≈ 0",IF(N30=0,"no new arrivals",M30/N30))</f>
        <v>both ≈ 0</v>
      </c>
      <c r="P30" s="40" t="str">
        <f aca="false">IF(D30=0,"",IF(H30&gt;=1,"No steady state: line grows by ~"&amp;TEXT((D30-G30*F30)*10,"0")&amp;" in this slot",IF(ISNUMBER(O30),IF(ABS(O30-1)&lt;=0.2,"Little's Law holds (steady)",IF(O30&gt;1,"More waiting than λWq: queue left over from before","Fewer waiting than λWq: queue still building")),"Hardly any queue")))</f>
        <v/>
      </c>
    </row>
    <row r="31" customFormat="false" ht="15" hidden="false" customHeight="false" outlineLevel="0" collapsed="false">
      <c r="A31" s="6" t="s">
        <v>251</v>
      </c>
      <c r="B31" s="6" t="s">
        <v>266</v>
      </c>
      <c r="C31" s="6" t="s">
        <v>254</v>
      </c>
      <c r="D31" s="35" t="n">
        <f aca="false">'Sim Data'!$E$113</f>
        <v>0</v>
      </c>
      <c r="E31" s="36" t="n">
        <f aca="false">'Sim Data'!$G$113</f>
        <v>0</v>
      </c>
      <c r="F31" s="37" t="n">
        <f aca="false">IF(E31&gt;0,1/E31,Assumptions!$B$17)</f>
        <v>10</v>
      </c>
      <c r="G31" s="38" t="n">
        <f aca="false">Assumptions!$B$16</f>
        <v>2</v>
      </c>
      <c r="H31" s="39" t="n">
        <f aca="false">D31/(G31*F31)</f>
        <v>0</v>
      </c>
      <c r="I31" s="40" t="str">
        <f aca="false">IF(D31=0,"No arrivals",IF(H31&lt;0.85,"Stable",IF(H31&lt;1,"Stable, near capacity","UNSTABLE: queue grows")))</f>
        <v>No arrivals</v>
      </c>
      <c r="J31" s="34" t="str">
        <f aca="false">IF(AND(D31&gt;0,H31&lt;1),((D31/F31)^G31/FACT(G31)/(1-H31))/(SUMPRODUCT(--({0,1,2,3,4,5,6,7,8,9}&lt;G31),(D31/F31)^{0,1,2,3,4,5,6,7,8,9}/FACT({0,1,2,3,4,5,6,7,8,9}))+((D31/F31)^G31/FACT(G31)/(1-H31)))/(G31*F31-D31),"—")</f>
        <v>—</v>
      </c>
      <c r="K31" s="34" t="str">
        <f aca="false">IF(ISNUMBER(J31),(1+Assumptions!$B$18^2)/2*J31,"—")</f>
        <v>—</v>
      </c>
      <c r="L31" s="35" t="n">
        <f aca="false">'Sim Data'!$F$113</f>
        <v>0</v>
      </c>
      <c r="M31" s="41" t="n">
        <f aca="false">'Sim Data'!$H$113</f>
        <v>0</v>
      </c>
      <c r="N31" s="37" t="n">
        <f aca="false">D31*L31</f>
        <v>0</v>
      </c>
      <c r="O31" s="34" t="str">
        <f aca="false">IF(MAX(M31,N31)&lt;0.5,"both ≈ 0",IF(N31=0,"no new arrivals",M31/N31))</f>
        <v>both ≈ 0</v>
      </c>
      <c r="P31" s="40" t="str">
        <f aca="false">IF(D31=0,"",IF(H31&gt;=1,"No steady state: line grows by ~"&amp;TEXT((D31-G31*F31)*10,"0")&amp;" in this slot",IF(ISNUMBER(O31),IF(ABS(O31-1)&lt;=0.2,"Little's Law holds (steady)",IF(O31&gt;1,"More waiting than λWq: queue left over from before","Fewer waiting than λWq: queue still building")),"Hardly any queue")))</f>
        <v/>
      </c>
    </row>
    <row r="32" customFormat="false" ht="15" hidden="false" customHeight="false" outlineLevel="0" collapsed="false">
      <c r="A32" s="6" t="s">
        <v>251</v>
      </c>
      <c r="B32" s="6" t="s">
        <v>266</v>
      </c>
      <c r="C32" s="6" t="s">
        <v>255</v>
      </c>
      <c r="D32" s="35" t="n">
        <f aca="false">'Sim Data'!$E$114</f>
        <v>0</v>
      </c>
      <c r="E32" s="36" t="n">
        <f aca="false">'Sim Data'!$G$114</f>
        <v>0</v>
      </c>
      <c r="F32" s="37" t="n">
        <f aca="false">IF(E32&gt;0,1/E32,Assumptions!$B$17)</f>
        <v>10</v>
      </c>
      <c r="G32" s="38" t="n">
        <f aca="false">Assumptions!$B$16</f>
        <v>2</v>
      </c>
      <c r="H32" s="39" t="n">
        <f aca="false">D32/(G32*F32)</f>
        <v>0</v>
      </c>
      <c r="I32" s="40" t="str">
        <f aca="false">IF(D32=0,"No arrivals",IF(H32&lt;0.85,"Stable",IF(H32&lt;1,"Stable, near capacity","UNSTABLE: queue grows")))</f>
        <v>No arrivals</v>
      </c>
      <c r="J32" s="34" t="str">
        <f aca="false">IF(AND(D32&gt;0,H32&lt;1),((D32/F32)^G32/FACT(G32)/(1-H32))/(SUMPRODUCT(--({0,1,2,3,4,5,6,7,8,9}&lt;G32),(D32/F32)^{0,1,2,3,4,5,6,7,8,9}/FACT({0,1,2,3,4,5,6,7,8,9}))+((D32/F32)^G32/FACT(G32)/(1-H32)))/(G32*F32-D32),"—")</f>
        <v>—</v>
      </c>
      <c r="K32" s="34" t="str">
        <f aca="false">IF(ISNUMBER(J32),(1+Assumptions!$B$18^2)/2*J32,"—")</f>
        <v>—</v>
      </c>
      <c r="L32" s="35" t="n">
        <f aca="false">'Sim Data'!$F$114</f>
        <v>0</v>
      </c>
      <c r="M32" s="41" t="n">
        <f aca="false">'Sim Data'!$H$114</f>
        <v>0</v>
      </c>
      <c r="N32" s="37" t="n">
        <f aca="false">D32*L32</f>
        <v>0</v>
      </c>
      <c r="O32" s="34" t="str">
        <f aca="false">IF(MAX(M32,N32)&lt;0.5,"both ≈ 0",IF(N32=0,"no new arrivals",M32/N32))</f>
        <v>both ≈ 0</v>
      </c>
      <c r="P32" s="40" t="str">
        <f aca="false">IF(D32=0,"",IF(H32&gt;=1,"No steady state: line grows by ~"&amp;TEXT((D32-G32*F32)*10,"0")&amp;" in this slot",IF(ISNUMBER(O32),IF(ABS(O32-1)&lt;=0.2,"Little's Law holds (steady)",IF(O32&gt;1,"More waiting than λWq: queue left over from before","Fewer waiting than λWq: queue still building")),"Hardly any queue")))</f>
        <v/>
      </c>
    </row>
    <row r="33" customFormat="false" ht="15" hidden="false" customHeight="false" outlineLevel="0" collapsed="false">
      <c r="A33" s="6" t="s">
        <v>251</v>
      </c>
      <c r="B33" s="6" t="s">
        <v>266</v>
      </c>
      <c r="C33" s="6" t="s">
        <v>256</v>
      </c>
      <c r="D33" s="35" t="n">
        <f aca="false">'Sim Data'!$E$115</f>
        <v>0</v>
      </c>
      <c r="E33" s="36" t="n">
        <f aca="false">'Sim Data'!$G$115</f>
        <v>0</v>
      </c>
      <c r="F33" s="37" t="n">
        <f aca="false">IF(E33&gt;0,1/E33,Assumptions!$B$17)</f>
        <v>10</v>
      </c>
      <c r="G33" s="38" t="n">
        <f aca="false">Assumptions!$B$16</f>
        <v>2</v>
      </c>
      <c r="H33" s="39" t="n">
        <f aca="false">D33/(G33*F33)</f>
        <v>0</v>
      </c>
      <c r="I33" s="40" t="str">
        <f aca="false">IF(D33=0,"No arrivals",IF(H33&lt;0.85,"Stable",IF(H33&lt;1,"Stable, near capacity","UNSTABLE: queue grows")))</f>
        <v>No arrivals</v>
      </c>
      <c r="J33" s="34" t="str">
        <f aca="false">IF(AND(D33&gt;0,H33&lt;1),((D33/F33)^G33/FACT(G33)/(1-H33))/(SUMPRODUCT(--({0,1,2,3,4,5,6,7,8,9}&lt;G33),(D33/F33)^{0,1,2,3,4,5,6,7,8,9}/FACT({0,1,2,3,4,5,6,7,8,9}))+((D33/F33)^G33/FACT(G33)/(1-H33)))/(G33*F33-D33),"—")</f>
        <v>—</v>
      </c>
      <c r="K33" s="34" t="str">
        <f aca="false">IF(ISNUMBER(J33),(1+Assumptions!$B$18^2)/2*J33,"—")</f>
        <v>—</v>
      </c>
      <c r="L33" s="35" t="n">
        <f aca="false">'Sim Data'!$F$115</f>
        <v>0</v>
      </c>
      <c r="M33" s="41" t="n">
        <f aca="false">'Sim Data'!$H$115</f>
        <v>0</v>
      </c>
      <c r="N33" s="37" t="n">
        <f aca="false">D33*L33</f>
        <v>0</v>
      </c>
      <c r="O33" s="34" t="str">
        <f aca="false">IF(MAX(M33,N33)&lt;0.5,"both ≈ 0",IF(N33=0,"no new arrivals",M33/N33))</f>
        <v>both ≈ 0</v>
      </c>
      <c r="P33" s="40" t="str">
        <f aca="false">IF(D33=0,"",IF(H33&gt;=1,"No steady state: line grows by ~"&amp;TEXT((D33-G33*F33)*10,"0")&amp;" in this slot",IF(ISNUMBER(O33),IF(ABS(O33-1)&lt;=0.2,"Little's Law holds (steady)",IF(O33&gt;1,"More waiting than λWq: queue left over from before","Fewer waiting than λWq: queue still building")),"Hardly any queue")))</f>
        <v/>
      </c>
    </row>
    <row r="34" customFormat="false" ht="15" hidden="false" customHeight="false" outlineLevel="0" collapsed="false">
      <c r="A34" s="6" t="s">
        <v>251</v>
      </c>
      <c r="B34" s="6" t="s">
        <v>266</v>
      </c>
      <c r="C34" s="6" t="s">
        <v>124</v>
      </c>
      <c r="D34" s="35" t="n">
        <f aca="false">'Sim Data'!$E$116</f>
        <v>3.705</v>
      </c>
      <c r="E34" s="36" t="n">
        <f aca="false">'Sim Data'!$G$116</f>
        <v>0.097</v>
      </c>
      <c r="F34" s="37" t="n">
        <f aca="false">IF(E34&gt;0,1/E34,Assumptions!$B$17)</f>
        <v>10.3092783505155</v>
      </c>
      <c r="G34" s="38" t="n">
        <f aca="false">Assumptions!$B$16</f>
        <v>2</v>
      </c>
      <c r="H34" s="39" t="n">
        <f aca="false">D34/(G34*F34)</f>
        <v>0.1796925</v>
      </c>
      <c r="I34" s="40" t="str">
        <f aca="false">IF(D34=0,"No arrivals",IF(H34&lt;0.85,"Stable",IF(H34&lt;1,"Stable, near capacity","UNSTABLE: queue grows")))</f>
        <v>Stable</v>
      </c>
      <c r="J34" s="34" t="n">
        <f aca="false">IF(AND(D34&gt;0,H34&lt;1),((D34/F34)^G34/FACT(G34)/(1-H34))/(SUMPRODUCT(--({0,1,2,3,4,5,6,7,8,9}&lt;G34),(D34/F34)^{0,1,2,3,4,5,6,7,8,9}/FACT({0,1,2,3,4,5,6,7,8,9}))+((D34/F34)^G34/FACT(G34)/(1-H34)))/(G34*F34-D34),"—")</f>
        <v>0.00323657842989126</v>
      </c>
      <c r="K34" s="34" t="n">
        <f aca="false">IF(ISNUMBER(J34),(1+Assumptions!$B$18^2)/2*J34,"—")</f>
        <v>0.00220087333232606</v>
      </c>
      <c r="L34" s="35" t="n">
        <f aca="false">'Sim Data'!$F$116</f>
        <v>0.0017</v>
      </c>
      <c r="M34" s="41" t="n">
        <f aca="false">'Sim Data'!$H$116</f>
        <v>0.0063</v>
      </c>
      <c r="N34" s="37" t="n">
        <f aca="false">D34*L34</f>
        <v>0.0062985</v>
      </c>
      <c r="O34" s="34" t="str">
        <f aca="false">IF(MAX(M34,N34)&lt;0.5,"both ≈ 0",IF(N34=0,"no new arrivals",M34/N34))</f>
        <v>both ≈ 0</v>
      </c>
      <c r="P34" s="40" t="str">
        <f aca="false">IF(D34=0,"",IF(H34&gt;=1,"No steady state: line grows by ~"&amp;TEXT((D34-G34*F34)*10,"0")&amp;" in this slot",IF(ISNUMBER(O34),IF(ABS(O34-1)&lt;=0.2,"Little's Law holds (steady)",IF(O34&gt;1,"More waiting than λWq: queue left over from before","Fewer waiting than λWq: queue still building")),"Hardly any queue")))</f>
        <v>Hardly any queue</v>
      </c>
    </row>
    <row r="35" customFormat="false" ht="15" hidden="false" customHeight="false" outlineLevel="0" collapsed="false">
      <c r="A35" s="6" t="s">
        <v>251</v>
      </c>
      <c r="B35" s="6" t="s">
        <v>266</v>
      </c>
      <c r="C35" s="6" t="s">
        <v>257</v>
      </c>
      <c r="D35" s="35" t="n">
        <f aca="false">'Sim Data'!$E$117</f>
        <v>4.59</v>
      </c>
      <c r="E35" s="36" t="n">
        <f aca="false">'Sim Data'!$G$117</f>
        <v>0.1038</v>
      </c>
      <c r="F35" s="37" t="n">
        <f aca="false">IF(E35&gt;0,1/E35,Assumptions!$B$17)</f>
        <v>9.63391136801541</v>
      </c>
      <c r="G35" s="38" t="n">
        <f aca="false">Assumptions!$B$16</f>
        <v>2</v>
      </c>
      <c r="H35" s="39" t="n">
        <f aca="false">D35/(G35*F35)</f>
        <v>0.238221</v>
      </c>
      <c r="I35" s="40" t="str">
        <f aca="false">IF(D35=0,"No arrivals",IF(H35&lt;0.85,"Stable",IF(H35&lt;1,"Stable, near capacity","UNSTABLE: queue grows")))</f>
        <v>Stable</v>
      </c>
      <c r="J35" s="34" t="n">
        <f aca="false">IF(AND(D35&gt;0,H35&lt;1),((D35/F35)^G35/FACT(G35)/(1-H35))/(SUMPRODUCT(--({0,1,2,3,4,5,6,7,8,9}&lt;G35),(D35/F35)^{0,1,2,3,4,5,6,7,8,9}/FACT({0,1,2,3,4,5,6,7,8,9}))+((D35/F35)^G35/FACT(G35)/(1-H35)))/(G35*F35-D35),"—")</f>
        <v>0.00624496888264123</v>
      </c>
      <c r="K35" s="34" t="n">
        <f aca="false">IF(ISNUMBER(J35),(1+Assumptions!$B$18^2)/2*J35,"—")</f>
        <v>0.00424657884019604</v>
      </c>
      <c r="L35" s="35" t="n">
        <f aca="false">'Sim Data'!$F$117</f>
        <v>0.0028</v>
      </c>
      <c r="M35" s="41" t="n">
        <f aca="false">'Sim Data'!$H$117</f>
        <v>0.013</v>
      </c>
      <c r="N35" s="37" t="n">
        <f aca="false">D35*L35</f>
        <v>0.012852</v>
      </c>
      <c r="O35" s="34" t="str">
        <f aca="false">IF(MAX(M35,N35)&lt;0.5,"both ≈ 0",IF(N35=0,"no new arrivals",M35/N35))</f>
        <v>both ≈ 0</v>
      </c>
      <c r="P35" s="40" t="str">
        <f aca="false">IF(D35=0,"",IF(H35&gt;=1,"No steady state: line grows by ~"&amp;TEXT((D35-G35*F35)*10,"0")&amp;" in this slot",IF(ISNUMBER(O35),IF(ABS(O35-1)&lt;=0.2,"Little's Law holds (steady)",IF(O35&gt;1,"More waiting than λWq: queue left over from before","Fewer waiting than λWq: queue still building")),"Hardly any queue")))</f>
        <v>Hardly any queue</v>
      </c>
    </row>
    <row r="36" customFormat="false" ht="15" hidden="false" customHeight="false" outlineLevel="0" collapsed="false">
      <c r="A36" s="6" t="s">
        <v>251</v>
      </c>
      <c r="B36" s="6" t="s">
        <v>266</v>
      </c>
      <c r="C36" s="6" t="s">
        <v>258</v>
      </c>
      <c r="D36" s="35" t="n">
        <f aca="false">'Sim Data'!$E$118</f>
        <v>4.78</v>
      </c>
      <c r="E36" s="36" t="n">
        <f aca="false">'Sim Data'!$G$118</f>
        <v>0.1025</v>
      </c>
      <c r="F36" s="37" t="n">
        <f aca="false">IF(E36&gt;0,1/E36,Assumptions!$B$17)</f>
        <v>9.75609756097561</v>
      </c>
      <c r="G36" s="38" t="n">
        <f aca="false">Assumptions!$B$16</f>
        <v>2</v>
      </c>
      <c r="H36" s="39" t="n">
        <f aca="false">D36/(G36*F36)</f>
        <v>0.244975</v>
      </c>
      <c r="I36" s="40" t="str">
        <f aca="false">IF(D36=0,"No arrivals",IF(H36&lt;0.85,"Stable",IF(H36&lt;1,"Stable, near capacity","UNSTABLE: queue grows")))</f>
        <v>Stable</v>
      </c>
      <c r="J36" s="34" t="n">
        <f aca="false">IF(AND(D36&gt;0,H36&lt;1),((D36/F36)^G36/FACT(G36)/(1-H36))/(SUMPRODUCT(--({0,1,2,3,4,5,6,7,8,9}&lt;G36),(D36/F36)^{0,1,2,3,4,5,6,7,8,9}/FACT({0,1,2,3,4,5,6,7,8,9}))+((D36/F36)^G36/FACT(G36)/(1-H36)))/(G36*F36-D36),"—")</f>
        <v>0.00654403231868573</v>
      </c>
      <c r="K36" s="34" t="n">
        <f aca="false">IF(ISNUMBER(J36),(1+Assumptions!$B$18^2)/2*J36,"—")</f>
        <v>0.0044499419767063</v>
      </c>
      <c r="L36" s="35" t="n">
        <f aca="false">'Sim Data'!$F$118</f>
        <v>0.0056</v>
      </c>
      <c r="M36" s="41" t="n">
        <f aca="false">'Sim Data'!$H$118</f>
        <v>0.0269</v>
      </c>
      <c r="N36" s="37" t="n">
        <f aca="false">D36*L36</f>
        <v>0.026768</v>
      </c>
      <c r="O36" s="34" t="str">
        <f aca="false">IF(MAX(M36,N36)&lt;0.5,"both ≈ 0",IF(N36=0,"no new arrivals",M36/N36))</f>
        <v>both ≈ 0</v>
      </c>
      <c r="P36" s="40" t="str">
        <f aca="false">IF(D36=0,"",IF(H36&gt;=1,"No steady state: line grows by ~"&amp;TEXT((D36-G36*F36)*10,"0")&amp;" in this slot",IF(ISNUMBER(O36),IF(ABS(O36-1)&lt;=0.2,"Little's Law holds (steady)",IF(O36&gt;1,"More waiting than λWq: queue left over from before","Fewer waiting than λWq: queue still building")),"Hardly any queue")))</f>
        <v>Hardly any queue</v>
      </c>
    </row>
    <row r="37" customFormat="false" ht="15" hidden="false" customHeight="false" outlineLevel="0" collapsed="false">
      <c r="A37" s="6" t="s">
        <v>251</v>
      </c>
      <c r="B37" s="6" t="s">
        <v>266</v>
      </c>
      <c r="C37" s="6" t="s">
        <v>133</v>
      </c>
      <c r="D37" s="35" t="n">
        <f aca="false">'Sim Data'!$E$119</f>
        <v>5.68</v>
      </c>
      <c r="E37" s="36" t="n">
        <f aca="false">'Sim Data'!$G$119</f>
        <v>0.0975</v>
      </c>
      <c r="F37" s="37" t="n">
        <f aca="false">IF(E37&gt;0,1/E37,Assumptions!$B$17)</f>
        <v>10.2564102564103</v>
      </c>
      <c r="G37" s="38" t="n">
        <f aca="false">Assumptions!$B$16</f>
        <v>2</v>
      </c>
      <c r="H37" s="39" t="n">
        <f aca="false">D37/(G37*F37)</f>
        <v>0.2769</v>
      </c>
      <c r="I37" s="40" t="str">
        <f aca="false">IF(D37=0,"No arrivals",IF(H37&lt;0.85,"Stable",IF(H37&lt;1,"Stable, near capacity","UNSTABLE: queue grows")))</f>
        <v>Stable</v>
      </c>
      <c r="J37" s="34" t="n">
        <f aca="false">IF(AND(D37&gt;0,H37&lt;1),((D37/F37)^G37/FACT(G37)/(1-H37))/(SUMPRODUCT(--({0,1,2,3,4,5,6,7,8,9}&lt;G37),(D37/F37)^{0,1,2,3,4,5,6,7,8,9}/FACT({0,1,2,3,4,5,6,7,8,9}))+((D37/F37)^G37/FACT(G37)/(1-H37)))/(G37*F37-D37),"—")</f>
        <v>0.00809646194018131</v>
      </c>
      <c r="K37" s="34" t="n">
        <f aca="false">IF(ISNUMBER(J37),(1+Assumptions!$B$18^2)/2*J37,"—")</f>
        <v>0.00550559411932329</v>
      </c>
      <c r="L37" s="35" t="n">
        <f aca="false">'Sim Data'!$F$119</f>
        <v>0.0064</v>
      </c>
      <c r="M37" s="41" t="n">
        <f aca="false">'Sim Data'!$H$119</f>
        <v>0.0364</v>
      </c>
      <c r="N37" s="37" t="n">
        <f aca="false">D37*L37</f>
        <v>0.036352</v>
      </c>
      <c r="O37" s="34" t="str">
        <f aca="false">IF(MAX(M37,N37)&lt;0.5,"both ≈ 0",IF(N37=0,"no new arrivals",M37/N37))</f>
        <v>both ≈ 0</v>
      </c>
      <c r="P37" s="40" t="str">
        <f aca="false">IF(D37=0,"",IF(H37&gt;=1,"No steady state: line grows by ~"&amp;TEXT((D37-G37*F37)*10,"0")&amp;" in this slot",IF(ISNUMBER(O37),IF(ABS(O37-1)&lt;=0.2,"Little's Law holds (steady)",IF(O37&gt;1,"More waiting than λWq: queue left over from before","Fewer waiting than λWq: queue still building")),"Hardly any queue")))</f>
        <v>Hardly any queue</v>
      </c>
    </row>
    <row r="38" customFormat="false" ht="15" hidden="false" customHeight="false" outlineLevel="0" collapsed="false">
      <c r="A38" s="6" t="s">
        <v>251</v>
      </c>
      <c r="B38" s="6" t="s">
        <v>266</v>
      </c>
      <c r="C38" s="6" t="s">
        <v>137</v>
      </c>
      <c r="D38" s="35" t="n">
        <f aca="false">'Sim Data'!$E$120</f>
        <v>5.43</v>
      </c>
      <c r="E38" s="36" t="n">
        <f aca="false">'Sim Data'!$G$120</f>
        <v>0.1021</v>
      </c>
      <c r="F38" s="37" t="n">
        <f aca="false">IF(E38&gt;0,1/E38,Assumptions!$B$17)</f>
        <v>9.79431929480901</v>
      </c>
      <c r="G38" s="38" t="n">
        <f aca="false">Assumptions!$B$16</f>
        <v>2</v>
      </c>
      <c r="H38" s="39" t="n">
        <f aca="false">D38/(G38*F38)</f>
        <v>0.2772015</v>
      </c>
      <c r="I38" s="40" t="str">
        <f aca="false">IF(D38=0,"No arrivals",IF(H38&lt;0.85,"Stable",IF(H38&lt;1,"Stable, near capacity","UNSTABLE: queue grows")))</f>
        <v>Stable</v>
      </c>
      <c r="J38" s="34" t="n">
        <f aca="false">IF(AND(D38&gt;0,H38&lt;1),((D38/F38)^G38/FACT(G38)/(1-H38))/(SUMPRODUCT(--({0,1,2,3,4,5,6,7,8,9}&lt;G38),(D38/F38)^{0,1,2,3,4,5,6,7,8,9}/FACT({0,1,2,3,4,5,6,7,8,9}))+((D38/F38)^G38/FACT(G38)/(1-H38)))/(G38*F38-D38),"—")</f>
        <v>0.00849845993996116</v>
      </c>
      <c r="K38" s="34" t="n">
        <f aca="false">IF(ISNUMBER(J38),(1+Assumptions!$B$18^2)/2*J38,"—")</f>
        <v>0.00577895275917359</v>
      </c>
      <c r="L38" s="35" t="n">
        <f aca="false">'Sim Data'!$F$120</f>
        <v>0.0064</v>
      </c>
      <c r="M38" s="41" t="n">
        <f aca="false">'Sim Data'!$H$120</f>
        <v>0.0346</v>
      </c>
      <c r="N38" s="37" t="n">
        <f aca="false">D38*L38</f>
        <v>0.034752</v>
      </c>
      <c r="O38" s="34" t="str">
        <f aca="false">IF(MAX(M38,N38)&lt;0.5,"both ≈ 0",IF(N38=0,"no new arrivals",M38/N38))</f>
        <v>both ≈ 0</v>
      </c>
      <c r="P38" s="40" t="str">
        <f aca="false">IF(D38=0,"",IF(H38&gt;=1,"No steady state: line grows by ~"&amp;TEXT((D38-G38*F38)*10,"0")&amp;" in this slot",IF(ISNUMBER(O38),IF(ABS(O38-1)&lt;=0.2,"Little's Law holds (steady)",IF(O38&gt;1,"More waiting than λWq: queue left over from before","Fewer waiting than λWq: queue still building")),"Hardly any queue")))</f>
        <v>Hardly any queue</v>
      </c>
    </row>
    <row r="39" customFormat="false" ht="15" hidden="false" customHeight="false" outlineLevel="0" collapsed="false">
      <c r="A39" s="6" t="s">
        <v>251</v>
      </c>
      <c r="B39" s="6" t="s">
        <v>266</v>
      </c>
      <c r="C39" s="6" t="s">
        <v>140</v>
      </c>
      <c r="D39" s="35" t="n">
        <f aca="false">'Sim Data'!$E$121</f>
        <v>4.34</v>
      </c>
      <c r="E39" s="36" t="n">
        <f aca="false">'Sim Data'!$G$121</f>
        <v>0.1011</v>
      </c>
      <c r="F39" s="37" t="n">
        <f aca="false">IF(E39&gt;0,1/E39,Assumptions!$B$17)</f>
        <v>9.89119683481701</v>
      </c>
      <c r="G39" s="38" t="n">
        <f aca="false">Assumptions!$B$16</f>
        <v>2</v>
      </c>
      <c r="H39" s="39" t="n">
        <f aca="false">D39/(G39*F39)</f>
        <v>0.219387</v>
      </c>
      <c r="I39" s="40" t="str">
        <f aca="false">IF(D39=0,"No arrivals",IF(H39&lt;0.85,"Stable",IF(H39&lt;1,"Stable, near capacity","UNSTABLE: queue grows")))</f>
        <v>Stable</v>
      </c>
      <c r="J39" s="34" t="n">
        <f aca="false">IF(AND(D39&gt;0,H39&lt;1),((D39/F39)^G39/FACT(G39)/(1-H39))/(SUMPRODUCT(--({0,1,2,3,4,5,6,7,8,9}&lt;G39),(D39/F39)^{0,1,2,3,4,5,6,7,8,9}/FACT({0,1,2,3,4,5,6,7,8,9}))+((D39/F39)^G39/FACT(G39)/(1-H39)))/(G39*F39-D39),"—")</f>
        <v>0.00511205590109331</v>
      </c>
      <c r="K39" s="34" t="n">
        <f aca="false">IF(ISNUMBER(J39),(1+Assumptions!$B$18^2)/2*J39,"—")</f>
        <v>0.00347619801274345</v>
      </c>
      <c r="L39" s="35" t="n">
        <f aca="false">'Sim Data'!$F$121</f>
        <v>0.0054</v>
      </c>
      <c r="M39" s="41" t="n">
        <f aca="false">'Sim Data'!$H$121</f>
        <v>0.0236</v>
      </c>
      <c r="N39" s="37" t="n">
        <f aca="false">D39*L39</f>
        <v>0.023436</v>
      </c>
      <c r="O39" s="34" t="str">
        <f aca="false">IF(MAX(M39,N39)&lt;0.5,"both ≈ 0",IF(N39=0,"no new arrivals",M39/N39))</f>
        <v>both ≈ 0</v>
      </c>
      <c r="P39" s="40" t="str">
        <f aca="false">IF(D39=0,"",IF(H39&gt;=1,"No steady state: line grows by ~"&amp;TEXT((D39-G39*F39)*10,"0")&amp;" in this slot",IF(ISNUMBER(O39),IF(ABS(O39-1)&lt;=0.2,"Little's Law holds (steady)",IF(O39&gt;1,"More waiting than λWq: queue left over from before","Fewer waiting than λWq: queue still building")),"Hardly any queue")))</f>
        <v>Hardly any queue</v>
      </c>
    </row>
    <row r="40" customFormat="false" ht="15" hidden="false" customHeight="false" outlineLevel="0" collapsed="false">
      <c r="A40" s="6" t="s">
        <v>251</v>
      </c>
      <c r="B40" s="6" t="s">
        <v>266</v>
      </c>
      <c r="C40" s="6" t="s">
        <v>125</v>
      </c>
      <c r="D40" s="35" t="n">
        <f aca="false">'Sim Data'!$E$122</f>
        <v>5.535</v>
      </c>
      <c r="E40" s="36" t="n">
        <f aca="false">'Sim Data'!$G$122</f>
        <v>0.0995</v>
      </c>
      <c r="F40" s="37" t="n">
        <f aca="false">IF(E40&gt;0,1/E40,Assumptions!$B$17)</f>
        <v>10.0502512562814</v>
      </c>
      <c r="G40" s="38" t="n">
        <f aca="false">Assumptions!$B$16</f>
        <v>2</v>
      </c>
      <c r="H40" s="39" t="n">
        <f aca="false">D40/(G40*F40)</f>
        <v>0.27536625</v>
      </c>
      <c r="I40" s="40" t="str">
        <f aca="false">IF(D40=0,"No arrivals",IF(H40&lt;0.85,"Stable",IF(H40&lt;1,"Stable, near capacity","UNSTABLE: queue grows")))</f>
        <v>Stable</v>
      </c>
      <c r="J40" s="34" t="n">
        <f aca="false">IF(AND(D40&gt;0,H40&lt;1),((D40/F40)^G40/FACT(G40)/(1-H40))/(SUMPRODUCT(--({0,1,2,3,4,5,6,7,8,9}&lt;G40),(D40/F40)^{0,1,2,3,4,5,6,7,8,9}/FACT({0,1,2,3,4,5,6,7,8,9}))+((D40/F40)^G40/FACT(G40)/(1-H40)))/(G40*F40-D40),"—")</f>
        <v>0.0081637749437004</v>
      </c>
      <c r="K40" s="34" t="n">
        <f aca="false">IF(ISNUMBER(J40),(1+Assumptions!$B$18^2)/2*J40,"—")</f>
        <v>0.00555136696171627</v>
      </c>
      <c r="L40" s="35" t="n">
        <f aca="false">'Sim Data'!$F$122</f>
        <v>0.0063</v>
      </c>
      <c r="M40" s="41" t="n">
        <f aca="false">'Sim Data'!$H$122</f>
        <v>0.033</v>
      </c>
      <c r="N40" s="37" t="n">
        <f aca="false">D40*L40</f>
        <v>0.0348705</v>
      </c>
      <c r="O40" s="34" t="str">
        <f aca="false">IF(MAX(M40,N40)&lt;0.5,"both ≈ 0",IF(N40=0,"no new arrivals",M40/N40))</f>
        <v>both ≈ 0</v>
      </c>
      <c r="P40" s="40" t="str">
        <f aca="false">IF(D40=0,"",IF(H40&gt;=1,"No steady state: line grows by ~"&amp;TEXT((D40-G40*F40)*10,"0")&amp;" in this slot",IF(ISNUMBER(O40),IF(ABS(O40-1)&lt;=0.2,"Little's Law holds (steady)",IF(O40&gt;1,"More waiting than λWq: queue left over from before","Fewer waiting than λWq: queue still building")),"Hardly any queue")))</f>
        <v>Hardly any queue</v>
      </c>
    </row>
    <row r="41" customFormat="false" ht="15" hidden="false" customHeight="false" outlineLevel="0" collapsed="false">
      <c r="A41" s="6" t="s">
        <v>251</v>
      </c>
      <c r="B41" s="6" t="s">
        <v>266</v>
      </c>
      <c r="C41" s="6" t="s">
        <v>259</v>
      </c>
      <c r="D41" s="35" t="n">
        <f aca="false">'Sim Data'!$E$123</f>
        <v>7.54</v>
      </c>
      <c r="E41" s="36" t="n">
        <f aca="false">'Sim Data'!$G$123</f>
        <v>0.1011</v>
      </c>
      <c r="F41" s="37" t="n">
        <f aca="false">IF(E41&gt;0,1/E41,Assumptions!$B$17)</f>
        <v>9.89119683481701</v>
      </c>
      <c r="G41" s="38" t="n">
        <f aca="false">Assumptions!$B$16</f>
        <v>2</v>
      </c>
      <c r="H41" s="39" t="n">
        <f aca="false">D41/(G41*F41)</f>
        <v>0.381147</v>
      </c>
      <c r="I41" s="40" t="str">
        <f aca="false">IF(D41=0,"No arrivals",IF(H41&lt;0.85,"Stable",IF(H41&lt;1,"Stable, near capacity","UNSTABLE: queue grows")))</f>
        <v>Stable</v>
      </c>
      <c r="J41" s="34" t="n">
        <f aca="false">IF(AND(D41&gt;0,H41&lt;1),((D41/F41)^G41/FACT(G41)/(1-H41))/(SUMPRODUCT(--({0,1,2,3,4,5,6,7,8,9}&lt;G41),(D41/F41)^{0,1,2,3,4,5,6,7,8,9}/FACT({0,1,2,3,4,5,6,7,8,9}))+((D41/F41)^G41/FACT(G41)/(1-H41)))/(G41*F41-D41),"—")</f>
        <v>0.0171833866391879</v>
      </c>
      <c r="K41" s="34" t="n">
        <f aca="false">IF(ISNUMBER(J41),(1+Assumptions!$B$18^2)/2*J41,"—")</f>
        <v>0.0116847029146477</v>
      </c>
      <c r="L41" s="35" t="n">
        <f aca="false">'Sim Data'!$F$123</f>
        <v>0.0116</v>
      </c>
      <c r="M41" s="41" t="n">
        <f aca="false">'Sim Data'!$H$123</f>
        <v>0.089</v>
      </c>
      <c r="N41" s="37" t="n">
        <f aca="false">D41*L41</f>
        <v>0.087464</v>
      </c>
      <c r="O41" s="34" t="str">
        <f aca="false">IF(MAX(M41,N41)&lt;0.5,"both ≈ 0",IF(N41=0,"no new arrivals",M41/N41))</f>
        <v>both ≈ 0</v>
      </c>
      <c r="P41" s="40" t="str">
        <f aca="false">IF(D41=0,"",IF(H41&gt;=1,"No steady state: line grows by ~"&amp;TEXT((D41-G41*F41)*10,"0")&amp;" in this slot",IF(ISNUMBER(O41),IF(ABS(O41-1)&lt;=0.2,"Little's Law holds (steady)",IF(O41&gt;1,"More waiting than λWq: queue left over from before","Fewer waiting than λWq: queue still building")),"Hardly any queue")))</f>
        <v>Hardly any queue</v>
      </c>
    </row>
    <row r="42" customFormat="false" ht="15" hidden="false" customHeight="false" outlineLevel="0" collapsed="false">
      <c r="A42" s="6" t="s">
        <v>251</v>
      </c>
      <c r="B42" s="6" t="s">
        <v>266</v>
      </c>
      <c r="C42" s="6" t="s">
        <v>260</v>
      </c>
      <c r="D42" s="35" t="n">
        <f aca="false">'Sim Data'!$E$124</f>
        <v>7.38</v>
      </c>
      <c r="E42" s="36" t="n">
        <f aca="false">'Sim Data'!$G$124</f>
        <v>0.1011</v>
      </c>
      <c r="F42" s="37" t="n">
        <f aca="false">IF(E42&gt;0,1/E42,Assumptions!$B$17)</f>
        <v>9.89119683481701</v>
      </c>
      <c r="G42" s="38" t="n">
        <f aca="false">Assumptions!$B$16</f>
        <v>2</v>
      </c>
      <c r="H42" s="39" t="n">
        <f aca="false">D42/(G42*F42)</f>
        <v>0.373059</v>
      </c>
      <c r="I42" s="40" t="str">
        <f aca="false">IF(D42=0,"No arrivals",IF(H42&lt;0.85,"Stable",IF(H42&lt;1,"Stable, near capacity","UNSTABLE: queue grows")))</f>
        <v>Stable</v>
      </c>
      <c r="J42" s="34" t="n">
        <f aca="false">IF(AND(D42&gt;0,H42&lt;1),((D42/F42)^G42/FACT(G42)/(1-H42))/(SUMPRODUCT(--({0,1,2,3,4,5,6,7,8,9}&lt;G42),(D42/F42)^{0,1,2,3,4,5,6,7,8,9}/FACT({0,1,2,3,4,5,6,7,8,9}))+((D42/F42)^G42/FACT(G42)/(1-H42)))/(G42*F42-D42),"—")</f>
        <v>0.0163452033370928</v>
      </c>
      <c r="K42" s="34" t="n">
        <f aca="false">IF(ISNUMBER(J42),(1+Assumptions!$B$18^2)/2*J42,"—")</f>
        <v>0.0111147382692231</v>
      </c>
      <c r="L42" s="35" t="n">
        <f aca="false">'Sim Data'!$F$124</f>
        <v>0.013</v>
      </c>
      <c r="M42" s="41" t="n">
        <f aca="false">'Sim Data'!$H$124</f>
        <v>0.0956</v>
      </c>
      <c r="N42" s="37" t="n">
        <f aca="false">D42*L42</f>
        <v>0.09594</v>
      </c>
      <c r="O42" s="34" t="str">
        <f aca="false">IF(MAX(M42,N42)&lt;0.5,"both ≈ 0",IF(N42=0,"no new arrivals",M42/N42))</f>
        <v>both ≈ 0</v>
      </c>
      <c r="P42" s="40" t="str">
        <f aca="false">IF(D42=0,"",IF(H42&gt;=1,"No steady state: line grows by ~"&amp;TEXT((D42-G42*F42)*10,"0")&amp;" in this slot",IF(ISNUMBER(O42),IF(ABS(O42-1)&lt;=0.2,"Little's Law holds (steady)",IF(O42&gt;1,"More waiting than λWq: queue left over from before","Fewer waiting than λWq: queue still building")),"Hardly any queue")))</f>
        <v>Hardly any queue</v>
      </c>
    </row>
    <row r="43" customFormat="false" ht="15" hidden="false" customHeight="false" outlineLevel="0" collapsed="false">
      <c r="A43" s="6" t="s">
        <v>251</v>
      </c>
      <c r="B43" s="6" t="s">
        <v>266</v>
      </c>
      <c r="C43" s="6" t="s">
        <v>134</v>
      </c>
      <c r="D43" s="35" t="n">
        <f aca="false">'Sim Data'!$E$125</f>
        <v>5.4</v>
      </c>
      <c r="E43" s="36" t="n">
        <f aca="false">'Sim Data'!$G$125</f>
        <v>0.096</v>
      </c>
      <c r="F43" s="37" t="n">
        <f aca="false">IF(E43&gt;0,1/E43,Assumptions!$B$17)</f>
        <v>10.4166666666667</v>
      </c>
      <c r="G43" s="38" t="n">
        <f aca="false">Assumptions!$B$16</f>
        <v>2</v>
      </c>
      <c r="H43" s="39" t="n">
        <f aca="false">D43/(G43*F43)</f>
        <v>0.2592</v>
      </c>
      <c r="I43" s="40" t="str">
        <f aca="false">IF(D43=0,"No arrivals",IF(H43&lt;0.85,"Stable",IF(H43&lt;1,"Stable, near capacity","UNSTABLE: queue grows")))</f>
        <v>Stable</v>
      </c>
      <c r="J43" s="34" t="n">
        <f aca="false">IF(AND(D43&gt;0,H43&lt;1),((D43/F43)^G43/FACT(G43)/(1-H43))/(SUMPRODUCT(--({0,1,2,3,4,5,6,7,8,9}&lt;G43),(D43/F43)^{0,1,2,3,4,5,6,7,8,9}/FACT({0,1,2,3,4,5,6,7,8,9}))+((D43/F43)^G43/FACT(G43)/(1-H43)))/(G43*F43-D43),"—")</f>
        <v>0.00691425732955341</v>
      </c>
      <c r="K43" s="34" t="n">
        <f aca="false">IF(ISNUMBER(J43),(1+Assumptions!$B$18^2)/2*J43,"—")</f>
        <v>0.00470169498409632</v>
      </c>
      <c r="L43" s="35" t="n">
        <f aca="false">'Sim Data'!$F$125</f>
        <v>0.0042</v>
      </c>
      <c r="M43" s="41" t="n">
        <f aca="false">'Sim Data'!$H$125</f>
        <v>0.0231</v>
      </c>
      <c r="N43" s="37" t="n">
        <f aca="false">D43*L43</f>
        <v>0.02268</v>
      </c>
      <c r="O43" s="34" t="str">
        <f aca="false">IF(MAX(M43,N43)&lt;0.5,"both ≈ 0",IF(N43=0,"no new arrivals",M43/N43))</f>
        <v>both ≈ 0</v>
      </c>
      <c r="P43" s="40" t="str">
        <f aca="false">IF(D43=0,"",IF(H43&gt;=1,"No steady state: line grows by ~"&amp;TEXT((D43-G43*F43)*10,"0")&amp;" in this slot",IF(ISNUMBER(O43),IF(ABS(O43-1)&lt;=0.2,"Little's Law holds (steady)",IF(O43&gt;1,"More waiting than λWq: queue left over from before","Fewer waiting than λWq: queue still building")),"Hardly any queue")))</f>
        <v>Hardly any queue</v>
      </c>
    </row>
    <row r="44" customFormat="false" ht="15" hidden="false" customHeight="false" outlineLevel="0" collapsed="false">
      <c r="A44" s="6" t="s">
        <v>251</v>
      </c>
      <c r="B44" s="6" t="s">
        <v>266</v>
      </c>
      <c r="C44" s="6" t="s">
        <v>138</v>
      </c>
      <c r="D44" s="35" t="n">
        <f aca="false">'Sim Data'!$E$126</f>
        <v>3.545</v>
      </c>
      <c r="E44" s="36" t="n">
        <f aca="false">'Sim Data'!$G$126</f>
        <v>0.0982</v>
      </c>
      <c r="F44" s="37" t="n">
        <f aca="false">IF(E44&gt;0,1/E44,Assumptions!$B$17)</f>
        <v>10.183299389002</v>
      </c>
      <c r="G44" s="38" t="n">
        <f aca="false">Assumptions!$B$16</f>
        <v>2</v>
      </c>
      <c r="H44" s="39" t="n">
        <f aca="false">D44/(G44*F44)</f>
        <v>0.1740595</v>
      </c>
      <c r="I44" s="40" t="str">
        <f aca="false">IF(D44=0,"No arrivals",IF(H44&lt;0.85,"Stable",IF(H44&lt;1,"Stable, near capacity","UNSTABLE: queue grows")))</f>
        <v>Stable</v>
      </c>
      <c r="J44" s="34" t="n">
        <f aca="false">IF(AND(D44&gt;0,H44&lt;1),((D44/F44)^G44/FACT(G44)/(1-H44))/(SUMPRODUCT(--({0,1,2,3,4,5,6,7,8,9}&lt;G44),(D44/F44)^{0,1,2,3,4,5,6,7,8,9}/FACT({0,1,2,3,4,5,6,7,8,9}))+((D44/F44)^G44/FACT(G44)/(1-H44)))/(G44*F44-D44),"—")</f>
        <v>0.00306808990556482</v>
      </c>
      <c r="K44" s="34" t="n">
        <f aca="false">IF(ISNUMBER(J44),(1+Assumptions!$B$18^2)/2*J44,"—")</f>
        <v>0.00208630113578408</v>
      </c>
      <c r="L44" s="35" t="n">
        <f aca="false">'Sim Data'!$F$126</f>
        <v>0.0018</v>
      </c>
      <c r="M44" s="41" t="n">
        <f aca="false">'Sim Data'!$H$126</f>
        <v>0.0065</v>
      </c>
      <c r="N44" s="37" t="n">
        <f aca="false">D44*L44</f>
        <v>0.006381</v>
      </c>
      <c r="O44" s="34" t="str">
        <f aca="false">IF(MAX(M44,N44)&lt;0.5,"both ≈ 0",IF(N44=0,"no new arrivals",M44/N44))</f>
        <v>both ≈ 0</v>
      </c>
      <c r="P44" s="40" t="str">
        <f aca="false">IF(D44=0,"",IF(H44&gt;=1,"No steady state: line grows by ~"&amp;TEXT((D44-G44*F44)*10,"0")&amp;" in this slot",IF(ISNUMBER(O44),IF(ABS(O44-1)&lt;=0.2,"Little's Law holds (steady)",IF(O44&gt;1,"More waiting than λWq: queue left over from before","Fewer waiting than λWq: queue still building")),"Hardly any queue")))</f>
        <v>Hardly any queue</v>
      </c>
    </row>
    <row r="45" customFormat="false" ht="15" hidden="false" customHeight="false" outlineLevel="0" collapsed="false">
      <c r="A45" s="6" t="s">
        <v>251</v>
      </c>
      <c r="B45" s="6" t="s">
        <v>266</v>
      </c>
      <c r="C45" s="6" t="s">
        <v>141</v>
      </c>
      <c r="D45" s="35" t="n">
        <f aca="false">'Sim Data'!$E$127</f>
        <v>1.895</v>
      </c>
      <c r="E45" s="36" t="n">
        <f aca="false">'Sim Data'!$G$127</f>
        <v>0.0999</v>
      </c>
      <c r="F45" s="37" t="n">
        <f aca="false">IF(E45&gt;0,1/E45,Assumptions!$B$17)</f>
        <v>10.01001001001</v>
      </c>
      <c r="G45" s="38" t="n">
        <f aca="false">Assumptions!$B$16</f>
        <v>2</v>
      </c>
      <c r="H45" s="39" t="n">
        <f aca="false">D45/(G45*F45)</f>
        <v>0.09465525</v>
      </c>
      <c r="I45" s="40" t="str">
        <f aca="false">IF(D45=0,"No arrivals",IF(H45&lt;0.85,"Stable",IF(H45&lt;1,"Stable, near capacity","UNSTABLE: queue grows")))</f>
        <v>Stable</v>
      </c>
      <c r="J45" s="34" t="n">
        <f aca="false">IF(AND(D45&gt;0,H45&lt;1),((D45/F45)^G45/FACT(G45)/(1-H45))/(SUMPRODUCT(--({0,1,2,3,4,5,6,7,8,9}&lt;G45),(D45/F45)^{0,1,2,3,4,5,6,7,8,9}/FACT({0,1,2,3,4,5,6,7,8,9}))+((D45/F45)^G45/FACT(G45)/(1-H45)))/(G45*F45-D45),"—")</f>
        <v>0.000903157619396682</v>
      </c>
      <c r="K45" s="34" t="n">
        <f aca="false">IF(ISNUMBER(J45),(1+Assumptions!$B$18^2)/2*J45,"—")</f>
        <v>0.000614147181189743</v>
      </c>
      <c r="L45" s="35" t="n">
        <f aca="false">'Sim Data'!$F$127</f>
        <v>0.0011</v>
      </c>
      <c r="M45" s="41" t="n">
        <f aca="false">'Sim Data'!$H$127</f>
        <v>0.002</v>
      </c>
      <c r="N45" s="37" t="n">
        <f aca="false">D45*L45</f>
        <v>0.0020845</v>
      </c>
      <c r="O45" s="34" t="str">
        <f aca="false">IF(MAX(M45,N45)&lt;0.5,"both ≈ 0",IF(N45=0,"no new arrivals",M45/N45))</f>
        <v>both ≈ 0</v>
      </c>
      <c r="P45" s="40" t="str">
        <f aca="false">IF(D45=0,"",IF(H45&gt;=1,"No steady state: line grows by ~"&amp;TEXT((D45-G45*F45)*10,"0")&amp;" in this slot",IF(ISNUMBER(O45),IF(ABS(O45-1)&lt;=0.2,"Little's Law holds (steady)",IF(O45&gt;1,"More waiting than λWq: queue left over from before","Fewer waiting than λWq: queue still building")),"Hardly any queue")))</f>
        <v>Hardly any queue</v>
      </c>
    </row>
    <row r="46" customFormat="false" ht="15" hidden="false" customHeight="false" outlineLevel="0" collapsed="false">
      <c r="A46" s="6" t="s">
        <v>251</v>
      </c>
      <c r="B46" s="6" t="s">
        <v>266</v>
      </c>
      <c r="C46" s="6" t="s">
        <v>128</v>
      </c>
      <c r="D46" s="35" t="n">
        <f aca="false">'Sim Data'!$E$128</f>
        <v>0.045</v>
      </c>
      <c r="E46" s="36" t="n">
        <f aca="false">'Sim Data'!$G$128</f>
        <v>0.0856</v>
      </c>
      <c r="F46" s="37" t="n">
        <f aca="false">IF(E46&gt;0,1/E46,Assumptions!$B$17)</f>
        <v>11.6822429906542</v>
      </c>
      <c r="G46" s="38" t="n">
        <f aca="false">Assumptions!$B$16</f>
        <v>2</v>
      </c>
      <c r="H46" s="39" t="n">
        <f aca="false">D46/(G46*F46)</f>
        <v>0.001926</v>
      </c>
      <c r="I46" s="40" t="str">
        <f aca="false">IF(D46=0,"No arrivals",IF(H46&lt;0.85,"Stable",IF(H46&lt;1,"Stable, near capacity","UNSTABLE: queue grows")))</f>
        <v>Stable</v>
      </c>
      <c r="J46" s="34" t="n">
        <f aca="false">IF(AND(D46&gt;0,H46&lt;1),((D46/F46)^G46/FACT(G46)/(1-H46))/(SUMPRODUCT(--({0,1,2,3,4,5,6,7,8,9}&lt;G46),(D46/F46)^{0,1,2,3,4,5,6,7,8,9}/FACT({0,1,2,3,4,5,6,7,8,9}))+((D46/F46)^G46/FACT(G46)/(1-H46)))/(G46*F46-D46),"—")</f>
        <v>3.17532323478533E-007</v>
      </c>
      <c r="K46" s="34" t="n">
        <f aca="false">IF(ISNUMBER(J46),(1+Assumptions!$B$18^2)/2*J46,"—")</f>
        <v>2.15921979965403E-007</v>
      </c>
      <c r="L46" s="35" t="n">
        <f aca="false">'Sim Data'!$F$128</f>
        <v>0</v>
      </c>
      <c r="M46" s="41" t="n">
        <f aca="false">'Sim Data'!$H$128</f>
        <v>0</v>
      </c>
      <c r="N46" s="37" t="n">
        <f aca="false">D46*L46</f>
        <v>0</v>
      </c>
      <c r="O46" s="34" t="str">
        <f aca="false">IF(MAX(M46,N46)&lt;0.5,"both ≈ 0",IF(N46=0,"no new arrivals",M46/N46))</f>
        <v>both ≈ 0</v>
      </c>
      <c r="P46" s="40" t="str">
        <f aca="false">IF(D46=0,"",IF(H46&gt;=1,"No steady state: line grows by ~"&amp;TEXT((D46-G46*F46)*10,"0")&amp;" in this slot",IF(ISNUMBER(O46),IF(ABS(O46-1)&lt;=0.2,"Little's Law holds (steady)",IF(O46&gt;1,"More waiting than λWq: queue left over from before","Fewer waiting than λWq: queue still building")),"Hardly any queue")))</f>
        <v>Hardly any queue</v>
      </c>
    </row>
    <row r="47" customFormat="false" ht="15" hidden="false" customHeight="false" outlineLevel="0" collapsed="false">
      <c r="A47" s="6" t="s">
        <v>251</v>
      </c>
      <c r="B47" s="6" t="s">
        <v>266</v>
      </c>
      <c r="C47" s="6" t="s">
        <v>261</v>
      </c>
      <c r="D47" s="35" t="n">
        <f aca="false">'Sim Data'!$E$129</f>
        <v>0</v>
      </c>
      <c r="E47" s="36" t="n">
        <f aca="false">'Sim Data'!$G$129</f>
        <v>0</v>
      </c>
      <c r="F47" s="37" t="n">
        <f aca="false">IF(E47&gt;0,1/E47,Assumptions!$B$17)</f>
        <v>10</v>
      </c>
      <c r="G47" s="38" t="n">
        <f aca="false">Assumptions!$B$16</f>
        <v>2</v>
      </c>
      <c r="H47" s="39" t="n">
        <f aca="false">D47/(G47*F47)</f>
        <v>0</v>
      </c>
      <c r="I47" s="40" t="str">
        <f aca="false">IF(D47=0,"No arrivals",IF(H47&lt;0.85,"Stable",IF(H47&lt;1,"Stable, near capacity","UNSTABLE: queue grows")))</f>
        <v>No arrivals</v>
      </c>
      <c r="J47" s="34" t="str">
        <f aca="false">IF(AND(D47&gt;0,H47&lt;1),((D47/F47)^G47/FACT(G47)/(1-H47))/(SUMPRODUCT(--({0,1,2,3,4,5,6,7,8,9}&lt;G47),(D47/F47)^{0,1,2,3,4,5,6,7,8,9}/FACT({0,1,2,3,4,5,6,7,8,9}))+((D47/F47)^G47/FACT(G47)/(1-H47)))/(G47*F47-D47),"—")</f>
        <v>—</v>
      </c>
      <c r="K47" s="34" t="str">
        <f aca="false">IF(ISNUMBER(J47),(1+Assumptions!$B$18^2)/2*J47,"—")</f>
        <v>—</v>
      </c>
      <c r="L47" s="35" t="n">
        <f aca="false">'Sim Data'!$F$129</f>
        <v>0</v>
      </c>
      <c r="M47" s="41" t="n">
        <f aca="false">'Sim Data'!$H$129</f>
        <v>0</v>
      </c>
      <c r="N47" s="37" t="n">
        <f aca="false">D47*L47</f>
        <v>0</v>
      </c>
      <c r="O47" s="34" t="str">
        <f aca="false">IF(MAX(M47,N47)&lt;0.5,"both ≈ 0",IF(N47=0,"no new arrivals",M47/N47))</f>
        <v>both ≈ 0</v>
      </c>
      <c r="P47" s="40" t="str">
        <f aca="false">IF(D47=0,"",IF(H47&gt;=1,"No steady state: line grows by ~"&amp;TEXT((D47-G47*F47)*10,"0")&amp;" in this slot",IF(ISNUMBER(O47),IF(ABS(O47-1)&lt;=0.2,"Little's Law holds (steady)",IF(O47&gt;1,"More waiting than λWq: queue left over from before","Fewer waiting than λWq: queue still building")),"Hardly any queue")))</f>
        <v/>
      </c>
    </row>
    <row r="48" customFormat="false" ht="15" hidden="false" customHeight="false" outlineLevel="0" collapsed="false">
      <c r="A48" s="6" t="s">
        <v>251</v>
      </c>
      <c r="B48" s="6" t="s">
        <v>266</v>
      </c>
      <c r="C48" s="6" t="s">
        <v>262</v>
      </c>
      <c r="D48" s="35" t="n">
        <f aca="false">'Sim Data'!$E$130</f>
        <v>0</v>
      </c>
      <c r="E48" s="36" t="n">
        <f aca="false">'Sim Data'!$G$130</f>
        <v>0</v>
      </c>
      <c r="F48" s="37" t="n">
        <f aca="false">IF(E48&gt;0,1/E48,Assumptions!$B$17)</f>
        <v>10</v>
      </c>
      <c r="G48" s="38" t="n">
        <f aca="false">Assumptions!$B$16</f>
        <v>2</v>
      </c>
      <c r="H48" s="39" t="n">
        <f aca="false">D48/(G48*F48)</f>
        <v>0</v>
      </c>
      <c r="I48" s="40" t="str">
        <f aca="false">IF(D48=0,"No arrivals",IF(H48&lt;0.85,"Stable",IF(H48&lt;1,"Stable, near capacity","UNSTABLE: queue grows")))</f>
        <v>No arrivals</v>
      </c>
      <c r="J48" s="34" t="str">
        <f aca="false">IF(AND(D48&gt;0,H48&lt;1),((D48/F48)^G48/FACT(G48)/(1-H48))/(SUMPRODUCT(--({0,1,2,3,4,5,6,7,8,9}&lt;G48),(D48/F48)^{0,1,2,3,4,5,6,7,8,9}/FACT({0,1,2,3,4,5,6,7,8,9}))+((D48/F48)^G48/FACT(G48)/(1-H48)))/(G48*F48-D48),"—")</f>
        <v>—</v>
      </c>
      <c r="K48" s="34" t="str">
        <f aca="false">IF(ISNUMBER(J48),(1+Assumptions!$B$18^2)/2*J48,"—")</f>
        <v>—</v>
      </c>
      <c r="L48" s="35" t="n">
        <f aca="false">'Sim Data'!$F$130</f>
        <v>0</v>
      </c>
      <c r="M48" s="41" t="n">
        <f aca="false">'Sim Data'!$H$130</f>
        <v>0</v>
      </c>
      <c r="N48" s="37" t="n">
        <f aca="false">D48*L48</f>
        <v>0</v>
      </c>
      <c r="O48" s="34" t="str">
        <f aca="false">IF(MAX(M48,N48)&lt;0.5,"both ≈ 0",IF(N48=0,"no new arrivals",M48/N48))</f>
        <v>both ≈ 0</v>
      </c>
      <c r="P48" s="40" t="str">
        <f aca="false">IF(D48=0,"",IF(H48&gt;=1,"No steady state: line grows by ~"&amp;TEXT((D48-G48*F48)*10,"0")&amp;" in this slot",IF(ISNUMBER(O48),IF(ABS(O48-1)&lt;=0.2,"Little's Law holds (steady)",IF(O48&gt;1,"More waiting than λWq: queue left over from before","Fewer waiting than λWq: queue still building")),"Hardly any queue")))</f>
        <v/>
      </c>
    </row>
    <row r="49" customFormat="false" ht="15" hidden="false" customHeight="false" outlineLevel="0" collapsed="false">
      <c r="A49" s="6" t="s">
        <v>267</v>
      </c>
      <c r="B49" s="6" t="s">
        <v>252</v>
      </c>
      <c r="C49" s="6" t="s">
        <v>254</v>
      </c>
      <c r="D49" s="35" t="n">
        <f aca="false">'Sim Data'!$E$203</f>
        <v>0</v>
      </c>
      <c r="E49" s="36" t="n">
        <f aca="false">'Sim Data'!$G$203</f>
        <v>0</v>
      </c>
      <c r="F49" s="37" t="n">
        <f aca="false">IF(E49&gt;0,1/E49,Assumptions!$B$17)</f>
        <v>10</v>
      </c>
      <c r="G49" s="38" t="n">
        <f aca="false">Assumptions!$B$16</f>
        <v>2</v>
      </c>
      <c r="H49" s="39" t="n">
        <f aca="false">D49/(G49*F49)</f>
        <v>0</v>
      </c>
      <c r="I49" s="40" t="str">
        <f aca="false">IF(D49=0,"No arrivals",IF(H49&lt;0.85,"Stable",IF(H49&lt;1,"Stable, near capacity","UNSTABLE: queue grows")))</f>
        <v>No arrivals</v>
      </c>
      <c r="J49" s="34" t="str">
        <f aca="false">IF(AND(D49&gt;0,H49&lt;1),((D49/F49)^G49/FACT(G49)/(1-H49))/(SUMPRODUCT(--({0,1,2,3,4,5,6,7,8,9}&lt;G49),(D49/F49)^{0,1,2,3,4,5,6,7,8,9}/FACT({0,1,2,3,4,5,6,7,8,9}))+((D49/F49)^G49/FACT(G49)/(1-H49)))/(G49*F49-D49),"—")</f>
        <v>—</v>
      </c>
      <c r="K49" s="34" t="str">
        <f aca="false">IF(ISNUMBER(J49),(1+Assumptions!$B$18^2)/2*J49,"—")</f>
        <v>—</v>
      </c>
      <c r="L49" s="35" t="n">
        <f aca="false">'Sim Data'!$F$203</f>
        <v>0</v>
      </c>
      <c r="M49" s="41" t="n">
        <f aca="false">'Sim Data'!$H$203</f>
        <v>0</v>
      </c>
      <c r="N49" s="37" t="n">
        <f aca="false">D49*L49</f>
        <v>0</v>
      </c>
      <c r="O49" s="34" t="str">
        <f aca="false">IF(MAX(M49,N49)&lt;0.5,"both ≈ 0",IF(N49=0,"no new arrivals",M49/N49))</f>
        <v>both ≈ 0</v>
      </c>
      <c r="P49" s="40" t="str">
        <f aca="false">IF(D49=0,"",IF(H49&gt;=1,"No steady state: line grows by ~"&amp;TEXT((D49-G49*F49)*10,"0")&amp;" in this slot",IF(ISNUMBER(O49),IF(ABS(O49-1)&lt;=0.2,"Little's Law holds (steady)",IF(O49&gt;1,"More waiting than λWq: queue left over from before","Fewer waiting than λWq: queue still building")),"Hardly any queue")))</f>
        <v/>
      </c>
    </row>
    <row r="50" customFormat="false" ht="15" hidden="false" customHeight="false" outlineLevel="0" collapsed="false">
      <c r="A50" s="6" t="s">
        <v>267</v>
      </c>
      <c r="B50" s="6" t="s">
        <v>252</v>
      </c>
      <c r="C50" s="6" t="s">
        <v>255</v>
      </c>
      <c r="D50" s="35" t="n">
        <f aca="false">'Sim Data'!$E$204</f>
        <v>0</v>
      </c>
      <c r="E50" s="36" t="n">
        <f aca="false">'Sim Data'!$G$204</f>
        <v>0</v>
      </c>
      <c r="F50" s="37" t="n">
        <f aca="false">IF(E50&gt;0,1/E50,Assumptions!$B$17)</f>
        <v>10</v>
      </c>
      <c r="G50" s="38" t="n">
        <f aca="false">Assumptions!$B$16</f>
        <v>2</v>
      </c>
      <c r="H50" s="39" t="n">
        <f aca="false">D50/(G50*F50)</f>
        <v>0</v>
      </c>
      <c r="I50" s="40" t="str">
        <f aca="false">IF(D50=0,"No arrivals",IF(H50&lt;0.85,"Stable",IF(H50&lt;1,"Stable, near capacity","UNSTABLE: queue grows")))</f>
        <v>No arrivals</v>
      </c>
      <c r="J50" s="34" t="str">
        <f aca="false">IF(AND(D50&gt;0,H50&lt;1),((D50/F50)^G50/FACT(G50)/(1-H50))/(SUMPRODUCT(--({0,1,2,3,4,5,6,7,8,9}&lt;G50),(D50/F50)^{0,1,2,3,4,5,6,7,8,9}/FACT({0,1,2,3,4,5,6,7,8,9}))+((D50/F50)^G50/FACT(G50)/(1-H50)))/(G50*F50-D50),"—")</f>
        <v>—</v>
      </c>
      <c r="K50" s="34" t="str">
        <f aca="false">IF(ISNUMBER(J50),(1+Assumptions!$B$18^2)/2*J50,"—")</f>
        <v>—</v>
      </c>
      <c r="L50" s="35" t="n">
        <f aca="false">'Sim Data'!$F$204</f>
        <v>0</v>
      </c>
      <c r="M50" s="41" t="n">
        <f aca="false">'Sim Data'!$H$204</f>
        <v>0</v>
      </c>
      <c r="N50" s="37" t="n">
        <f aca="false">D50*L50</f>
        <v>0</v>
      </c>
      <c r="O50" s="34" t="str">
        <f aca="false">IF(MAX(M50,N50)&lt;0.5,"both ≈ 0",IF(N50=0,"no new arrivals",M50/N50))</f>
        <v>both ≈ 0</v>
      </c>
      <c r="P50" s="40" t="str">
        <f aca="false">IF(D50=0,"",IF(H50&gt;=1,"No steady state: line grows by ~"&amp;TEXT((D50-G50*F50)*10,"0")&amp;" in this slot",IF(ISNUMBER(O50),IF(ABS(O50-1)&lt;=0.2,"Little's Law holds (steady)",IF(O50&gt;1,"More waiting than λWq: queue left over from before","Fewer waiting than λWq: queue still building")),"Hardly any queue")))</f>
        <v/>
      </c>
    </row>
    <row r="51" customFormat="false" ht="15" hidden="false" customHeight="false" outlineLevel="0" collapsed="false">
      <c r="A51" s="6" t="s">
        <v>267</v>
      </c>
      <c r="B51" s="6" t="s">
        <v>252</v>
      </c>
      <c r="C51" s="6" t="s">
        <v>256</v>
      </c>
      <c r="D51" s="35" t="n">
        <f aca="false">'Sim Data'!$E$205</f>
        <v>0</v>
      </c>
      <c r="E51" s="36" t="n">
        <f aca="false">'Sim Data'!$G$205</f>
        <v>0</v>
      </c>
      <c r="F51" s="37" t="n">
        <f aca="false">IF(E51&gt;0,1/E51,Assumptions!$B$17)</f>
        <v>10</v>
      </c>
      <c r="G51" s="38" t="n">
        <f aca="false">Assumptions!$B$16</f>
        <v>2</v>
      </c>
      <c r="H51" s="39" t="n">
        <f aca="false">D51/(G51*F51)</f>
        <v>0</v>
      </c>
      <c r="I51" s="40" t="str">
        <f aca="false">IF(D51=0,"No arrivals",IF(H51&lt;0.85,"Stable",IF(H51&lt;1,"Stable, near capacity","UNSTABLE: queue grows")))</f>
        <v>No arrivals</v>
      </c>
      <c r="J51" s="34" t="str">
        <f aca="false">IF(AND(D51&gt;0,H51&lt;1),((D51/F51)^G51/FACT(G51)/(1-H51))/(SUMPRODUCT(--({0,1,2,3,4,5,6,7,8,9}&lt;G51),(D51/F51)^{0,1,2,3,4,5,6,7,8,9}/FACT({0,1,2,3,4,5,6,7,8,9}))+((D51/F51)^G51/FACT(G51)/(1-H51)))/(G51*F51-D51),"—")</f>
        <v>—</v>
      </c>
      <c r="K51" s="34" t="str">
        <f aca="false">IF(ISNUMBER(J51),(1+Assumptions!$B$18^2)/2*J51,"—")</f>
        <v>—</v>
      </c>
      <c r="L51" s="35" t="n">
        <f aca="false">'Sim Data'!$F$205</f>
        <v>0</v>
      </c>
      <c r="M51" s="41" t="n">
        <f aca="false">'Sim Data'!$H$205</f>
        <v>0</v>
      </c>
      <c r="N51" s="37" t="n">
        <f aca="false">D51*L51</f>
        <v>0</v>
      </c>
      <c r="O51" s="34" t="str">
        <f aca="false">IF(MAX(M51,N51)&lt;0.5,"both ≈ 0",IF(N51=0,"no new arrivals",M51/N51))</f>
        <v>both ≈ 0</v>
      </c>
      <c r="P51" s="40" t="str">
        <f aca="false">IF(D51=0,"",IF(H51&gt;=1,"No steady state: line grows by ~"&amp;TEXT((D51-G51*F51)*10,"0")&amp;" in this slot",IF(ISNUMBER(O51),IF(ABS(O51-1)&lt;=0.2,"Little's Law holds (steady)",IF(O51&gt;1,"More waiting than λWq: queue left over from before","Fewer waiting than λWq: queue still building")),"Hardly any queue")))</f>
        <v/>
      </c>
    </row>
    <row r="52" customFormat="false" ht="15" hidden="false" customHeight="false" outlineLevel="0" collapsed="false">
      <c r="A52" s="6" t="s">
        <v>267</v>
      </c>
      <c r="B52" s="6" t="s">
        <v>252</v>
      </c>
      <c r="C52" s="6" t="s">
        <v>124</v>
      </c>
      <c r="D52" s="35" t="n">
        <f aca="false">'Sim Data'!$E$206</f>
        <v>13.675</v>
      </c>
      <c r="E52" s="36" t="n">
        <f aca="false">'Sim Data'!$G$206</f>
        <v>0.0988</v>
      </c>
      <c r="F52" s="37" t="n">
        <f aca="false">IF(E52&gt;0,1/E52,Assumptions!$B$17)</f>
        <v>10.1214574898785</v>
      </c>
      <c r="G52" s="38" t="n">
        <f aca="false">Assumptions!$B$16</f>
        <v>2</v>
      </c>
      <c r="H52" s="39" t="n">
        <f aca="false">D52/(G52*F52)</f>
        <v>0.675545</v>
      </c>
      <c r="I52" s="40" t="str">
        <f aca="false">IF(D52=0,"No arrivals",IF(H52&lt;0.85,"Stable",IF(H52&lt;1,"Stable, near capacity","UNSTABLE: queue grows")))</f>
        <v>Stable</v>
      </c>
      <c r="J52" s="34" t="n">
        <f aca="false">IF(AND(D52&gt;0,H52&lt;1),((D52/F52)^G52/FACT(G52)/(1-H52))/(SUMPRODUCT(--({0,1,2,3,4,5,6,7,8,9}&lt;G52),(D52/F52)^{0,1,2,3,4,5,6,7,8,9}/FACT({0,1,2,3,4,5,6,7,8,9}))+((D52/F52)^G52/FACT(G52)/(1-H52)))/(G52*F52-D52),"—")</f>
        <v>0.0829382648158832</v>
      </c>
      <c r="K52" s="34" t="n">
        <f aca="false">IF(ISNUMBER(J52),(1+Assumptions!$B$18^2)/2*J52,"—")</f>
        <v>0.0563980200748006</v>
      </c>
      <c r="L52" s="35" t="n">
        <f aca="false">'Sim Data'!$F$206</f>
        <v>0.0798</v>
      </c>
      <c r="M52" s="41" t="n">
        <f aca="false">'Sim Data'!$H$206</f>
        <v>1.0779</v>
      </c>
      <c r="N52" s="37" t="n">
        <f aca="false">D52*L52</f>
        <v>1.091265</v>
      </c>
      <c r="O52" s="34" t="n">
        <f aca="false">IF(MAX(M52,N52)&lt;0.5,"both ≈ 0",IF(N52=0,"no new arrivals",M52/N52))</f>
        <v>0.987752745666726</v>
      </c>
      <c r="P52" s="40" t="str">
        <f aca="false">IF(D52=0,"",IF(H52&gt;=1,"No steady state: line grows by ~"&amp;TEXT((D52-G52*F52)*10,"0")&amp;" in this slot",IF(ISNUMBER(O52),IF(ABS(O52-1)&lt;=0.2,"Little's Law holds (steady)",IF(O52&gt;1,"More waiting than λWq: queue left over from before","Fewer waiting than λWq: queue still building")),"Hardly any queue")))</f>
        <v>Little's Law holds (steady)</v>
      </c>
    </row>
    <row r="53" customFormat="false" ht="15" hidden="false" customHeight="false" outlineLevel="0" collapsed="false">
      <c r="A53" s="6" t="s">
        <v>267</v>
      </c>
      <c r="B53" s="6" t="s">
        <v>252</v>
      </c>
      <c r="C53" s="6" t="s">
        <v>257</v>
      </c>
      <c r="D53" s="35" t="n">
        <f aca="false">'Sim Data'!$E$207</f>
        <v>18.665</v>
      </c>
      <c r="E53" s="36" t="n">
        <f aca="false">'Sim Data'!$G$207</f>
        <v>0.0989</v>
      </c>
      <c r="F53" s="37" t="n">
        <f aca="false">IF(E53&gt;0,1/E53,Assumptions!$B$17)</f>
        <v>10.1112234580384</v>
      </c>
      <c r="G53" s="38" t="n">
        <f aca="false">Assumptions!$B$16</f>
        <v>2</v>
      </c>
      <c r="H53" s="39" t="n">
        <f aca="false">D53/(G53*F53)</f>
        <v>0.92298425</v>
      </c>
      <c r="I53" s="40" t="str">
        <f aca="false">IF(D53=0,"No arrivals",IF(H53&lt;0.85,"Stable",IF(H53&lt;1,"Stable, near capacity","UNSTABLE: queue grows")))</f>
        <v>Stable, near capacity</v>
      </c>
      <c r="J53" s="34" t="n">
        <f aca="false">IF(AND(D53&gt;0,H53&lt;1),((D53/F53)^G53/FACT(G53)/(1-H53))/(SUMPRODUCT(--({0,1,2,3,4,5,6,7,8,9}&lt;G53),(D53/F53)^{0,1,2,3,4,5,6,7,8,9}/FACT({0,1,2,3,4,5,6,7,8,9}))+((D53/F53)^G53/FACT(G53)/(1-H53)))/(G53*F53-D53),"—")</f>
        <v>0.568891697604136</v>
      </c>
      <c r="K53" s="34" t="n">
        <f aca="false">IF(ISNUMBER(J53),(1+Assumptions!$B$18^2)/2*J53,"—")</f>
        <v>0.386846354370813</v>
      </c>
      <c r="L53" s="35" t="n">
        <f aca="false">'Sim Data'!$F$207</f>
        <v>0.2161</v>
      </c>
      <c r="M53" s="41" t="n">
        <f aca="false">'Sim Data'!$H$207</f>
        <v>3.8686</v>
      </c>
      <c r="N53" s="37" t="n">
        <f aca="false">D53*L53</f>
        <v>4.0335065</v>
      </c>
      <c r="O53" s="34" t="n">
        <f aca="false">IF(MAX(M53,N53)&lt;0.5,"both ≈ 0",IF(N53=0,"no new arrivals",M53/N53))</f>
        <v>0.959115846224619</v>
      </c>
      <c r="P53" s="40" t="str">
        <f aca="false">IF(D53=0,"",IF(H53&gt;=1,"No steady state: line grows by ~"&amp;TEXT((D53-G53*F53)*10,"0")&amp;" in this slot",IF(ISNUMBER(O53),IF(ABS(O53-1)&lt;=0.2,"Little's Law holds (steady)",IF(O53&gt;1,"More waiting than λWq: queue left over from before","Fewer waiting than λWq: queue still building")),"Hardly any queue")))</f>
        <v>Little's Law holds (steady)</v>
      </c>
    </row>
    <row r="54" customFormat="false" ht="15" hidden="false" customHeight="false" outlineLevel="0" collapsed="false">
      <c r="A54" s="6" t="s">
        <v>267</v>
      </c>
      <c r="B54" s="6" t="s">
        <v>252</v>
      </c>
      <c r="C54" s="6" t="s">
        <v>258</v>
      </c>
      <c r="D54" s="35" t="n">
        <f aca="false">'Sim Data'!$E$208</f>
        <v>18.75</v>
      </c>
      <c r="E54" s="36" t="n">
        <f aca="false">'Sim Data'!$G$208</f>
        <v>0.0998</v>
      </c>
      <c r="F54" s="37" t="n">
        <f aca="false">IF(E54&gt;0,1/E54,Assumptions!$B$17)</f>
        <v>10.0200400801603</v>
      </c>
      <c r="G54" s="38" t="n">
        <f aca="false">Assumptions!$B$16</f>
        <v>2</v>
      </c>
      <c r="H54" s="39" t="n">
        <f aca="false">D54/(G54*F54)</f>
        <v>0.935625</v>
      </c>
      <c r="I54" s="40" t="str">
        <f aca="false">IF(D54=0,"No arrivals",IF(H54&lt;0.85,"Stable",IF(H54&lt;1,"Stable, near capacity","UNSTABLE: queue grows")))</f>
        <v>Stable, near capacity</v>
      </c>
      <c r="J54" s="34" t="n">
        <f aca="false">IF(AND(D54&gt;0,H54&lt;1),((D54/F54)^G54/FACT(G54)/(1-H54))/(SUMPRODUCT(--({0,1,2,3,4,5,6,7,8,9}&lt;G54),(D54/F54)^{0,1,2,3,4,5,6,7,8,9}/FACT({0,1,2,3,4,5,6,7,8,9}))+((D54/F54)^G54/FACT(G54)/(1-H54)))/(G54*F54-D54),"—")</f>
        <v>0.7011254179585</v>
      </c>
      <c r="K54" s="34" t="n">
        <f aca="false">IF(ISNUMBER(J54),(1+Assumptions!$B$18^2)/2*J54,"—")</f>
        <v>0.47676528421178</v>
      </c>
      <c r="L54" s="35" t="n">
        <f aca="false">'Sim Data'!$F$208</f>
        <v>0.4612</v>
      </c>
      <c r="M54" s="41" t="n">
        <f aca="false">'Sim Data'!$H$208</f>
        <v>8.4942</v>
      </c>
      <c r="N54" s="37" t="n">
        <f aca="false">D54*L54</f>
        <v>8.6475</v>
      </c>
      <c r="O54" s="34" t="n">
        <f aca="false">IF(MAX(M54,N54)&lt;0.5,"both ≈ 0",IF(N54=0,"no new arrivals",M54/N54))</f>
        <v>0.982272333044232</v>
      </c>
      <c r="P54" s="40" t="str">
        <f aca="false">IF(D54=0,"",IF(H54&gt;=1,"No steady state: line grows by ~"&amp;TEXT((D54-G54*F54)*10,"0")&amp;" in this slot",IF(ISNUMBER(O54),IF(ABS(O54-1)&lt;=0.2,"Little's Law holds (steady)",IF(O54&gt;1,"More waiting than λWq: queue left over from before","Fewer waiting than λWq: queue still building")),"Hardly any queue")))</f>
        <v>Little's Law holds (steady)</v>
      </c>
    </row>
    <row r="55" customFormat="false" ht="15" hidden="false" customHeight="false" outlineLevel="0" collapsed="false">
      <c r="A55" s="6" t="s">
        <v>267</v>
      </c>
      <c r="B55" s="6" t="s">
        <v>252</v>
      </c>
      <c r="C55" s="6" t="s">
        <v>133</v>
      </c>
      <c r="D55" s="35" t="n">
        <f aca="false">'Sim Data'!$E$209</f>
        <v>21.39</v>
      </c>
      <c r="E55" s="36" t="n">
        <f aca="false">'Sim Data'!$G$209</f>
        <v>0.0995</v>
      </c>
      <c r="F55" s="37" t="n">
        <f aca="false">IF(E55&gt;0,1/E55,Assumptions!$B$17)</f>
        <v>10.0502512562814</v>
      </c>
      <c r="G55" s="38" t="n">
        <f aca="false">Assumptions!$B$16</f>
        <v>2</v>
      </c>
      <c r="H55" s="39" t="n">
        <f aca="false">D55/(G55*F55)</f>
        <v>1.0641525</v>
      </c>
      <c r="I55" s="40" t="str">
        <f aca="false">IF(D55=0,"No arrivals",IF(H55&lt;0.85,"Stable",IF(H55&lt;1,"Stable, near capacity","UNSTABLE: queue grows")))</f>
        <v>UNSTABLE: queue grows</v>
      </c>
      <c r="J55" s="34" t="str">
        <f aca="false">IF(AND(D55&gt;0,H55&lt;1),((D55/F55)^G55/FACT(G55)/(1-H55))/(SUMPRODUCT(--({0,1,2,3,4,5,6,7,8,9}&lt;G55),(D55/F55)^{0,1,2,3,4,5,6,7,8,9}/FACT({0,1,2,3,4,5,6,7,8,9}))+((D55/F55)^G55/FACT(G55)/(1-H55)))/(G55*F55-D55),"—")</f>
        <v>—</v>
      </c>
      <c r="K55" s="34" t="str">
        <f aca="false">IF(ISNUMBER(J55),(1+Assumptions!$B$18^2)/2*J55,"—")</f>
        <v>—</v>
      </c>
      <c r="L55" s="35" t="n">
        <f aca="false">'Sim Data'!$F$209</f>
        <v>0.8933</v>
      </c>
      <c r="M55" s="41" t="n">
        <f aca="false">'Sim Data'!$H$209</f>
        <v>17.7635</v>
      </c>
      <c r="N55" s="37" t="n">
        <f aca="false">D55*L55</f>
        <v>19.107687</v>
      </c>
      <c r="O55" s="34" t="n">
        <f aca="false">IF(MAX(M55,N55)&lt;0.5,"both ≈ 0",IF(N55=0,"no new arrivals",M55/N55))</f>
        <v>0.929652029573229</v>
      </c>
      <c r="P55" s="40" t="str">
        <f aca="false">IF(D55=0,"",IF(H55&gt;=1,"No steady state: line grows by ~"&amp;TEXT((D55-G55*F55)*10,"0")&amp;" in this slot",IF(ISNUMBER(O55),IF(ABS(O55-1)&lt;=0.2,"Little's Law holds (steady)",IF(O55&gt;1,"More waiting than λWq: queue left over from before","Fewer waiting than λWq: queue still building")),"Hardly any queue")))</f>
        <v>No steady state: line grows by ~13 in this slot</v>
      </c>
    </row>
    <row r="56" customFormat="false" ht="15" hidden="false" customHeight="false" outlineLevel="0" collapsed="false">
      <c r="A56" s="6" t="s">
        <v>267</v>
      </c>
      <c r="B56" s="6" t="s">
        <v>252</v>
      </c>
      <c r="C56" s="6" t="s">
        <v>137</v>
      </c>
      <c r="D56" s="35" t="n">
        <f aca="false">'Sim Data'!$E$210</f>
        <v>18.58</v>
      </c>
      <c r="E56" s="36" t="n">
        <f aca="false">'Sim Data'!$G$210</f>
        <v>0.0983</v>
      </c>
      <c r="F56" s="37" t="n">
        <f aca="false">IF(E56&gt;0,1/E56,Assumptions!$B$17)</f>
        <v>10.1729399796541</v>
      </c>
      <c r="G56" s="38" t="n">
        <f aca="false">Assumptions!$B$16</f>
        <v>2</v>
      </c>
      <c r="H56" s="39" t="n">
        <f aca="false">D56/(G56*F56)</f>
        <v>0.913207</v>
      </c>
      <c r="I56" s="40" t="str">
        <f aca="false">IF(D56=0,"No arrivals",IF(H56&lt;0.85,"Stable",IF(H56&lt;1,"Stable, near capacity","UNSTABLE: queue grows")))</f>
        <v>Stable, near capacity</v>
      </c>
      <c r="J56" s="34" t="n">
        <f aca="false">IF(AND(D56&gt;0,H56&lt;1),((D56/F56)^G56/FACT(G56)/(1-H56))/(SUMPRODUCT(--({0,1,2,3,4,5,6,7,8,9}&lt;G56),(D56/F56)^{0,1,2,3,4,5,6,7,8,9}/FACT({0,1,2,3,4,5,6,7,8,9}))+((D56/F56)^G56/FACT(G56)/(1-H56)))/(G56*F56-D56),"—")</f>
        <v>0.493679757728586</v>
      </c>
      <c r="K56" s="34" t="n">
        <f aca="false">IF(ISNUMBER(J56),(1+Assumptions!$B$18^2)/2*J56,"—")</f>
        <v>0.335702235255438</v>
      </c>
      <c r="L56" s="35" t="n">
        <f aca="false">'Sim Data'!$F$210</f>
        <v>0.9321</v>
      </c>
      <c r="M56" s="41" t="n">
        <f aca="false">'Sim Data'!$H$210</f>
        <v>17.3205</v>
      </c>
      <c r="N56" s="37" t="n">
        <f aca="false">D56*L56</f>
        <v>17.318418</v>
      </c>
      <c r="O56" s="34" t="n">
        <f aca="false">IF(MAX(M56,N56)&lt;0.5,"both ≈ 0",IF(N56=0,"no new arrivals",M56/N56))</f>
        <v>1.00012021883292</v>
      </c>
      <c r="P56" s="40" t="str">
        <f aca="false">IF(D56=0,"",IF(H56&gt;=1,"No steady state: line grows by ~"&amp;TEXT((D56-G56*F56)*10,"0")&amp;" in this slot",IF(ISNUMBER(O56),IF(ABS(O56-1)&lt;=0.2,"Little's Law holds (steady)",IF(O56&gt;1,"More waiting than λWq: queue left over from before","Fewer waiting than λWq: queue still building")),"Hardly any queue")))</f>
        <v>Little's Law holds (steady)</v>
      </c>
    </row>
    <row r="57" customFormat="false" ht="15" hidden="false" customHeight="false" outlineLevel="0" collapsed="false">
      <c r="A57" s="6" t="s">
        <v>267</v>
      </c>
      <c r="B57" s="6" t="s">
        <v>252</v>
      </c>
      <c r="C57" s="6" t="s">
        <v>140</v>
      </c>
      <c r="D57" s="35" t="n">
        <f aca="false">'Sim Data'!$E$211</f>
        <v>15.69</v>
      </c>
      <c r="E57" s="36" t="n">
        <f aca="false">'Sim Data'!$G$211</f>
        <v>0.1</v>
      </c>
      <c r="F57" s="37" t="n">
        <f aca="false">IF(E57&gt;0,1/E57,Assumptions!$B$17)</f>
        <v>10</v>
      </c>
      <c r="G57" s="38" t="n">
        <f aca="false">Assumptions!$B$16</f>
        <v>2</v>
      </c>
      <c r="H57" s="39" t="n">
        <f aca="false">D57/(G57*F57)</f>
        <v>0.7845</v>
      </c>
      <c r="I57" s="40" t="str">
        <f aca="false">IF(D57=0,"No arrivals",IF(H57&lt;0.85,"Stable",IF(H57&lt;1,"Stable, near capacity","UNSTABLE: queue grows")))</f>
        <v>Stable</v>
      </c>
      <c r="J57" s="34" t="n">
        <f aca="false">IF(AND(D57&gt;0,H57&lt;1),((D57/F57)^G57/FACT(G57)/(1-H57))/(SUMPRODUCT(--({0,1,2,3,4,5,6,7,8,9}&lt;G57),(D57/F57)^{0,1,2,3,4,5,6,7,8,9}/FACT({0,1,2,3,4,5,6,7,8,9}))+((D57/F57)^G57/FACT(G57)/(1-H57)))/(G57*F57-D57),"—")</f>
        <v>0.160037614440929</v>
      </c>
      <c r="K57" s="34" t="n">
        <f aca="false">IF(ISNUMBER(J57),(1+Assumptions!$B$18^2)/2*J57,"—")</f>
        <v>0.108825577819832</v>
      </c>
      <c r="L57" s="35" t="n">
        <f aca="false">'Sim Data'!$F$211</f>
        <v>0.8283</v>
      </c>
      <c r="M57" s="41" t="n">
        <f aca="false">'Sim Data'!$H$211</f>
        <v>14.2327</v>
      </c>
      <c r="N57" s="37" t="n">
        <f aca="false">D57*L57</f>
        <v>12.996027</v>
      </c>
      <c r="O57" s="34" t="n">
        <f aca="false">IF(MAX(M57,N57)&lt;0.5,"both ≈ 0",IF(N57=0,"no new arrivals",M57/N57))</f>
        <v>1.09515777398739</v>
      </c>
      <c r="P57" s="40" t="str">
        <f aca="false">IF(D57=0,"",IF(H57&gt;=1,"No steady state: line grows by ~"&amp;TEXT((D57-G57*F57)*10,"0")&amp;" in this slot",IF(ISNUMBER(O57),IF(ABS(O57-1)&lt;=0.2,"Little's Law holds (steady)",IF(O57&gt;1,"More waiting than λWq: queue left over from before","Fewer waiting than λWq: queue still building")),"Hardly any queue")))</f>
        <v>Little's Law holds (steady)</v>
      </c>
    </row>
    <row r="58" customFormat="false" ht="15" hidden="false" customHeight="false" outlineLevel="0" collapsed="false">
      <c r="A58" s="6" t="s">
        <v>267</v>
      </c>
      <c r="B58" s="6" t="s">
        <v>252</v>
      </c>
      <c r="C58" s="6" t="s">
        <v>125</v>
      </c>
      <c r="D58" s="35" t="n">
        <f aca="false">'Sim Data'!$E$212</f>
        <v>20.905</v>
      </c>
      <c r="E58" s="36" t="n">
        <f aca="false">'Sim Data'!$G$212</f>
        <v>0.1005</v>
      </c>
      <c r="F58" s="37" t="n">
        <f aca="false">IF(E58&gt;0,1/E58,Assumptions!$B$17)</f>
        <v>9.95024875621891</v>
      </c>
      <c r="G58" s="38" t="n">
        <f aca="false">Assumptions!$B$16</f>
        <v>2</v>
      </c>
      <c r="H58" s="39" t="n">
        <f aca="false">D58/(G58*F58)</f>
        <v>1.05047625</v>
      </c>
      <c r="I58" s="40" t="str">
        <f aca="false">IF(D58=0,"No arrivals",IF(H58&lt;0.85,"Stable",IF(H58&lt;1,"Stable, near capacity","UNSTABLE: queue grows")))</f>
        <v>UNSTABLE: queue grows</v>
      </c>
      <c r="J58" s="34" t="str">
        <f aca="false">IF(AND(D58&gt;0,H58&lt;1),((D58/F58)^G58/FACT(G58)/(1-H58))/(SUMPRODUCT(--({0,1,2,3,4,5,6,7,8,9}&lt;G58),(D58/F58)^{0,1,2,3,4,5,6,7,8,9}/FACT({0,1,2,3,4,5,6,7,8,9}))+((D58/F58)^G58/FACT(G58)/(1-H58)))/(G58*F58-D58),"—")</f>
        <v>—</v>
      </c>
      <c r="K58" s="34" t="str">
        <f aca="false">IF(ISNUMBER(J58),(1+Assumptions!$B$18^2)/2*J58,"—")</f>
        <v>—</v>
      </c>
      <c r="L58" s="35" t="n">
        <f aca="false">'Sim Data'!$F$212</f>
        <v>0.6855</v>
      </c>
      <c r="M58" s="41" t="n">
        <f aca="false">'Sim Data'!$H$212</f>
        <v>12.3103</v>
      </c>
      <c r="N58" s="37" t="n">
        <f aca="false">D58*L58</f>
        <v>14.3303775</v>
      </c>
      <c r="O58" s="34" t="n">
        <f aca="false">IF(MAX(M58,N58)&lt;0.5,"both ≈ 0",IF(N58=0,"no new arrivals",M58/N58))</f>
        <v>0.859035290591612</v>
      </c>
      <c r="P58" s="40" t="str">
        <f aca="false">IF(D58=0,"",IF(H58&gt;=1,"No steady state: line grows by ~"&amp;TEXT((D58-G58*F58)*10,"0")&amp;" in this slot",IF(ISNUMBER(O58),IF(ABS(O58-1)&lt;=0.2,"Little's Law holds (steady)",IF(O58&gt;1,"More waiting than λWq: queue left over from before","Fewer waiting than λWq: queue still building")),"Hardly any queue")))</f>
        <v>No steady state: line grows by ~10 in this slot</v>
      </c>
    </row>
    <row r="59" customFormat="false" ht="15" hidden="false" customHeight="false" outlineLevel="0" collapsed="false">
      <c r="A59" s="6" t="s">
        <v>267</v>
      </c>
      <c r="B59" s="6" t="s">
        <v>252</v>
      </c>
      <c r="C59" s="6" t="s">
        <v>259</v>
      </c>
      <c r="D59" s="35" t="n">
        <f aca="false">'Sim Data'!$E$213</f>
        <v>21.4</v>
      </c>
      <c r="E59" s="36" t="n">
        <f aca="false">'Sim Data'!$G$213</f>
        <v>0.1003</v>
      </c>
      <c r="F59" s="37" t="n">
        <f aca="false">IF(E59&gt;0,1/E59,Assumptions!$B$17)</f>
        <v>9.97008973080758</v>
      </c>
      <c r="G59" s="38" t="n">
        <f aca="false">Assumptions!$B$16</f>
        <v>2</v>
      </c>
      <c r="H59" s="39" t="n">
        <f aca="false">D59/(G59*F59)</f>
        <v>1.07321</v>
      </c>
      <c r="I59" s="40" t="str">
        <f aca="false">IF(D59=0,"No arrivals",IF(H59&lt;0.85,"Stable",IF(H59&lt;1,"Stable, near capacity","UNSTABLE: queue grows")))</f>
        <v>UNSTABLE: queue grows</v>
      </c>
      <c r="J59" s="34" t="str">
        <f aca="false">IF(AND(D59&gt;0,H59&lt;1),((D59/F59)^G59/FACT(G59)/(1-H59))/(SUMPRODUCT(--({0,1,2,3,4,5,6,7,8,9}&lt;G59),(D59/F59)^{0,1,2,3,4,5,6,7,8,9}/FACT({0,1,2,3,4,5,6,7,8,9}))+((D59/F59)^G59/FACT(G59)/(1-H59)))/(G59*F59-D59),"—")</f>
        <v>—</v>
      </c>
      <c r="K59" s="34" t="str">
        <f aca="false">IF(ISNUMBER(J59),(1+Assumptions!$B$18^2)/2*J59,"—")</f>
        <v>—</v>
      </c>
      <c r="L59" s="35" t="n">
        <f aca="false">'Sim Data'!$F$213</f>
        <v>1.9101</v>
      </c>
      <c r="M59" s="41" t="n">
        <f aca="false">'Sim Data'!$H$213</f>
        <v>37.9195</v>
      </c>
      <c r="N59" s="37" t="n">
        <f aca="false">D59*L59</f>
        <v>40.87614</v>
      </c>
      <c r="O59" s="34" t="n">
        <f aca="false">IF(MAX(M59,N59)&lt;0.5,"both ≈ 0",IF(N59=0,"no new arrivals",M59/N59))</f>
        <v>0.927668317018192</v>
      </c>
      <c r="P59" s="40" t="str">
        <f aca="false">IF(D59=0,"",IF(H59&gt;=1,"No steady state: line grows by ~"&amp;TEXT((D59-G59*F59)*10,"0")&amp;" in this slot",IF(ISNUMBER(O59),IF(ABS(O59-1)&lt;=0.2,"Little's Law holds (steady)",IF(O59&gt;1,"More waiting than λWq: queue left over from before","Fewer waiting than λWq: queue still building")),"Hardly any queue")))</f>
        <v>No steady state: line grows by ~15 in this slot</v>
      </c>
    </row>
    <row r="60" customFormat="false" ht="15" hidden="false" customHeight="false" outlineLevel="0" collapsed="false">
      <c r="A60" s="6" t="s">
        <v>267</v>
      </c>
      <c r="B60" s="6" t="s">
        <v>252</v>
      </c>
      <c r="C60" s="6" t="s">
        <v>260</v>
      </c>
      <c r="D60" s="35" t="n">
        <f aca="false">'Sim Data'!$E$214</f>
        <v>19.88</v>
      </c>
      <c r="E60" s="36" t="n">
        <f aca="false">'Sim Data'!$G$214</f>
        <v>0.1013</v>
      </c>
      <c r="F60" s="37" t="n">
        <f aca="false">IF(E60&gt;0,1/E60,Assumptions!$B$17)</f>
        <v>9.87166831194472</v>
      </c>
      <c r="G60" s="38" t="n">
        <f aca="false">Assumptions!$B$16</f>
        <v>2</v>
      </c>
      <c r="H60" s="39" t="n">
        <f aca="false">D60/(G60*F60)</f>
        <v>1.006922</v>
      </c>
      <c r="I60" s="40" t="str">
        <f aca="false">IF(D60=0,"No arrivals",IF(H60&lt;0.85,"Stable",IF(H60&lt;1,"Stable, near capacity","UNSTABLE: queue grows")))</f>
        <v>UNSTABLE: queue grows</v>
      </c>
      <c r="J60" s="34" t="str">
        <f aca="false">IF(AND(D60&gt;0,H60&lt;1),((D60/F60)^G60/FACT(G60)/(1-H60))/(SUMPRODUCT(--({0,1,2,3,4,5,6,7,8,9}&lt;G60),(D60/F60)^{0,1,2,3,4,5,6,7,8,9}/FACT({0,1,2,3,4,5,6,7,8,9}))+((D60/F60)^G60/FACT(G60)/(1-H60)))/(G60*F60-D60),"—")</f>
        <v>—</v>
      </c>
      <c r="K60" s="34" t="str">
        <f aca="false">IF(ISNUMBER(J60),(1+Assumptions!$B$18^2)/2*J60,"—")</f>
        <v>—</v>
      </c>
      <c r="L60" s="35" t="n">
        <f aca="false">'Sim Data'!$F$214</f>
        <v>2.3242</v>
      </c>
      <c r="M60" s="41" t="n">
        <f aca="false">'Sim Data'!$H$214</f>
        <v>45.8144</v>
      </c>
      <c r="N60" s="37" t="n">
        <f aca="false">D60*L60</f>
        <v>46.205096</v>
      </c>
      <c r="O60" s="34" t="n">
        <f aca="false">IF(MAX(M60,N60)&lt;0.5,"both ≈ 0",IF(N60=0,"no new arrivals",M60/N60))</f>
        <v>0.991544309311683</v>
      </c>
      <c r="P60" s="40" t="str">
        <f aca="false">IF(D60=0,"",IF(H60&gt;=1,"No steady state: line grows by ~"&amp;TEXT((D60-G60*F60)*10,"0")&amp;" in this slot",IF(ISNUMBER(O60),IF(ABS(O60-1)&lt;=0.2,"Little's Law holds (steady)",IF(O60&gt;1,"More waiting than λWq: queue left over from before","Fewer waiting than λWq: queue still building")),"Hardly any queue")))</f>
        <v>No steady state: line grows by ~1 in this slot</v>
      </c>
    </row>
    <row r="61" customFormat="false" ht="15" hidden="false" customHeight="false" outlineLevel="0" collapsed="false">
      <c r="A61" s="6" t="s">
        <v>267</v>
      </c>
      <c r="B61" s="6" t="s">
        <v>252</v>
      </c>
      <c r="C61" s="6" t="s">
        <v>134</v>
      </c>
      <c r="D61" s="35" t="n">
        <f aca="false">'Sim Data'!$E$215</f>
        <v>17.455</v>
      </c>
      <c r="E61" s="36" t="n">
        <f aca="false">'Sim Data'!$G$215</f>
        <v>0.1012</v>
      </c>
      <c r="F61" s="37" t="n">
        <f aca="false">IF(E61&gt;0,1/E61,Assumptions!$B$17)</f>
        <v>9.88142292490119</v>
      </c>
      <c r="G61" s="38" t="n">
        <f aca="false">Assumptions!$B$16</f>
        <v>2</v>
      </c>
      <c r="H61" s="39" t="n">
        <f aca="false">D61/(G61*F61)</f>
        <v>0.883223</v>
      </c>
      <c r="I61" s="40" t="str">
        <f aca="false">IF(D61=0,"No arrivals",IF(H61&lt;0.85,"Stable",IF(H61&lt;1,"Stable, near capacity","UNSTABLE: queue grows")))</f>
        <v>Stable, near capacity</v>
      </c>
      <c r="J61" s="34" t="n">
        <f aca="false">IF(AND(D61&gt;0,H61&lt;1),((D61/F61)^G61/FACT(G61)/(1-H61))/(SUMPRODUCT(--({0,1,2,3,4,5,6,7,8,9}&lt;G61),(D61/F61)^{0,1,2,3,4,5,6,7,8,9}/FACT({0,1,2,3,4,5,6,7,8,9}))+((D61/F61)^G61/FACT(G61)/(1-H61)))/(G61*F61-D61),"—")</f>
        <v>0.358973334177953</v>
      </c>
      <c r="K61" s="34" t="n">
        <f aca="false">IF(ISNUMBER(J61),(1+Assumptions!$B$18^2)/2*J61,"—")</f>
        <v>0.244101867241008</v>
      </c>
      <c r="L61" s="35" t="n">
        <f aca="false">'Sim Data'!$F$215</f>
        <v>2.1082</v>
      </c>
      <c r="M61" s="41" t="n">
        <f aca="false">'Sim Data'!$H$215</f>
        <v>35.8651</v>
      </c>
      <c r="N61" s="37" t="n">
        <f aca="false">D61*L61</f>
        <v>36.798631</v>
      </c>
      <c r="O61" s="34" t="n">
        <f aca="false">IF(MAX(M61,N61)&lt;0.5,"both ≈ 0",IF(N61=0,"no new arrivals",M61/N61))</f>
        <v>0.974631366041851</v>
      </c>
      <c r="P61" s="40" t="str">
        <f aca="false">IF(D61=0,"",IF(H61&gt;=1,"No steady state: line grows by ~"&amp;TEXT((D61-G61*F61)*10,"0")&amp;" in this slot",IF(ISNUMBER(O61),IF(ABS(O61-1)&lt;=0.2,"Little's Law holds (steady)",IF(O61&gt;1,"More waiting than λWq: queue left over from before","Fewer waiting than λWq: queue still building")),"Hardly any queue")))</f>
        <v>Little's Law holds (steady)</v>
      </c>
    </row>
    <row r="62" customFormat="false" ht="15" hidden="false" customHeight="false" outlineLevel="0" collapsed="false">
      <c r="A62" s="6" t="s">
        <v>267</v>
      </c>
      <c r="B62" s="6" t="s">
        <v>252</v>
      </c>
      <c r="C62" s="6" t="s">
        <v>138</v>
      </c>
      <c r="D62" s="35" t="n">
        <f aca="false">'Sim Data'!$E$216</f>
        <v>13.3</v>
      </c>
      <c r="E62" s="36" t="n">
        <f aca="false">'Sim Data'!$G$216</f>
        <v>0.1005</v>
      </c>
      <c r="F62" s="37" t="n">
        <f aca="false">IF(E62&gt;0,1/E62,Assumptions!$B$17)</f>
        <v>9.95024875621891</v>
      </c>
      <c r="G62" s="38" t="n">
        <f aca="false">Assumptions!$B$16</f>
        <v>2</v>
      </c>
      <c r="H62" s="39" t="n">
        <f aca="false">D62/(G62*F62)</f>
        <v>0.668325</v>
      </c>
      <c r="I62" s="40" t="str">
        <f aca="false">IF(D62=0,"No arrivals",IF(H62&lt;0.85,"Stable",IF(H62&lt;1,"Stable, near capacity","UNSTABLE: queue grows")))</f>
        <v>Stable</v>
      </c>
      <c r="J62" s="34" t="n">
        <f aca="false">IF(AND(D62&gt;0,H62&lt;1),((D62/F62)^G62/FACT(G62)/(1-H62))/(SUMPRODUCT(--({0,1,2,3,4,5,6,7,8,9}&lt;G62),(D62/F62)^{0,1,2,3,4,5,6,7,8,9}/FACT({0,1,2,3,4,5,6,7,8,9}))+((D62/F62)^G62/FACT(G62)/(1-H62)))/(G62*F62-D62),"—")</f>
        <v>0.0811237616316169</v>
      </c>
      <c r="K62" s="34" t="n">
        <f aca="false">IF(ISNUMBER(J62),(1+Assumptions!$B$18^2)/2*J62,"—")</f>
        <v>0.0551641579094995</v>
      </c>
      <c r="L62" s="35" t="n">
        <f aca="false">'Sim Data'!$F$216</f>
        <v>1.6574</v>
      </c>
      <c r="M62" s="41" t="n">
        <f aca="false">'Sim Data'!$H$216</f>
        <v>27.4047</v>
      </c>
      <c r="N62" s="37" t="n">
        <f aca="false">D62*L62</f>
        <v>22.04342</v>
      </c>
      <c r="O62" s="34" t="n">
        <f aca="false">IF(MAX(M62,N62)&lt;0.5,"both ≈ 0",IF(N62=0,"no new arrivals",M62/N62))</f>
        <v>1.2432145284171</v>
      </c>
      <c r="P62" s="40" t="str">
        <f aca="false">IF(D62=0,"",IF(H62&gt;=1,"No steady state: line grows by ~"&amp;TEXT((D62-G62*F62)*10,"0")&amp;" in this slot",IF(ISNUMBER(O62),IF(ABS(O62-1)&lt;=0.2,"Little's Law holds (steady)",IF(O62&gt;1,"More waiting than λWq: queue left over from before","Fewer waiting than λWq: queue still building")),"Hardly any queue")))</f>
        <v>More waiting than λWq: queue left over from before</v>
      </c>
    </row>
    <row r="63" customFormat="false" ht="15" hidden="false" customHeight="false" outlineLevel="0" collapsed="false">
      <c r="A63" s="6" t="s">
        <v>267</v>
      </c>
      <c r="B63" s="6" t="s">
        <v>252</v>
      </c>
      <c r="C63" s="6" t="s">
        <v>141</v>
      </c>
      <c r="D63" s="35" t="n">
        <f aca="false">'Sim Data'!$E$217</f>
        <v>7.435</v>
      </c>
      <c r="E63" s="36" t="n">
        <f aca="false">'Sim Data'!$G$217</f>
        <v>0.1012</v>
      </c>
      <c r="F63" s="37" t="n">
        <f aca="false">IF(E63&gt;0,1/E63,Assumptions!$B$17)</f>
        <v>9.88142292490119</v>
      </c>
      <c r="G63" s="38" t="n">
        <f aca="false">Assumptions!$B$16</f>
        <v>2</v>
      </c>
      <c r="H63" s="39" t="n">
        <f aca="false">D63/(G63*F63)</f>
        <v>0.376211</v>
      </c>
      <c r="I63" s="40" t="str">
        <f aca="false">IF(D63=0,"No arrivals",IF(H63&lt;0.85,"Stable",IF(H63&lt;1,"Stable, near capacity","UNSTABLE: queue grows")))</f>
        <v>Stable</v>
      </c>
      <c r="J63" s="34" t="n">
        <f aca="false">IF(AND(D63&gt;0,H63&lt;1),((D63/F63)^G63/FACT(G63)/(1-H63))/(SUMPRODUCT(--({0,1,2,3,4,5,6,7,8,9}&lt;G63),(D63/F63)^{0,1,2,3,4,5,6,7,8,9}/FACT({0,1,2,3,4,5,6,7,8,9}))+((D63/F63)^G63/FACT(G63)/(1-H63)))/(G63*F63-D63),"—")</f>
        <v>0.0166847903899839</v>
      </c>
      <c r="K63" s="34" t="n">
        <f aca="false">IF(ISNUMBER(J63),(1+Assumptions!$B$18^2)/2*J63,"—")</f>
        <v>0.011345657465189</v>
      </c>
      <c r="L63" s="35" t="n">
        <f aca="false">'Sim Data'!$F$217</f>
        <v>0.193</v>
      </c>
      <c r="M63" s="41" t="n">
        <f aca="false">'Sim Data'!$H$217</f>
        <v>2.8111</v>
      </c>
      <c r="N63" s="37" t="n">
        <f aca="false">D63*L63</f>
        <v>1.434955</v>
      </c>
      <c r="O63" s="34" t="n">
        <f aca="false">IF(MAX(M63,N63)&lt;0.5,"both ≈ 0",IF(N63=0,"no new arrivals",M63/N63))</f>
        <v>1.95901613639452</v>
      </c>
      <c r="P63" s="40" t="str">
        <f aca="false">IF(D63=0,"",IF(H63&gt;=1,"No steady state: line grows by ~"&amp;TEXT((D63-G63*F63)*10,"0")&amp;" in this slot",IF(ISNUMBER(O63),IF(ABS(O63-1)&lt;=0.2,"Little's Law holds (steady)",IF(O63&gt;1,"More waiting than λWq: queue left over from before","Fewer waiting than λWq: queue still building")),"Hardly any queue")))</f>
        <v>More waiting than λWq: queue left over from before</v>
      </c>
    </row>
    <row r="64" customFormat="false" ht="15" hidden="false" customHeight="false" outlineLevel="0" collapsed="false">
      <c r="A64" s="6" t="s">
        <v>267</v>
      </c>
      <c r="B64" s="6" t="s">
        <v>252</v>
      </c>
      <c r="C64" s="6" t="s">
        <v>128</v>
      </c>
      <c r="D64" s="35" t="n">
        <f aca="false">'Sim Data'!$E$218</f>
        <v>0.2</v>
      </c>
      <c r="E64" s="36" t="n">
        <f aca="false">'Sim Data'!$G$218</f>
        <v>0.0802</v>
      </c>
      <c r="F64" s="37" t="n">
        <f aca="false">IF(E64&gt;0,1/E64,Assumptions!$B$17)</f>
        <v>12.4688279301746</v>
      </c>
      <c r="G64" s="38" t="n">
        <f aca="false">Assumptions!$B$16</f>
        <v>2</v>
      </c>
      <c r="H64" s="39" t="n">
        <f aca="false">D64/(G64*F64)</f>
        <v>0.00802</v>
      </c>
      <c r="I64" s="40" t="str">
        <f aca="false">IF(D64=0,"No arrivals",IF(H64&lt;0.85,"Stable",IF(H64&lt;1,"Stable, near capacity","UNSTABLE: queue grows")))</f>
        <v>Stable</v>
      </c>
      <c r="J64" s="34" t="n">
        <f aca="false">IF(AND(D64&gt;0,H64&lt;1),((D64/F64)^G64/FACT(G64)/(1-H64))/(SUMPRODUCT(--({0,1,2,3,4,5,6,7,8,9}&lt;G64),(D64/F64)^{0,1,2,3,4,5,6,7,8,9}/FACT({0,1,2,3,4,5,6,7,8,9}))+((D64/F64)^G64/FACT(G64)/(1-H64)))/(G64*F64-D64),"—")</f>
        <v>5.15882789787392E-006</v>
      </c>
      <c r="K64" s="34" t="n">
        <f aca="false">IF(ISNUMBER(J64),(1+Assumptions!$B$18^2)/2*J64,"—")</f>
        <v>3.50800297055427E-006</v>
      </c>
      <c r="L64" s="35" t="n">
        <f aca="false">'Sim Data'!$F$218</f>
        <v>0.005</v>
      </c>
      <c r="M64" s="41" t="n">
        <f aca="false">'Sim Data'!$H$218</f>
        <v>0.001</v>
      </c>
      <c r="N64" s="37" t="n">
        <f aca="false">D64*L64</f>
        <v>0.001</v>
      </c>
      <c r="O64" s="34" t="str">
        <f aca="false">IF(MAX(M64,N64)&lt;0.5,"both ≈ 0",IF(N64=0,"no new arrivals",M64/N64))</f>
        <v>both ≈ 0</v>
      </c>
      <c r="P64" s="40" t="str">
        <f aca="false">IF(D64=0,"",IF(H64&gt;=1,"No steady state: line grows by ~"&amp;TEXT((D64-G64*F64)*10,"0")&amp;" in this slot",IF(ISNUMBER(O64),IF(ABS(O64-1)&lt;=0.2,"Little's Law holds (steady)",IF(O64&gt;1,"More waiting than λWq: queue left over from before","Fewer waiting than λWq: queue still building")),"Hardly any queue")))</f>
        <v>Hardly any queue</v>
      </c>
    </row>
    <row r="65" customFormat="false" ht="15" hidden="false" customHeight="false" outlineLevel="0" collapsed="false">
      <c r="A65" s="6" t="s">
        <v>267</v>
      </c>
      <c r="B65" s="6" t="s">
        <v>252</v>
      </c>
      <c r="C65" s="6" t="s">
        <v>261</v>
      </c>
      <c r="D65" s="35" t="n">
        <f aca="false">'Sim Data'!$E$219</f>
        <v>0</v>
      </c>
      <c r="E65" s="36" t="n">
        <f aca="false">'Sim Data'!$G$219</f>
        <v>0</v>
      </c>
      <c r="F65" s="37" t="n">
        <f aca="false">IF(E65&gt;0,1/E65,Assumptions!$B$17)</f>
        <v>10</v>
      </c>
      <c r="G65" s="38" t="n">
        <f aca="false">Assumptions!$B$16</f>
        <v>2</v>
      </c>
      <c r="H65" s="39" t="n">
        <f aca="false">D65/(G65*F65)</f>
        <v>0</v>
      </c>
      <c r="I65" s="40" t="str">
        <f aca="false">IF(D65=0,"No arrivals",IF(H65&lt;0.85,"Stable",IF(H65&lt;1,"Stable, near capacity","UNSTABLE: queue grows")))</f>
        <v>No arrivals</v>
      </c>
      <c r="J65" s="34" t="str">
        <f aca="false">IF(AND(D65&gt;0,H65&lt;1),((D65/F65)^G65/FACT(G65)/(1-H65))/(SUMPRODUCT(--({0,1,2,3,4,5,6,7,8,9}&lt;G65),(D65/F65)^{0,1,2,3,4,5,6,7,8,9}/FACT({0,1,2,3,4,5,6,7,8,9}))+((D65/F65)^G65/FACT(G65)/(1-H65)))/(G65*F65-D65),"—")</f>
        <v>—</v>
      </c>
      <c r="K65" s="34" t="str">
        <f aca="false">IF(ISNUMBER(J65),(1+Assumptions!$B$18^2)/2*J65,"—")</f>
        <v>—</v>
      </c>
      <c r="L65" s="35" t="n">
        <f aca="false">'Sim Data'!$F$219</f>
        <v>0</v>
      </c>
      <c r="M65" s="41" t="n">
        <f aca="false">'Sim Data'!$H$219</f>
        <v>0</v>
      </c>
      <c r="N65" s="37" t="n">
        <f aca="false">D65*L65</f>
        <v>0</v>
      </c>
      <c r="O65" s="34" t="str">
        <f aca="false">IF(MAX(M65,N65)&lt;0.5,"both ≈ 0",IF(N65=0,"no new arrivals",M65/N65))</f>
        <v>both ≈ 0</v>
      </c>
      <c r="P65" s="40" t="str">
        <f aca="false">IF(D65=0,"",IF(H65&gt;=1,"No steady state: line grows by ~"&amp;TEXT((D65-G65*F65)*10,"0")&amp;" in this slot",IF(ISNUMBER(O65),IF(ABS(O65-1)&lt;=0.2,"Little's Law holds (steady)",IF(O65&gt;1,"More waiting than λWq: queue left over from before","Fewer waiting than λWq: queue still building")),"Hardly any queue")))</f>
        <v/>
      </c>
    </row>
    <row r="66" customFormat="false" ht="15" hidden="false" customHeight="false" outlineLevel="0" collapsed="false">
      <c r="A66" s="6" t="s">
        <v>267</v>
      </c>
      <c r="B66" s="6" t="s">
        <v>252</v>
      </c>
      <c r="C66" s="6" t="s">
        <v>262</v>
      </c>
      <c r="D66" s="35" t="n">
        <f aca="false">'Sim Data'!$E$220</f>
        <v>0</v>
      </c>
      <c r="E66" s="36" t="n">
        <f aca="false">'Sim Data'!$G$220</f>
        <v>0</v>
      </c>
      <c r="F66" s="37" t="n">
        <f aca="false">IF(E66&gt;0,1/E66,Assumptions!$B$17)</f>
        <v>10</v>
      </c>
      <c r="G66" s="38" t="n">
        <f aca="false">Assumptions!$B$16</f>
        <v>2</v>
      </c>
      <c r="H66" s="39" t="n">
        <f aca="false">D66/(G66*F66)</f>
        <v>0</v>
      </c>
      <c r="I66" s="40" t="str">
        <f aca="false">IF(D66=0,"No arrivals",IF(H66&lt;0.85,"Stable",IF(H66&lt;1,"Stable, near capacity","UNSTABLE: queue grows")))</f>
        <v>No arrivals</v>
      </c>
      <c r="J66" s="34" t="str">
        <f aca="false">IF(AND(D66&gt;0,H66&lt;1),((D66/F66)^G66/FACT(G66)/(1-H66))/(SUMPRODUCT(--({0,1,2,3,4,5,6,7,8,9}&lt;G66),(D66/F66)^{0,1,2,3,4,5,6,7,8,9}/FACT({0,1,2,3,4,5,6,7,8,9}))+((D66/F66)^G66/FACT(G66)/(1-H66)))/(G66*F66-D66),"—")</f>
        <v>—</v>
      </c>
      <c r="K66" s="34" t="str">
        <f aca="false">IF(ISNUMBER(J66),(1+Assumptions!$B$18^2)/2*J66,"—")</f>
        <v>—</v>
      </c>
      <c r="L66" s="35" t="n">
        <f aca="false">'Sim Data'!$F$220</f>
        <v>0</v>
      </c>
      <c r="M66" s="41" t="n">
        <f aca="false">'Sim Data'!$H$220</f>
        <v>0</v>
      </c>
      <c r="N66" s="37" t="n">
        <f aca="false">D66*L66</f>
        <v>0</v>
      </c>
      <c r="O66" s="34" t="str">
        <f aca="false">IF(MAX(M66,N66)&lt;0.5,"both ≈ 0",IF(N66=0,"no new arrivals",M66/N66))</f>
        <v>both ≈ 0</v>
      </c>
      <c r="P66" s="40" t="str">
        <f aca="false">IF(D66=0,"",IF(H66&gt;=1,"No steady state: line grows by ~"&amp;TEXT((D66-G66*F66)*10,"0")&amp;" in this slot",IF(ISNUMBER(O66),IF(ABS(O66-1)&lt;=0.2,"Little's Law holds (steady)",IF(O66&gt;1,"More waiting than λWq: queue left over from before","Fewer waiting than λWq: queue still building")),"Hardly any queue")))</f>
        <v/>
      </c>
    </row>
    <row r="67" customFormat="false" ht="15" hidden="false" customHeight="false" outlineLevel="0" collapsed="false">
      <c r="A67" s="6" t="s">
        <v>267</v>
      </c>
      <c r="B67" s="6" t="s">
        <v>266</v>
      </c>
      <c r="C67" s="6" t="s">
        <v>254</v>
      </c>
      <c r="D67" s="35" t="n">
        <f aca="false">'Sim Data'!$E$293</f>
        <v>0</v>
      </c>
      <c r="E67" s="36" t="n">
        <f aca="false">'Sim Data'!$G$293</f>
        <v>0</v>
      </c>
      <c r="F67" s="37" t="n">
        <f aca="false">IF(E67&gt;0,1/E67,Assumptions!$B$17)</f>
        <v>10</v>
      </c>
      <c r="G67" s="38" t="n">
        <f aca="false">Assumptions!$B$16</f>
        <v>2</v>
      </c>
      <c r="H67" s="39" t="n">
        <f aca="false">D67/(G67*F67)</f>
        <v>0</v>
      </c>
      <c r="I67" s="40" t="str">
        <f aca="false">IF(D67=0,"No arrivals",IF(H67&lt;0.85,"Stable",IF(H67&lt;1,"Stable, near capacity","UNSTABLE: queue grows")))</f>
        <v>No arrivals</v>
      </c>
      <c r="J67" s="34" t="str">
        <f aca="false">IF(AND(D67&gt;0,H67&lt;1),((D67/F67)^G67/FACT(G67)/(1-H67))/(SUMPRODUCT(--({0,1,2,3,4,5,6,7,8,9}&lt;G67),(D67/F67)^{0,1,2,3,4,5,6,7,8,9}/FACT({0,1,2,3,4,5,6,7,8,9}))+((D67/F67)^G67/FACT(G67)/(1-H67)))/(G67*F67-D67),"—")</f>
        <v>—</v>
      </c>
      <c r="K67" s="34" t="str">
        <f aca="false">IF(ISNUMBER(J67),(1+Assumptions!$B$18^2)/2*J67,"—")</f>
        <v>—</v>
      </c>
      <c r="L67" s="35" t="n">
        <f aca="false">'Sim Data'!$F$293</f>
        <v>0</v>
      </c>
      <c r="M67" s="41" t="n">
        <f aca="false">'Sim Data'!$H$293</f>
        <v>0</v>
      </c>
      <c r="N67" s="37" t="n">
        <f aca="false">D67*L67</f>
        <v>0</v>
      </c>
      <c r="O67" s="34" t="str">
        <f aca="false">IF(MAX(M67,N67)&lt;0.5,"both ≈ 0",IF(N67=0,"no new arrivals",M67/N67))</f>
        <v>both ≈ 0</v>
      </c>
      <c r="P67" s="40" t="str">
        <f aca="false">IF(D67=0,"",IF(H67&gt;=1,"No steady state: line grows by ~"&amp;TEXT((D67-G67*F67)*10,"0")&amp;" in this slot",IF(ISNUMBER(O67),IF(ABS(O67-1)&lt;=0.2,"Little's Law holds (steady)",IF(O67&gt;1,"More waiting than λWq: queue left over from before","Fewer waiting than λWq: queue still building")),"Hardly any queue")))</f>
        <v/>
      </c>
    </row>
    <row r="68" customFormat="false" ht="15" hidden="false" customHeight="false" outlineLevel="0" collapsed="false">
      <c r="A68" s="6" t="s">
        <v>267</v>
      </c>
      <c r="B68" s="6" t="s">
        <v>266</v>
      </c>
      <c r="C68" s="6" t="s">
        <v>255</v>
      </c>
      <c r="D68" s="35" t="n">
        <f aca="false">'Sim Data'!$E$294</f>
        <v>0</v>
      </c>
      <c r="E68" s="36" t="n">
        <f aca="false">'Sim Data'!$G$294</f>
        <v>0</v>
      </c>
      <c r="F68" s="37" t="n">
        <f aca="false">IF(E68&gt;0,1/E68,Assumptions!$B$17)</f>
        <v>10</v>
      </c>
      <c r="G68" s="38" t="n">
        <f aca="false">Assumptions!$B$16</f>
        <v>2</v>
      </c>
      <c r="H68" s="39" t="n">
        <f aca="false">D68/(G68*F68)</f>
        <v>0</v>
      </c>
      <c r="I68" s="40" t="str">
        <f aca="false">IF(D68=0,"No arrivals",IF(H68&lt;0.85,"Stable",IF(H68&lt;1,"Stable, near capacity","UNSTABLE: queue grows")))</f>
        <v>No arrivals</v>
      </c>
      <c r="J68" s="34" t="str">
        <f aca="false">IF(AND(D68&gt;0,H68&lt;1),((D68/F68)^G68/FACT(G68)/(1-H68))/(SUMPRODUCT(--({0,1,2,3,4,5,6,7,8,9}&lt;G68),(D68/F68)^{0,1,2,3,4,5,6,7,8,9}/FACT({0,1,2,3,4,5,6,7,8,9}))+((D68/F68)^G68/FACT(G68)/(1-H68)))/(G68*F68-D68),"—")</f>
        <v>—</v>
      </c>
      <c r="K68" s="34" t="str">
        <f aca="false">IF(ISNUMBER(J68),(1+Assumptions!$B$18^2)/2*J68,"—")</f>
        <v>—</v>
      </c>
      <c r="L68" s="35" t="n">
        <f aca="false">'Sim Data'!$F$294</f>
        <v>0</v>
      </c>
      <c r="M68" s="41" t="n">
        <f aca="false">'Sim Data'!$H$294</f>
        <v>0</v>
      </c>
      <c r="N68" s="37" t="n">
        <f aca="false">D68*L68</f>
        <v>0</v>
      </c>
      <c r="O68" s="34" t="str">
        <f aca="false">IF(MAX(M68,N68)&lt;0.5,"both ≈ 0",IF(N68=0,"no new arrivals",M68/N68))</f>
        <v>both ≈ 0</v>
      </c>
      <c r="P68" s="40" t="str">
        <f aca="false">IF(D68=0,"",IF(H68&gt;=1,"No steady state: line grows by ~"&amp;TEXT((D68-G68*F68)*10,"0")&amp;" in this slot",IF(ISNUMBER(O68),IF(ABS(O68-1)&lt;=0.2,"Little's Law holds (steady)",IF(O68&gt;1,"More waiting than λWq: queue left over from before","Fewer waiting than λWq: queue still building")),"Hardly any queue")))</f>
        <v/>
      </c>
    </row>
    <row r="69" customFormat="false" ht="15" hidden="false" customHeight="false" outlineLevel="0" collapsed="false">
      <c r="A69" s="6" t="s">
        <v>267</v>
      </c>
      <c r="B69" s="6" t="s">
        <v>266</v>
      </c>
      <c r="C69" s="6" t="s">
        <v>256</v>
      </c>
      <c r="D69" s="35" t="n">
        <f aca="false">'Sim Data'!$E$295</f>
        <v>0</v>
      </c>
      <c r="E69" s="36" t="n">
        <f aca="false">'Sim Data'!$G$295</f>
        <v>0</v>
      </c>
      <c r="F69" s="37" t="n">
        <f aca="false">IF(E69&gt;0,1/E69,Assumptions!$B$17)</f>
        <v>10</v>
      </c>
      <c r="G69" s="38" t="n">
        <f aca="false">Assumptions!$B$16</f>
        <v>2</v>
      </c>
      <c r="H69" s="39" t="n">
        <f aca="false">D69/(G69*F69)</f>
        <v>0</v>
      </c>
      <c r="I69" s="40" t="str">
        <f aca="false">IF(D69=0,"No arrivals",IF(H69&lt;0.85,"Stable",IF(H69&lt;1,"Stable, near capacity","UNSTABLE: queue grows")))</f>
        <v>No arrivals</v>
      </c>
      <c r="J69" s="34" t="str">
        <f aca="false">IF(AND(D69&gt;0,H69&lt;1),((D69/F69)^G69/FACT(G69)/(1-H69))/(SUMPRODUCT(--({0,1,2,3,4,5,6,7,8,9}&lt;G69),(D69/F69)^{0,1,2,3,4,5,6,7,8,9}/FACT({0,1,2,3,4,5,6,7,8,9}))+((D69/F69)^G69/FACT(G69)/(1-H69)))/(G69*F69-D69),"—")</f>
        <v>—</v>
      </c>
      <c r="K69" s="34" t="str">
        <f aca="false">IF(ISNUMBER(J69),(1+Assumptions!$B$18^2)/2*J69,"—")</f>
        <v>—</v>
      </c>
      <c r="L69" s="35" t="n">
        <f aca="false">'Sim Data'!$F$295</f>
        <v>0</v>
      </c>
      <c r="M69" s="41" t="n">
        <f aca="false">'Sim Data'!$H$295</f>
        <v>0</v>
      </c>
      <c r="N69" s="37" t="n">
        <f aca="false">D69*L69</f>
        <v>0</v>
      </c>
      <c r="O69" s="34" t="str">
        <f aca="false">IF(MAX(M69,N69)&lt;0.5,"both ≈ 0",IF(N69=0,"no new arrivals",M69/N69))</f>
        <v>both ≈ 0</v>
      </c>
      <c r="P69" s="40" t="str">
        <f aca="false">IF(D69=0,"",IF(H69&gt;=1,"No steady state: line grows by ~"&amp;TEXT((D69-G69*F69)*10,"0")&amp;" in this slot",IF(ISNUMBER(O69),IF(ABS(O69-1)&lt;=0.2,"Little's Law holds (steady)",IF(O69&gt;1,"More waiting than λWq: queue left over from before","Fewer waiting than λWq: queue still building")),"Hardly any queue")))</f>
        <v/>
      </c>
    </row>
    <row r="70" customFormat="false" ht="15" hidden="false" customHeight="false" outlineLevel="0" collapsed="false">
      <c r="A70" s="6" t="s">
        <v>267</v>
      </c>
      <c r="B70" s="6" t="s">
        <v>266</v>
      </c>
      <c r="C70" s="6" t="s">
        <v>124</v>
      </c>
      <c r="D70" s="35" t="n">
        <f aca="false">'Sim Data'!$E$296</f>
        <v>3.705</v>
      </c>
      <c r="E70" s="36" t="n">
        <f aca="false">'Sim Data'!$G$296</f>
        <v>0.097</v>
      </c>
      <c r="F70" s="37" t="n">
        <f aca="false">IF(E70&gt;0,1/E70,Assumptions!$B$17)</f>
        <v>10.3092783505155</v>
      </c>
      <c r="G70" s="38" t="n">
        <f aca="false">Assumptions!$B$16</f>
        <v>2</v>
      </c>
      <c r="H70" s="39" t="n">
        <f aca="false">D70/(G70*F70)</f>
        <v>0.1796925</v>
      </c>
      <c r="I70" s="40" t="str">
        <f aca="false">IF(D70=0,"No arrivals",IF(H70&lt;0.85,"Stable",IF(H70&lt;1,"Stable, near capacity","UNSTABLE: queue grows")))</f>
        <v>Stable</v>
      </c>
      <c r="J70" s="34" t="n">
        <f aca="false">IF(AND(D70&gt;0,H70&lt;1),((D70/F70)^G70/FACT(G70)/(1-H70))/(SUMPRODUCT(--({0,1,2,3,4,5,6,7,8,9}&lt;G70),(D70/F70)^{0,1,2,3,4,5,6,7,8,9}/FACT({0,1,2,3,4,5,6,7,8,9}))+((D70/F70)^G70/FACT(G70)/(1-H70)))/(G70*F70-D70),"—")</f>
        <v>0.00323657842989126</v>
      </c>
      <c r="K70" s="34" t="n">
        <f aca="false">IF(ISNUMBER(J70),(1+Assumptions!$B$18^2)/2*J70,"—")</f>
        <v>0.00220087333232606</v>
      </c>
      <c r="L70" s="35" t="n">
        <f aca="false">'Sim Data'!$F$296</f>
        <v>0.0017</v>
      </c>
      <c r="M70" s="41" t="n">
        <f aca="false">'Sim Data'!$H$296</f>
        <v>0.0063</v>
      </c>
      <c r="N70" s="37" t="n">
        <f aca="false">D70*L70</f>
        <v>0.0062985</v>
      </c>
      <c r="O70" s="34" t="str">
        <f aca="false">IF(MAX(M70,N70)&lt;0.5,"both ≈ 0",IF(N70=0,"no new arrivals",M70/N70))</f>
        <v>both ≈ 0</v>
      </c>
      <c r="P70" s="40" t="str">
        <f aca="false">IF(D70=0,"",IF(H70&gt;=1,"No steady state: line grows by ~"&amp;TEXT((D70-G70*F70)*10,"0")&amp;" in this slot",IF(ISNUMBER(O70),IF(ABS(O70-1)&lt;=0.2,"Little's Law holds (steady)",IF(O70&gt;1,"More waiting than λWq: queue left over from before","Fewer waiting than λWq: queue still building")),"Hardly any queue")))</f>
        <v>Hardly any queue</v>
      </c>
    </row>
    <row r="71" customFormat="false" ht="15" hidden="false" customHeight="false" outlineLevel="0" collapsed="false">
      <c r="A71" s="6" t="s">
        <v>267</v>
      </c>
      <c r="B71" s="6" t="s">
        <v>266</v>
      </c>
      <c r="C71" s="6" t="s">
        <v>257</v>
      </c>
      <c r="D71" s="35" t="n">
        <f aca="false">'Sim Data'!$E$297</f>
        <v>4.59</v>
      </c>
      <c r="E71" s="36" t="n">
        <f aca="false">'Sim Data'!$G$297</f>
        <v>0.1038</v>
      </c>
      <c r="F71" s="37" t="n">
        <f aca="false">IF(E71&gt;0,1/E71,Assumptions!$B$17)</f>
        <v>9.63391136801541</v>
      </c>
      <c r="G71" s="38" t="n">
        <f aca="false">Assumptions!$B$16</f>
        <v>2</v>
      </c>
      <c r="H71" s="39" t="n">
        <f aca="false">D71/(G71*F71)</f>
        <v>0.238221</v>
      </c>
      <c r="I71" s="40" t="str">
        <f aca="false">IF(D71=0,"No arrivals",IF(H71&lt;0.85,"Stable",IF(H71&lt;1,"Stable, near capacity","UNSTABLE: queue grows")))</f>
        <v>Stable</v>
      </c>
      <c r="J71" s="34" t="n">
        <f aca="false">IF(AND(D71&gt;0,H71&lt;1),((D71/F71)^G71/FACT(G71)/(1-H71))/(SUMPRODUCT(--({0,1,2,3,4,5,6,7,8,9}&lt;G71),(D71/F71)^{0,1,2,3,4,5,6,7,8,9}/FACT({0,1,2,3,4,5,6,7,8,9}))+((D71/F71)^G71/FACT(G71)/(1-H71)))/(G71*F71-D71),"—")</f>
        <v>0.00624496888264123</v>
      </c>
      <c r="K71" s="34" t="n">
        <f aca="false">IF(ISNUMBER(J71),(1+Assumptions!$B$18^2)/2*J71,"—")</f>
        <v>0.00424657884019604</v>
      </c>
      <c r="L71" s="35" t="n">
        <f aca="false">'Sim Data'!$F$297</f>
        <v>0.0028</v>
      </c>
      <c r="M71" s="41" t="n">
        <f aca="false">'Sim Data'!$H$297</f>
        <v>0.013</v>
      </c>
      <c r="N71" s="37" t="n">
        <f aca="false">D71*L71</f>
        <v>0.012852</v>
      </c>
      <c r="O71" s="34" t="str">
        <f aca="false">IF(MAX(M71,N71)&lt;0.5,"both ≈ 0",IF(N71=0,"no new arrivals",M71/N71))</f>
        <v>both ≈ 0</v>
      </c>
      <c r="P71" s="40" t="str">
        <f aca="false">IF(D71=0,"",IF(H71&gt;=1,"No steady state: line grows by ~"&amp;TEXT((D71-G71*F71)*10,"0")&amp;" in this slot",IF(ISNUMBER(O71),IF(ABS(O71-1)&lt;=0.2,"Little's Law holds (steady)",IF(O71&gt;1,"More waiting than λWq: queue left over from before","Fewer waiting than λWq: queue still building")),"Hardly any queue")))</f>
        <v>Hardly any queue</v>
      </c>
    </row>
    <row r="72" customFormat="false" ht="15" hidden="false" customHeight="false" outlineLevel="0" collapsed="false">
      <c r="A72" s="6" t="s">
        <v>267</v>
      </c>
      <c r="B72" s="6" t="s">
        <v>266</v>
      </c>
      <c r="C72" s="6" t="s">
        <v>258</v>
      </c>
      <c r="D72" s="35" t="n">
        <f aca="false">'Sim Data'!$E$298</f>
        <v>5.005</v>
      </c>
      <c r="E72" s="36" t="n">
        <f aca="false">'Sim Data'!$G$298</f>
        <v>0.1015</v>
      </c>
      <c r="F72" s="37" t="n">
        <f aca="false">IF(E72&gt;0,1/E72,Assumptions!$B$17)</f>
        <v>9.85221674876847</v>
      </c>
      <c r="G72" s="38" t="n">
        <f aca="false">Assumptions!$B$16</f>
        <v>2</v>
      </c>
      <c r="H72" s="39" t="n">
        <f aca="false">D72/(G72*F72)</f>
        <v>0.25400375</v>
      </c>
      <c r="I72" s="40" t="str">
        <f aca="false">IF(D72=0,"No arrivals",IF(H72&lt;0.85,"Stable",IF(H72&lt;1,"Stable, near capacity","UNSTABLE: queue grows")))</f>
        <v>Stable</v>
      </c>
      <c r="J72" s="34" t="n">
        <f aca="false">IF(AND(D72&gt;0,H72&lt;1),((D72/F72)^G72/FACT(G72)/(1-H72))/(SUMPRODUCT(--({0,1,2,3,4,5,6,7,8,9}&lt;G72),(D72/F72)^{0,1,2,3,4,5,6,7,8,9}/FACT({0,1,2,3,4,5,6,7,8,9}))+((D72/F72)^G72/FACT(G72)/(1-H72)))/(G72*F72-D72),"—")</f>
        <v>0.00700020598365999</v>
      </c>
      <c r="K72" s="34" t="n">
        <f aca="false">IF(ISNUMBER(J72),(1+Assumptions!$B$18^2)/2*J72,"—")</f>
        <v>0.0047601400688888</v>
      </c>
      <c r="L72" s="35" t="n">
        <f aca="false">'Sim Data'!$F$298</f>
        <v>0.0067</v>
      </c>
      <c r="M72" s="41" t="n">
        <f aca="false">'Sim Data'!$H$298</f>
        <v>0.0336</v>
      </c>
      <c r="N72" s="37" t="n">
        <f aca="false">D72*L72</f>
        <v>0.0335335</v>
      </c>
      <c r="O72" s="34" t="str">
        <f aca="false">IF(MAX(M72,N72)&lt;0.5,"both ≈ 0",IF(N72=0,"no new arrivals",M72/N72))</f>
        <v>both ≈ 0</v>
      </c>
      <c r="P72" s="40" t="str">
        <f aca="false">IF(D72=0,"",IF(H72&gt;=1,"No steady state: line grows by ~"&amp;TEXT((D72-G72*F72)*10,"0")&amp;" in this slot",IF(ISNUMBER(O72),IF(ABS(O72-1)&lt;=0.2,"Little's Law holds (steady)",IF(O72&gt;1,"More waiting than λWq: queue left over from before","Fewer waiting than λWq: queue still building")),"Hardly any queue")))</f>
        <v>Hardly any queue</v>
      </c>
    </row>
    <row r="73" customFormat="false" ht="15" hidden="false" customHeight="false" outlineLevel="0" collapsed="false">
      <c r="A73" s="6" t="s">
        <v>267</v>
      </c>
      <c r="B73" s="6" t="s">
        <v>266</v>
      </c>
      <c r="C73" s="6" t="s">
        <v>133</v>
      </c>
      <c r="D73" s="35" t="n">
        <f aca="false">'Sim Data'!$E$299</f>
        <v>6.955</v>
      </c>
      <c r="E73" s="36" t="n">
        <f aca="false">'Sim Data'!$G$299</f>
        <v>0.0993</v>
      </c>
      <c r="F73" s="37" t="n">
        <f aca="false">IF(E73&gt;0,1/E73,Assumptions!$B$17)</f>
        <v>10.0704934541793</v>
      </c>
      <c r="G73" s="38" t="n">
        <f aca="false">Assumptions!$B$16</f>
        <v>2</v>
      </c>
      <c r="H73" s="39" t="n">
        <f aca="false">D73/(G73*F73)</f>
        <v>0.34531575</v>
      </c>
      <c r="I73" s="40" t="str">
        <f aca="false">IF(D73=0,"No arrivals",IF(H73&lt;0.85,"Stable",IF(H73&lt;1,"Stable, near capacity","UNSTABLE: queue grows")))</f>
        <v>Stable</v>
      </c>
      <c r="J73" s="34" t="n">
        <f aca="false">IF(AND(D73&gt;0,H73&lt;1),((D73/F73)^G73/FACT(G73)/(1-H73))/(SUMPRODUCT(--({0,1,2,3,4,5,6,7,8,9}&lt;G73),(D73/F73)^{0,1,2,3,4,5,6,7,8,9}/FACT({0,1,2,3,4,5,6,7,8,9}))+((D73/F73)^G73/FACT(G73)/(1-H73)))/(G73*F73-D73),"—")</f>
        <v>0.0134439194940046</v>
      </c>
      <c r="K73" s="34" t="n">
        <f aca="false">IF(ISNUMBER(J73),(1+Assumptions!$B$18^2)/2*J73,"—")</f>
        <v>0.00914186525592312</v>
      </c>
      <c r="L73" s="35" t="n">
        <f aca="false">'Sim Data'!$F$299</f>
        <v>0.0245</v>
      </c>
      <c r="M73" s="41" t="n">
        <f aca="false">'Sim Data'!$H$299</f>
        <v>0.1695</v>
      </c>
      <c r="N73" s="37" t="n">
        <f aca="false">D73*L73</f>
        <v>0.1703975</v>
      </c>
      <c r="O73" s="34" t="str">
        <f aca="false">IF(MAX(M73,N73)&lt;0.5,"both ≈ 0",IF(N73=0,"no new arrivals",M73/N73))</f>
        <v>both ≈ 0</v>
      </c>
      <c r="P73" s="40" t="str">
        <f aca="false">IF(D73=0,"",IF(H73&gt;=1,"No steady state: line grows by ~"&amp;TEXT((D73-G73*F73)*10,"0")&amp;" in this slot",IF(ISNUMBER(O73),IF(ABS(O73-1)&lt;=0.2,"Little's Law holds (steady)",IF(O73&gt;1,"More waiting than λWq: queue left over from before","Fewer waiting than λWq: queue still building")),"Hardly any queue")))</f>
        <v>Hardly any queue</v>
      </c>
    </row>
    <row r="74" customFormat="false" ht="15" hidden="false" customHeight="false" outlineLevel="0" collapsed="false">
      <c r="A74" s="6" t="s">
        <v>267</v>
      </c>
      <c r="B74" s="6" t="s">
        <v>266</v>
      </c>
      <c r="C74" s="6" t="s">
        <v>137</v>
      </c>
      <c r="D74" s="35" t="n">
        <f aca="false">'Sim Data'!$E$300</f>
        <v>7.31</v>
      </c>
      <c r="E74" s="36" t="n">
        <f aca="false">'Sim Data'!$G$300</f>
        <v>0.1003</v>
      </c>
      <c r="F74" s="37" t="n">
        <f aca="false">IF(E74&gt;0,1/E74,Assumptions!$B$17)</f>
        <v>9.97008973080758</v>
      </c>
      <c r="G74" s="38" t="n">
        <f aca="false">Assumptions!$B$16</f>
        <v>2</v>
      </c>
      <c r="H74" s="39" t="n">
        <f aca="false">D74/(G74*F74)</f>
        <v>0.3665965</v>
      </c>
      <c r="I74" s="40" t="str">
        <f aca="false">IF(D74=0,"No arrivals",IF(H74&lt;0.85,"Stable",IF(H74&lt;1,"Stable, near capacity","UNSTABLE: queue grows")))</f>
        <v>Stable</v>
      </c>
      <c r="J74" s="34" t="n">
        <f aca="false">IF(AND(D74&gt;0,H74&lt;1),((D74/F74)^G74/FACT(G74)/(1-H74))/(SUMPRODUCT(--({0,1,2,3,4,5,6,7,8,9}&lt;G74),(D74/F74)^{0,1,2,3,4,5,6,7,8,9}/FACT({0,1,2,3,4,5,6,7,8,9}))+((D74/F74)^G74/FACT(G74)/(1-H74)))/(G74*F74-D74),"—")</f>
        <v>0.0155724447503431</v>
      </c>
      <c r="K74" s="34" t="n">
        <f aca="false">IF(ISNUMBER(J74),(1+Assumptions!$B$18^2)/2*J74,"—")</f>
        <v>0.0105892624302333</v>
      </c>
      <c r="L74" s="35" t="n">
        <f aca="false">'Sim Data'!$F$300</f>
        <v>0.0278</v>
      </c>
      <c r="M74" s="41" t="n">
        <f aca="false">'Sim Data'!$H$300</f>
        <v>0.2042</v>
      </c>
      <c r="N74" s="37" t="n">
        <f aca="false">D74*L74</f>
        <v>0.203218</v>
      </c>
      <c r="O74" s="34" t="str">
        <f aca="false">IF(MAX(M74,N74)&lt;0.5,"both ≈ 0",IF(N74=0,"no new arrivals",M74/N74))</f>
        <v>both ≈ 0</v>
      </c>
      <c r="P74" s="40" t="str">
        <f aca="false">IF(D74=0,"",IF(H74&gt;=1,"No steady state: line grows by ~"&amp;TEXT((D74-G74*F74)*10,"0")&amp;" in this slot",IF(ISNUMBER(O74),IF(ABS(O74-1)&lt;=0.2,"Little's Law holds (steady)",IF(O74&gt;1,"More waiting than λWq: queue left over from before","Fewer waiting than λWq: queue still building")),"Hardly any queue")))</f>
        <v>Hardly any queue</v>
      </c>
    </row>
    <row r="75" customFormat="false" ht="15" hidden="false" customHeight="false" outlineLevel="0" collapsed="false">
      <c r="A75" s="6" t="s">
        <v>267</v>
      </c>
      <c r="B75" s="6" t="s">
        <v>266</v>
      </c>
      <c r="C75" s="6" t="s">
        <v>140</v>
      </c>
      <c r="D75" s="35" t="n">
        <f aca="false">'Sim Data'!$E$301</f>
        <v>5.815</v>
      </c>
      <c r="E75" s="36" t="n">
        <f aca="false">'Sim Data'!$G$301</f>
        <v>0.1006</v>
      </c>
      <c r="F75" s="37" t="n">
        <f aca="false">IF(E75&gt;0,1/E75,Assumptions!$B$17)</f>
        <v>9.9403578528827</v>
      </c>
      <c r="G75" s="38" t="n">
        <f aca="false">Assumptions!$B$16</f>
        <v>2</v>
      </c>
      <c r="H75" s="39" t="n">
        <f aca="false">D75/(G75*F75)</f>
        <v>0.2924945</v>
      </c>
      <c r="I75" s="40" t="str">
        <f aca="false">IF(D75=0,"No arrivals",IF(H75&lt;0.85,"Stable",IF(H75&lt;1,"Stable, near capacity","UNSTABLE: queue grows")))</f>
        <v>Stable</v>
      </c>
      <c r="J75" s="34" t="n">
        <f aca="false">IF(AND(D75&gt;0,H75&lt;1),((D75/F75)^G75/FACT(G75)/(1-H75))/(SUMPRODUCT(--({0,1,2,3,4,5,6,7,8,9}&lt;G75),(D75/F75)^{0,1,2,3,4,5,6,7,8,9}/FACT({0,1,2,3,4,5,6,7,8,9}))+((D75/F75)^G75/FACT(G75)/(1-H75)))/(G75*F75-D75),"—")</f>
        <v>0.00941184713680825</v>
      </c>
      <c r="K75" s="34" t="n">
        <f aca="false">IF(ISNUMBER(J75),(1+Assumptions!$B$18^2)/2*J75,"—")</f>
        <v>0.00640005605302961</v>
      </c>
      <c r="L75" s="35" t="n">
        <f aca="false">'Sim Data'!$F$301</f>
        <v>0.0304</v>
      </c>
      <c r="M75" s="41" t="n">
        <f aca="false">'Sim Data'!$H$301</f>
        <v>0.177</v>
      </c>
      <c r="N75" s="37" t="n">
        <f aca="false">D75*L75</f>
        <v>0.176776</v>
      </c>
      <c r="O75" s="34" t="str">
        <f aca="false">IF(MAX(M75,N75)&lt;0.5,"both ≈ 0",IF(N75=0,"no new arrivals",M75/N75))</f>
        <v>both ≈ 0</v>
      </c>
      <c r="P75" s="40" t="str">
        <f aca="false">IF(D75=0,"",IF(H75&gt;=1,"No steady state: line grows by ~"&amp;TEXT((D75-G75*F75)*10,"0")&amp;" in this slot",IF(ISNUMBER(O75),IF(ABS(O75-1)&lt;=0.2,"Little's Law holds (steady)",IF(O75&gt;1,"More waiting than λWq: queue left over from before","Fewer waiting than λWq: queue still building")),"Hardly any queue")))</f>
        <v>Hardly any queue</v>
      </c>
    </row>
    <row r="76" customFormat="false" ht="15" hidden="false" customHeight="false" outlineLevel="0" collapsed="false">
      <c r="A76" s="6" t="s">
        <v>267</v>
      </c>
      <c r="B76" s="6" t="s">
        <v>266</v>
      </c>
      <c r="C76" s="6" t="s">
        <v>125</v>
      </c>
      <c r="D76" s="35" t="n">
        <f aca="false">'Sim Data'!$E$302</f>
        <v>6.13</v>
      </c>
      <c r="E76" s="36" t="n">
        <f aca="false">'Sim Data'!$G$302</f>
        <v>0.1021</v>
      </c>
      <c r="F76" s="37" t="n">
        <f aca="false">IF(E76&gt;0,1/E76,Assumptions!$B$17)</f>
        <v>9.79431929480901</v>
      </c>
      <c r="G76" s="38" t="n">
        <f aca="false">Assumptions!$B$16</f>
        <v>2</v>
      </c>
      <c r="H76" s="39" t="n">
        <f aca="false">D76/(G76*F76)</f>
        <v>0.3129365</v>
      </c>
      <c r="I76" s="40" t="str">
        <f aca="false">IF(D76=0,"No arrivals",IF(H76&lt;0.85,"Stable",IF(H76&lt;1,"Stable, near capacity","UNSTABLE: queue grows")))</f>
        <v>Stable</v>
      </c>
      <c r="J76" s="34" t="n">
        <f aca="false">IF(AND(D76&gt;0,H76&lt;1),((D76/F76)^G76/FACT(G76)/(1-H76))/(SUMPRODUCT(--({0,1,2,3,4,5,6,7,8,9}&lt;G76),(D76/F76)^{0,1,2,3,4,5,6,7,8,9}/FACT({0,1,2,3,4,5,6,7,8,9}))+((D76/F76)^G76/FACT(G76)/(1-H76)))/(G76*F76-D76),"—")</f>
        <v>0.0110840272430985</v>
      </c>
      <c r="K76" s="34" t="n">
        <f aca="false">IF(ISNUMBER(J76),(1+Assumptions!$B$18^2)/2*J76,"—")</f>
        <v>0.00753713852530696</v>
      </c>
      <c r="L76" s="35" t="n">
        <f aca="false">'Sim Data'!$F$302</f>
        <v>0.0201</v>
      </c>
      <c r="M76" s="41" t="n">
        <f aca="false">'Sim Data'!$H$302</f>
        <v>0.1141</v>
      </c>
      <c r="N76" s="37" t="n">
        <f aca="false">D76*L76</f>
        <v>0.123213</v>
      </c>
      <c r="O76" s="34" t="str">
        <f aca="false">IF(MAX(M76,N76)&lt;0.5,"both ≈ 0",IF(N76=0,"no new arrivals",M76/N76))</f>
        <v>both ≈ 0</v>
      </c>
      <c r="P76" s="40" t="str">
        <f aca="false">IF(D76=0,"",IF(H76&gt;=1,"No steady state: line grows by ~"&amp;TEXT((D76-G76*F76)*10,"0")&amp;" in this slot",IF(ISNUMBER(O76),IF(ABS(O76-1)&lt;=0.2,"Little's Law holds (steady)",IF(O76&gt;1,"More waiting than λWq: queue left over from before","Fewer waiting than λWq: queue still building")),"Hardly any queue")))</f>
        <v>Hardly any queue</v>
      </c>
    </row>
    <row r="77" customFormat="false" ht="15" hidden="false" customHeight="false" outlineLevel="0" collapsed="false">
      <c r="A77" s="6" t="s">
        <v>267</v>
      </c>
      <c r="B77" s="6" t="s">
        <v>266</v>
      </c>
      <c r="C77" s="6" t="s">
        <v>259</v>
      </c>
      <c r="D77" s="35" t="n">
        <f aca="false">'Sim Data'!$E$303</f>
        <v>15.865</v>
      </c>
      <c r="E77" s="36" t="n">
        <f aca="false">'Sim Data'!$G$303</f>
        <v>0.0996</v>
      </c>
      <c r="F77" s="37" t="n">
        <f aca="false">IF(E77&gt;0,1/E77,Assumptions!$B$17)</f>
        <v>10.0401606425703</v>
      </c>
      <c r="G77" s="38" t="n">
        <f aca="false">Assumptions!$B$16</f>
        <v>2</v>
      </c>
      <c r="H77" s="39" t="n">
        <f aca="false">D77/(G77*F77)</f>
        <v>0.790077</v>
      </c>
      <c r="I77" s="40" t="str">
        <f aca="false">IF(D77=0,"No arrivals",IF(H77&lt;0.85,"Stable",IF(H77&lt;1,"Stable, near capacity","UNSTABLE: queue grows")))</f>
        <v>Stable</v>
      </c>
      <c r="J77" s="34" t="n">
        <f aca="false">IF(AND(D77&gt;0,H77&lt;1),((D77/F77)^G77/FACT(G77)/(1-H77))/(SUMPRODUCT(--({0,1,2,3,4,5,6,7,8,9}&lt;G77),(D77/F77)^{0,1,2,3,4,5,6,7,8,9}/FACT({0,1,2,3,4,5,6,7,8,9}))+((D77/F77)^G77/FACT(G77)/(1-H77)))/(G77*F77-D77),"—")</f>
        <v>0.165449873740676</v>
      </c>
      <c r="K77" s="34" t="n">
        <f aca="false">IF(ISNUMBER(J77),(1+Assumptions!$B$18^2)/2*J77,"—")</f>
        <v>0.112505914143659</v>
      </c>
      <c r="L77" s="35" t="n">
        <f aca="false">'Sim Data'!$F$303</f>
        <v>0.1287</v>
      </c>
      <c r="M77" s="41" t="n">
        <f aca="false">'Sim Data'!$H$303</f>
        <v>2.0111</v>
      </c>
      <c r="N77" s="37" t="n">
        <f aca="false">D77*L77</f>
        <v>2.0418255</v>
      </c>
      <c r="O77" s="34" t="n">
        <f aca="false">IF(MAX(M77,N77)&lt;0.5,"both ≈ 0",IF(N77=0,"no new arrivals",M77/N77))</f>
        <v>0.98495194618737</v>
      </c>
      <c r="P77" s="40" t="str">
        <f aca="false">IF(D77=0,"",IF(H77&gt;=1,"No steady state: line grows by ~"&amp;TEXT((D77-G77*F77)*10,"0")&amp;" in this slot",IF(ISNUMBER(O77),IF(ABS(O77-1)&lt;=0.2,"Little's Law holds (steady)",IF(O77&gt;1,"More waiting than λWq: queue left over from before","Fewer waiting than λWq: queue still building")),"Hardly any queue")))</f>
        <v>Little's Law holds (steady)</v>
      </c>
    </row>
    <row r="78" customFormat="false" ht="15" hidden="false" customHeight="false" outlineLevel="0" collapsed="false">
      <c r="A78" s="6" t="s">
        <v>267</v>
      </c>
      <c r="B78" s="6" t="s">
        <v>266</v>
      </c>
      <c r="C78" s="6" t="s">
        <v>260</v>
      </c>
      <c r="D78" s="35" t="n">
        <f aca="false">'Sim Data'!$E$304</f>
        <v>15.905</v>
      </c>
      <c r="E78" s="36" t="n">
        <f aca="false">'Sim Data'!$G$304</f>
        <v>0.0979</v>
      </c>
      <c r="F78" s="37" t="n">
        <f aca="false">IF(E78&gt;0,1/E78,Assumptions!$B$17)</f>
        <v>10.2145045965271</v>
      </c>
      <c r="G78" s="38" t="n">
        <f aca="false">Assumptions!$B$16</f>
        <v>2</v>
      </c>
      <c r="H78" s="39" t="n">
        <f aca="false">D78/(G78*F78)</f>
        <v>0.77854975</v>
      </c>
      <c r="I78" s="40" t="str">
        <f aca="false">IF(D78=0,"No arrivals",IF(H78&lt;0.85,"Stable",IF(H78&lt;1,"Stable, near capacity","UNSTABLE: queue grows")))</f>
        <v>Stable</v>
      </c>
      <c r="J78" s="34" t="n">
        <f aca="false">IF(AND(D78&gt;0,H78&lt;1),((D78/F78)^G78/FACT(G78)/(1-H78))/(SUMPRODUCT(--({0,1,2,3,4,5,6,7,8,9}&lt;G78),(D78/F78)^{0,1,2,3,4,5,6,7,8,9}/FACT({0,1,2,3,4,5,6,7,8,9}))+((D78/F78)^G78/FACT(G78)/(1-H78)))/(G78*F78-D78),"—")</f>
        <v>0.150665299135992</v>
      </c>
      <c r="K78" s="34" t="n">
        <f aca="false">IF(ISNUMBER(J78),(1+Assumptions!$B$18^2)/2*J78,"—")</f>
        <v>0.102452403412475</v>
      </c>
      <c r="L78" s="35" t="n">
        <f aca="false">'Sim Data'!$F$304</f>
        <v>0.1465</v>
      </c>
      <c r="M78" s="41" t="n">
        <f aca="false">'Sim Data'!$H$304</f>
        <v>2.3225</v>
      </c>
      <c r="N78" s="37" t="n">
        <f aca="false">D78*L78</f>
        <v>2.3300825</v>
      </c>
      <c r="O78" s="34" t="n">
        <f aca="false">IF(MAX(M78,N78)&lt;0.5,"both ≈ 0",IF(N78=0,"no new arrivals",M78/N78))</f>
        <v>0.996745823377499</v>
      </c>
      <c r="P78" s="40" t="str">
        <f aca="false">IF(D78=0,"",IF(H78&gt;=1,"No steady state: line grows by ~"&amp;TEXT((D78-G78*F78)*10,"0")&amp;" in this slot",IF(ISNUMBER(O78),IF(ABS(O78-1)&lt;=0.2,"Little's Law holds (steady)",IF(O78&gt;1,"More waiting than λWq: queue left over from before","Fewer waiting than λWq: queue still building")),"Hardly any queue")))</f>
        <v>Little's Law holds (steady)</v>
      </c>
    </row>
    <row r="79" customFormat="false" ht="15" hidden="false" customHeight="false" outlineLevel="0" collapsed="false">
      <c r="A79" s="6" t="s">
        <v>267</v>
      </c>
      <c r="B79" s="6" t="s">
        <v>266</v>
      </c>
      <c r="C79" s="6" t="s">
        <v>134</v>
      </c>
      <c r="D79" s="35" t="n">
        <f aca="false">'Sim Data'!$E$305</f>
        <v>10.045</v>
      </c>
      <c r="E79" s="36" t="n">
        <f aca="false">'Sim Data'!$G$305</f>
        <v>0.0992</v>
      </c>
      <c r="F79" s="37" t="n">
        <f aca="false">IF(E79&gt;0,1/E79,Assumptions!$B$17)</f>
        <v>10.0806451612903</v>
      </c>
      <c r="G79" s="38" t="n">
        <f aca="false">Assumptions!$B$16</f>
        <v>2</v>
      </c>
      <c r="H79" s="39" t="n">
        <f aca="false">D79/(G79*F79)</f>
        <v>0.498232</v>
      </c>
      <c r="I79" s="40" t="str">
        <f aca="false">IF(D79=0,"No arrivals",IF(H79&lt;0.85,"Stable",IF(H79&lt;1,"Stable, near capacity","UNSTABLE: queue grows")))</f>
        <v>Stable</v>
      </c>
      <c r="J79" s="34" t="n">
        <f aca="false">IF(AND(D79&gt;0,H79&lt;1),((D79/F79)^G79/FACT(G79)/(1-H79))/(SUMPRODUCT(--({0,1,2,3,4,5,6,7,8,9}&lt;G79),(D79/F79)^{0,1,2,3,4,5,6,7,8,9}/FACT({0,1,2,3,4,5,6,7,8,9}))+((D79/F79)^G79/FACT(G79)/(1-H79)))/(G79*F79-D79),"—")</f>
        <v>0.0327561519933102</v>
      </c>
      <c r="K79" s="34" t="n">
        <f aca="false">IF(ISNUMBER(J79),(1+Assumptions!$B$18^2)/2*J79,"—")</f>
        <v>0.022274183355451</v>
      </c>
      <c r="L79" s="35" t="n">
        <f aca="false">'Sim Data'!$F$305</f>
        <v>0.0842</v>
      </c>
      <c r="M79" s="41" t="n">
        <f aca="false">'Sim Data'!$H$305</f>
        <v>0.8918</v>
      </c>
      <c r="N79" s="37" t="n">
        <f aca="false">D79*L79</f>
        <v>0.845789</v>
      </c>
      <c r="O79" s="34" t="n">
        <f aca="false">IF(MAX(M79,N79)&lt;0.5,"both ≈ 0",IF(N79=0,"no new arrivals",M79/N79))</f>
        <v>1.05440009269451</v>
      </c>
      <c r="P79" s="40" t="str">
        <f aca="false">IF(D79=0,"",IF(H79&gt;=1,"No steady state: line grows by ~"&amp;TEXT((D79-G79*F79)*10,"0")&amp;" in this slot",IF(ISNUMBER(O79),IF(ABS(O79-1)&lt;=0.2,"Little's Law holds (steady)",IF(O79&gt;1,"More waiting than λWq: queue left over from before","Fewer waiting than λWq: queue still building")),"Hardly any queue")))</f>
        <v>Little's Law holds (steady)</v>
      </c>
    </row>
    <row r="80" customFormat="false" ht="15" hidden="false" customHeight="false" outlineLevel="0" collapsed="false">
      <c r="A80" s="6" t="s">
        <v>267</v>
      </c>
      <c r="B80" s="6" t="s">
        <v>266</v>
      </c>
      <c r="C80" s="6" t="s">
        <v>138</v>
      </c>
      <c r="D80" s="35" t="n">
        <f aca="false">'Sim Data'!$E$306</f>
        <v>5.235</v>
      </c>
      <c r="E80" s="36" t="n">
        <f aca="false">'Sim Data'!$G$306</f>
        <v>0.0958</v>
      </c>
      <c r="F80" s="37" t="n">
        <f aca="false">IF(E80&gt;0,1/E80,Assumptions!$B$17)</f>
        <v>10.4384133611691</v>
      </c>
      <c r="G80" s="38" t="n">
        <f aca="false">Assumptions!$B$16</f>
        <v>2</v>
      </c>
      <c r="H80" s="39" t="n">
        <f aca="false">D80/(G80*F80)</f>
        <v>0.2507565</v>
      </c>
      <c r="I80" s="40" t="str">
        <f aca="false">IF(D80=0,"No arrivals",IF(H80&lt;0.85,"Stable",IF(H80&lt;1,"Stable, near capacity","UNSTABLE: queue grows")))</f>
        <v>Stable</v>
      </c>
      <c r="J80" s="34" t="n">
        <f aca="false">IF(AND(D80&gt;0,H80&lt;1),((D80/F80)^G80/FACT(G80)/(1-H80))/(SUMPRODUCT(--({0,1,2,3,4,5,6,7,8,9}&lt;G80),(D80/F80)^{0,1,2,3,4,5,6,7,8,9}/FACT({0,1,2,3,4,5,6,7,8,9}))+((D80/F80)^G80/FACT(G80)/(1-H80)))/(G80*F80-D80),"—")</f>
        <v>0.00642797465140215</v>
      </c>
      <c r="K80" s="34" t="n">
        <f aca="false">IF(ISNUMBER(J80),(1+Assumptions!$B$18^2)/2*J80,"—")</f>
        <v>0.00437102276295346</v>
      </c>
      <c r="L80" s="35" t="n">
        <f aca="false">'Sim Data'!$F$306</f>
        <v>0.0167</v>
      </c>
      <c r="M80" s="41" t="n">
        <f aca="false">'Sim Data'!$H$306</f>
        <v>0.088</v>
      </c>
      <c r="N80" s="37" t="n">
        <f aca="false">D80*L80</f>
        <v>0.0874245</v>
      </c>
      <c r="O80" s="34" t="str">
        <f aca="false">IF(MAX(M80,N80)&lt;0.5,"both ≈ 0",IF(N80=0,"no new arrivals",M80/N80))</f>
        <v>both ≈ 0</v>
      </c>
      <c r="P80" s="40" t="str">
        <f aca="false">IF(D80=0,"",IF(H80&gt;=1,"No steady state: line grows by ~"&amp;TEXT((D80-G80*F80)*10,"0")&amp;" in this slot",IF(ISNUMBER(O80),IF(ABS(O80-1)&lt;=0.2,"Little's Law holds (steady)",IF(O80&gt;1,"More waiting than λWq: queue left over from before","Fewer waiting than λWq: queue still building")),"Hardly any queue")))</f>
        <v>Hardly any queue</v>
      </c>
    </row>
    <row r="81" customFormat="false" ht="15" hidden="false" customHeight="false" outlineLevel="0" collapsed="false">
      <c r="A81" s="6" t="s">
        <v>267</v>
      </c>
      <c r="B81" s="6" t="s">
        <v>266</v>
      </c>
      <c r="C81" s="6" t="s">
        <v>141</v>
      </c>
      <c r="D81" s="35" t="n">
        <f aca="false">'Sim Data'!$E$307</f>
        <v>1.85</v>
      </c>
      <c r="E81" s="36" t="n">
        <f aca="false">'Sim Data'!$G$307</f>
        <v>0.0969</v>
      </c>
      <c r="F81" s="37" t="n">
        <f aca="false">IF(E81&gt;0,1/E81,Assumptions!$B$17)</f>
        <v>10.3199174406605</v>
      </c>
      <c r="G81" s="38" t="n">
        <f aca="false">Assumptions!$B$16</f>
        <v>2</v>
      </c>
      <c r="H81" s="39" t="n">
        <f aca="false">D81/(G81*F81)</f>
        <v>0.0896325</v>
      </c>
      <c r="I81" s="40" t="str">
        <f aca="false">IF(D81=0,"No arrivals",IF(H81&lt;0.85,"Stable",IF(H81&lt;1,"Stable, near capacity","UNSTABLE: queue grows")))</f>
        <v>Stable</v>
      </c>
      <c r="J81" s="34" t="n">
        <f aca="false">IF(AND(D81&gt;0,H81&lt;1),((D81/F81)^G81/FACT(G81)/(1-H81))/(SUMPRODUCT(--({0,1,2,3,4,5,6,7,8,9}&lt;G81),(D81/F81)^{0,1,2,3,4,5,6,7,8,9}/FACT({0,1,2,3,4,5,6,7,8,9}))+((D81/F81)^G81/FACT(G81)/(1-H81)))/(G81*F81-D81),"—")</f>
        <v>0.000784798209034177</v>
      </c>
      <c r="K81" s="34" t="n">
        <f aca="false">IF(ISNUMBER(J81),(1+Assumptions!$B$18^2)/2*J81,"—")</f>
        <v>0.000533662782143241</v>
      </c>
      <c r="L81" s="35" t="n">
        <f aca="false">'Sim Data'!$F$307</f>
        <v>0.0005</v>
      </c>
      <c r="M81" s="41" t="n">
        <f aca="false">'Sim Data'!$H$307</f>
        <v>0.001</v>
      </c>
      <c r="N81" s="37" t="n">
        <f aca="false">D81*L81</f>
        <v>0.000925</v>
      </c>
      <c r="O81" s="34" t="str">
        <f aca="false">IF(MAX(M81,N81)&lt;0.5,"both ≈ 0",IF(N81=0,"no new arrivals",M81/N81))</f>
        <v>both ≈ 0</v>
      </c>
      <c r="P81" s="40" t="str">
        <f aca="false">IF(D81=0,"",IF(H81&gt;=1,"No steady state: line grows by ~"&amp;TEXT((D81-G81*F81)*10,"0")&amp;" in this slot",IF(ISNUMBER(O81),IF(ABS(O81-1)&lt;=0.2,"Little's Law holds (steady)",IF(O81&gt;1,"More waiting than λWq: queue left over from before","Fewer waiting than λWq: queue still building")),"Hardly any queue")))</f>
        <v>Hardly any queue</v>
      </c>
    </row>
    <row r="82" customFormat="false" ht="15" hidden="false" customHeight="false" outlineLevel="0" collapsed="false">
      <c r="A82" s="6" t="s">
        <v>267</v>
      </c>
      <c r="B82" s="6" t="s">
        <v>266</v>
      </c>
      <c r="C82" s="6" t="s">
        <v>128</v>
      </c>
      <c r="D82" s="35" t="n">
        <f aca="false">'Sim Data'!$E$308</f>
        <v>0.06</v>
      </c>
      <c r="E82" s="36" t="n">
        <f aca="false">'Sim Data'!$G$308</f>
        <v>0.0837</v>
      </c>
      <c r="F82" s="37" t="n">
        <f aca="false">IF(E82&gt;0,1/E82,Assumptions!$B$17)</f>
        <v>11.94743130227</v>
      </c>
      <c r="G82" s="38" t="n">
        <f aca="false">Assumptions!$B$16</f>
        <v>2</v>
      </c>
      <c r="H82" s="39" t="n">
        <f aca="false">D82/(G82*F82)</f>
        <v>0.002511</v>
      </c>
      <c r="I82" s="40" t="str">
        <f aca="false">IF(D82=0,"No arrivals",IF(H82&lt;0.85,"Stable",IF(H82&lt;1,"Stable, near capacity","UNSTABLE: queue grows")))</f>
        <v>Stable</v>
      </c>
      <c r="J82" s="34" t="n">
        <f aca="false">IF(AND(D82&gt;0,H82&lt;1),((D82/F82)^G82/FACT(G82)/(1-H82))/(SUMPRODUCT(--({0,1,2,3,4,5,6,7,8,9}&lt;G82),(D82/F82)^{0,1,2,3,4,5,6,7,8,9}/FACT({0,1,2,3,4,5,6,7,8,9}))+((D82/F82)^G82/FACT(G82)/(1-H82)))/(G82*F82-D82),"—")</f>
        <v>5.27741955176884E-007</v>
      </c>
      <c r="K82" s="34" t="n">
        <f aca="false">IF(ISNUMBER(J82),(1+Assumptions!$B$18^2)/2*J82,"—")</f>
        <v>3.58864529520281E-007</v>
      </c>
      <c r="L82" s="35" t="n">
        <f aca="false">'Sim Data'!$F$308</f>
        <v>0</v>
      </c>
      <c r="M82" s="41" t="n">
        <f aca="false">'Sim Data'!$H$308</f>
        <v>0</v>
      </c>
      <c r="N82" s="37" t="n">
        <f aca="false">D82*L82</f>
        <v>0</v>
      </c>
      <c r="O82" s="34" t="str">
        <f aca="false">IF(MAX(M82,N82)&lt;0.5,"both ≈ 0",IF(N82=0,"no new arrivals",M82/N82))</f>
        <v>both ≈ 0</v>
      </c>
      <c r="P82" s="40" t="str">
        <f aca="false">IF(D82=0,"",IF(H82&gt;=1,"No steady state: line grows by ~"&amp;TEXT((D82-G82*F82)*10,"0")&amp;" in this slot",IF(ISNUMBER(O82),IF(ABS(O82-1)&lt;=0.2,"Little's Law holds (steady)",IF(O82&gt;1,"More waiting than λWq: queue left over from before","Fewer waiting than λWq: queue still building")),"Hardly any queue")))</f>
        <v>Hardly any queue</v>
      </c>
    </row>
    <row r="83" customFormat="false" ht="15" hidden="false" customHeight="false" outlineLevel="0" collapsed="false">
      <c r="A83" s="6" t="s">
        <v>267</v>
      </c>
      <c r="B83" s="6" t="s">
        <v>266</v>
      </c>
      <c r="C83" s="6" t="s">
        <v>261</v>
      </c>
      <c r="D83" s="35" t="n">
        <f aca="false">'Sim Data'!$E$309</f>
        <v>0</v>
      </c>
      <c r="E83" s="36" t="n">
        <f aca="false">'Sim Data'!$G$309</f>
        <v>0</v>
      </c>
      <c r="F83" s="37" t="n">
        <f aca="false">IF(E83&gt;0,1/E83,Assumptions!$B$17)</f>
        <v>10</v>
      </c>
      <c r="G83" s="38" t="n">
        <f aca="false">Assumptions!$B$16</f>
        <v>2</v>
      </c>
      <c r="H83" s="39" t="n">
        <f aca="false">D83/(G83*F83)</f>
        <v>0</v>
      </c>
      <c r="I83" s="40" t="str">
        <f aca="false">IF(D83=0,"No arrivals",IF(H83&lt;0.85,"Stable",IF(H83&lt;1,"Stable, near capacity","UNSTABLE: queue grows")))</f>
        <v>No arrivals</v>
      </c>
      <c r="J83" s="34" t="str">
        <f aca="false">IF(AND(D83&gt;0,H83&lt;1),((D83/F83)^G83/FACT(G83)/(1-H83))/(SUMPRODUCT(--({0,1,2,3,4,5,6,7,8,9}&lt;G83),(D83/F83)^{0,1,2,3,4,5,6,7,8,9}/FACT({0,1,2,3,4,5,6,7,8,9}))+((D83/F83)^G83/FACT(G83)/(1-H83)))/(G83*F83-D83),"—")</f>
        <v>—</v>
      </c>
      <c r="K83" s="34" t="str">
        <f aca="false">IF(ISNUMBER(J83),(1+Assumptions!$B$18^2)/2*J83,"—")</f>
        <v>—</v>
      </c>
      <c r="L83" s="35" t="n">
        <f aca="false">'Sim Data'!$F$309</f>
        <v>0</v>
      </c>
      <c r="M83" s="41" t="n">
        <f aca="false">'Sim Data'!$H$309</f>
        <v>0</v>
      </c>
      <c r="N83" s="37" t="n">
        <f aca="false">D83*L83</f>
        <v>0</v>
      </c>
      <c r="O83" s="34" t="str">
        <f aca="false">IF(MAX(M83,N83)&lt;0.5,"both ≈ 0",IF(N83=0,"no new arrivals",M83/N83))</f>
        <v>both ≈ 0</v>
      </c>
      <c r="P83" s="40" t="str">
        <f aca="false">IF(D83=0,"",IF(H83&gt;=1,"No steady state: line grows by ~"&amp;TEXT((D83-G83*F83)*10,"0")&amp;" in this slot",IF(ISNUMBER(O83),IF(ABS(O83-1)&lt;=0.2,"Little's Law holds (steady)",IF(O83&gt;1,"More waiting than λWq: queue left over from before","Fewer waiting than λWq: queue still building")),"Hardly any queue")))</f>
        <v/>
      </c>
    </row>
    <row r="84" customFormat="false" ht="15" hidden="false" customHeight="false" outlineLevel="0" collapsed="false">
      <c r="A84" s="6" t="s">
        <v>267</v>
      </c>
      <c r="B84" s="6" t="s">
        <v>266</v>
      </c>
      <c r="C84" s="6" t="s">
        <v>262</v>
      </c>
      <c r="D84" s="35" t="n">
        <f aca="false">'Sim Data'!$E$310</f>
        <v>0</v>
      </c>
      <c r="E84" s="36" t="n">
        <f aca="false">'Sim Data'!$G$310</f>
        <v>0</v>
      </c>
      <c r="F84" s="37" t="n">
        <f aca="false">IF(E84&gt;0,1/E84,Assumptions!$B$17)</f>
        <v>10</v>
      </c>
      <c r="G84" s="38" t="n">
        <f aca="false">Assumptions!$B$16</f>
        <v>2</v>
      </c>
      <c r="H84" s="39" t="n">
        <f aca="false">D84/(G84*F84)</f>
        <v>0</v>
      </c>
      <c r="I84" s="40" t="str">
        <f aca="false">IF(D84=0,"No arrivals",IF(H84&lt;0.85,"Stable",IF(H84&lt;1,"Stable, near capacity","UNSTABLE: queue grows")))</f>
        <v>No arrivals</v>
      </c>
      <c r="J84" s="34" t="str">
        <f aca="false">IF(AND(D84&gt;0,H84&lt;1),((D84/F84)^G84/FACT(G84)/(1-H84))/(SUMPRODUCT(--({0,1,2,3,4,5,6,7,8,9}&lt;G84),(D84/F84)^{0,1,2,3,4,5,6,7,8,9}/FACT({0,1,2,3,4,5,6,7,8,9}))+((D84/F84)^G84/FACT(G84)/(1-H84)))/(G84*F84-D84),"—")</f>
        <v>—</v>
      </c>
      <c r="K84" s="34" t="str">
        <f aca="false">IF(ISNUMBER(J84),(1+Assumptions!$B$18^2)/2*J84,"—")</f>
        <v>—</v>
      </c>
      <c r="L84" s="35" t="n">
        <f aca="false">'Sim Data'!$F$310</f>
        <v>0</v>
      </c>
      <c r="M84" s="41" t="n">
        <f aca="false">'Sim Data'!$H$310</f>
        <v>0</v>
      </c>
      <c r="N84" s="37" t="n">
        <f aca="false">D84*L84</f>
        <v>0</v>
      </c>
      <c r="O84" s="34" t="str">
        <f aca="false">IF(MAX(M84,N84)&lt;0.5,"both ≈ 0",IF(N84=0,"no new arrivals",M84/N84))</f>
        <v>both ≈ 0</v>
      </c>
      <c r="P84" s="40" t="str">
        <f aca="false">IF(D84=0,"",IF(H84&gt;=1,"No steady state: line grows by ~"&amp;TEXT((D84-G84*F84)*10,"0")&amp;" in this slot",IF(ISNUMBER(O84),IF(ABS(O84-1)&lt;=0.2,"Little's Law holds (steady)",IF(O84&gt;1,"More waiting than λWq: queue left over from before","Fewer waiting than λWq: queue still building")),"Hardly any queue")))</f>
        <v/>
      </c>
    </row>
    <row r="87" customFormat="false" ht="15" hidden="false" customHeight="false" outlineLevel="0" collapsed="false">
      <c r="A87" s="4" t="s">
        <v>290</v>
      </c>
    </row>
    <row r="88" customFormat="false" ht="30" hidden="false" customHeight="true" outlineLevel="0" collapsed="false">
      <c r="A88" s="16" t="s">
        <v>245</v>
      </c>
      <c r="B88" s="16" t="s">
        <v>291</v>
      </c>
      <c r="C88" s="16" t="s">
        <v>292</v>
      </c>
      <c r="D88" s="16" t="s">
        <v>293</v>
      </c>
      <c r="E88" s="16" t="s">
        <v>294</v>
      </c>
      <c r="F88" s="16" t="s">
        <v>295</v>
      </c>
    </row>
    <row r="89" customFormat="false" ht="15" hidden="false" customHeight="false" outlineLevel="0" collapsed="false">
      <c r="A89" s="6" t="s">
        <v>254</v>
      </c>
      <c r="B89" s="39" t="n">
        <f aca="false">H13</f>
        <v>0</v>
      </c>
      <c r="C89" s="39" t="n">
        <f aca="false">H31</f>
        <v>0</v>
      </c>
      <c r="D89" s="39" t="n">
        <f aca="false">H49</f>
        <v>0</v>
      </c>
      <c r="E89" s="39" t="n">
        <f aca="false">H67</f>
        <v>0</v>
      </c>
      <c r="F89" s="42" t="n">
        <v>1</v>
      </c>
    </row>
    <row r="90" customFormat="false" ht="15" hidden="false" customHeight="false" outlineLevel="0" collapsed="false">
      <c r="A90" s="6" t="s">
        <v>255</v>
      </c>
      <c r="B90" s="39" t="n">
        <f aca="false">H14</f>
        <v>0</v>
      </c>
      <c r="C90" s="39" t="n">
        <f aca="false">H32</f>
        <v>0</v>
      </c>
      <c r="D90" s="39" t="n">
        <f aca="false">H50</f>
        <v>0</v>
      </c>
      <c r="E90" s="39" t="n">
        <f aca="false">H68</f>
        <v>0</v>
      </c>
      <c r="F90" s="42" t="n">
        <v>1</v>
      </c>
    </row>
    <row r="91" customFormat="false" ht="15" hidden="false" customHeight="false" outlineLevel="0" collapsed="false">
      <c r="A91" s="6" t="s">
        <v>256</v>
      </c>
      <c r="B91" s="39" t="n">
        <f aca="false">H15</f>
        <v>0</v>
      </c>
      <c r="C91" s="39" t="n">
        <f aca="false">H33</f>
        <v>0</v>
      </c>
      <c r="D91" s="39" t="n">
        <f aca="false">H51</f>
        <v>0</v>
      </c>
      <c r="E91" s="39" t="n">
        <f aca="false">H69</f>
        <v>0</v>
      </c>
      <c r="F91" s="42" t="n">
        <v>1</v>
      </c>
    </row>
    <row r="92" customFormat="false" ht="15" hidden="false" customHeight="false" outlineLevel="0" collapsed="false">
      <c r="A92" s="6" t="s">
        <v>124</v>
      </c>
      <c r="B92" s="39" t="n">
        <f aca="false">H16</f>
        <v>0.675545</v>
      </c>
      <c r="C92" s="39" t="n">
        <f aca="false">H34</f>
        <v>0.1796925</v>
      </c>
      <c r="D92" s="39" t="n">
        <f aca="false">H52</f>
        <v>0.675545</v>
      </c>
      <c r="E92" s="39" t="n">
        <f aca="false">H70</f>
        <v>0.1796925</v>
      </c>
      <c r="F92" s="42" t="n">
        <v>1</v>
      </c>
    </row>
    <row r="93" customFormat="false" ht="15" hidden="false" customHeight="false" outlineLevel="0" collapsed="false">
      <c r="A93" s="6" t="s">
        <v>257</v>
      </c>
      <c r="B93" s="39" t="n">
        <f aca="false">H17</f>
        <v>0.92298425</v>
      </c>
      <c r="C93" s="39" t="n">
        <f aca="false">H35</f>
        <v>0.238221</v>
      </c>
      <c r="D93" s="39" t="n">
        <f aca="false">H53</f>
        <v>0.92298425</v>
      </c>
      <c r="E93" s="39" t="n">
        <f aca="false">H71</f>
        <v>0.238221</v>
      </c>
      <c r="F93" s="42" t="n">
        <v>1</v>
      </c>
    </row>
    <row r="94" customFormat="false" ht="15" hidden="false" customHeight="false" outlineLevel="0" collapsed="false">
      <c r="A94" s="6" t="s">
        <v>258</v>
      </c>
      <c r="B94" s="39" t="n">
        <f aca="false">H18</f>
        <v>0.949949</v>
      </c>
      <c r="C94" s="39" t="n">
        <f aca="false">H36</f>
        <v>0.244975</v>
      </c>
      <c r="D94" s="39" t="n">
        <f aca="false">H54</f>
        <v>0.935625</v>
      </c>
      <c r="E94" s="39" t="n">
        <f aca="false">H72</f>
        <v>0.25400375</v>
      </c>
      <c r="F94" s="42" t="n">
        <v>1</v>
      </c>
    </row>
    <row r="95" customFormat="false" ht="15" hidden="false" customHeight="false" outlineLevel="0" collapsed="false">
      <c r="A95" s="6" t="s">
        <v>133</v>
      </c>
      <c r="B95" s="39" t="n">
        <f aca="false">H19</f>
        <v>1.11428125</v>
      </c>
      <c r="C95" s="39" t="n">
        <f aca="false">H37</f>
        <v>0.2769</v>
      </c>
      <c r="D95" s="39" t="n">
        <f aca="false">H55</f>
        <v>1.0641525</v>
      </c>
      <c r="E95" s="39" t="n">
        <f aca="false">H73</f>
        <v>0.34531575</v>
      </c>
      <c r="F95" s="42" t="n">
        <v>1</v>
      </c>
    </row>
    <row r="96" customFormat="false" ht="15" hidden="false" customHeight="false" outlineLevel="0" collapsed="false">
      <c r="A96" s="6" t="s">
        <v>137</v>
      </c>
      <c r="B96" s="39" t="n">
        <f aca="false">H20</f>
        <v>1.018353</v>
      </c>
      <c r="C96" s="39" t="n">
        <f aca="false">H38</f>
        <v>0.2772015</v>
      </c>
      <c r="D96" s="39" t="n">
        <f aca="false">H56</f>
        <v>0.913207</v>
      </c>
      <c r="E96" s="39" t="n">
        <f aca="false">H74</f>
        <v>0.3665965</v>
      </c>
      <c r="F96" s="42" t="n">
        <v>1</v>
      </c>
    </row>
    <row r="97" customFormat="false" ht="15" hidden="false" customHeight="false" outlineLevel="0" collapsed="false">
      <c r="A97" s="6" t="s">
        <v>140</v>
      </c>
      <c r="B97" s="39" t="n">
        <f aca="false">H21</f>
        <v>0.866669</v>
      </c>
      <c r="C97" s="39" t="n">
        <f aca="false">H39</f>
        <v>0.219387</v>
      </c>
      <c r="D97" s="39" t="n">
        <f aca="false">H57</f>
        <v>0.7845</v>
      </c>
      <c r="E97" s="39" t="n">
        <f aca="false">H75</f>
        <v>0.2924945</v>
      </c>
      <c r="F97" s="42" t="n">
        <v>1</v>
      </c>
    </row>
    <row r="98" customFormat="false" ht="15" hidden="false" customHeight="false" outlineLevel="0" collapsed="false">
      <c r="A98" s="6" t="s">
        <v>125</v>
      </c>
      <c r="B98" s="39" t="n">
        <f aca="false">H22</f>
        <v>1.0666365</v>
      </c>
      <c r="C98" s="39" t="n">
        <f aca="false">H40</f>
        <v>0.27536625</v>
      </c>
      <c r="D98" s="39" t="n">
        <f aca="false">H58</f>
        <v>1.05047625</v>
      </c>
      <c r="E98" s="39" t="n">
        <f aca="false">H76</f>
        <v>0.3129365</v>
      </c>
      <c r="F98" s="42" t="n">
        <v>1</v>
      </c>
    </row>
    <row r="99" customFormat="false" ht="15" hidden="false" customHeight="false" outlineLevel="0" collapsed="false">
      <c r="A99" s="6" t="s">
        <v>259</v>
      </c>
      <c r="B99" s="39" t="n">
        <f aca="false">H23</f>
        <v>1.4499485</v>
      </c>
      <c r="C99" s="39" t="n">
        <f aca="false">H41</f>
        <v>0.381147</v>
      </c>
      <c r="D99" s="39" t="n">
        <f aca="false">H59</f>
        <v>1.07321</v>
      </c>
      <c r="E99" s="39" t="n">
        <f aca="false">H77</f>
        <v>0.790077</v>
      </c>
      <c r="F99" s="42" t="n">
        <v>1</v>
      </c>
    </row>
    <row r="100" customFormat="false" ht="15" hidden="false" customHeight="false" outlineLevel="0" collapsed="false">
      <c r="A100" s="6" t="s">
        <v>260</v>
      </c>
      <c r="B100" s="39" t="n">
        <f aca="false">H24</f>
        <v>1.44480375</v>
      </c>
      <c r="C100" s="39" t="n">
        <f aca="false">H42</f>
        <v>0.373059</v>
      </c>
      <c r="D100" s="39" t="n">
        <f aca="false">H60</f>
        <v>1.006922</v>
      </c>
      <c r="E100" s="39" t="n">
        <f aca="false">H78</f>
        <v>0.77854975</v>
      </c>
      <c r="F100" s="42" t="n">
        <v>1</v>
      </c>
    </row>
    <row r="101" customFormat="false" ht="15" hidden="false" customHeight="false" outlineLevel="0" collapsed="false">
      <c r="A101" s="6" t="s">
        <v>134</v>
      </c>
      <c r="B101" s="39" t="n">
        <f aca="false">H25</f>
        <v>1.123702</v>
      </c>
      <c r="C101" s="39" t="n">
        <f aca="false">H43</f>
        <v>0.2592</v>
      </c>
      <c r="D101" s="39" t="n">
        <f aca="false">H61</f>
        <v>0.883223</v>
      </c>
      <c r="E101" s="39" t="n">
        <f aca="false">H79</f>
        <v>0.498232</v>
      </c>
      <c r="F101" s="42" t="n">
        <v>1</v>
      </c>
    </row>
    <row r="102" customFormat="false" ht="15" hidden="false" customHeight="false" outlineLevel="0" collapsed="false">
      <c r="A102" s="6" t="s">
        <v>138</v>
      </c>
      <c r="B102" s="39" t="n">
        <f aca="false">H26</f>
        <v>0.75141</v>
      </c>
      <c r="C102" s="39" t="n">
        <f aca="false">H44</f>
        <v>0.1740595</v>
      </c>
      <c r="D102" s="39" t="n">
        <f aca="false">H62</f>
        <v>0.668325</v>
      </c>
      <c r="E102" s="39" t="n">
        <f aca="false">H80</f>
        <v>0.2507565</v>
      </c>
      <c r="F102" s="42" t="n">
        <v>1</v>
      </c>
    </row>
    <row r="103" customFormat="false" ht="15" hidden="false" customHeight="false" outlineLevel="0" collapsed="false">
      <c r="A103" s="6" t="s">
        <v>141</v>
      </c>
      <c r="B103" s="39" t="n">
        <f aca="false">H27</f>
        <v>0.372986</v>
      </c>
      <c r="C103" s="39" t="n">
        <f aca="false">H45</f>
        <v>0.09465525</v>
      </c>
      <c r="D103" s="39" t="n">
        <f aca="false">H63</f>
        <v>0.376211</v>
      </c>
      <c r="E103" s="39" t="n">
        <f aca="false">H81</f>
        <v>0.0896325</v>
      </c>
      <c r="F103" s="42" t="n">
        <v>1</v>
      </c>
    </row>
    <row r="104" customFormat="false" ht="15" hidden="false" customHeight="false" outlineLevel="0" collapsed="false">
      <c r="A104" s="6" t="s">
        <v>128</v>
      </c>
      <c r="B104" s="39" t="n">
        <f aca="false">H28</f>
        <v>0.007614</v>
      </c>
      <c r="C104" s="39" t="n">
        <f aca="false">H46</f>
        <v>0.001926</v>
      </c>
      <c r="D104" s="39" t="n">
        <f aca="false">H64</f>
        <v>0.00802</v>
      </c>
      <c r="E104" s="39" t="n">
        <f aca="false">H82</f>
        <v>0.002511</v>
      </c>
      <c r="F104" s="42" t="n">
        <v>1</v>
      </c>
    </row>
    <row r="105" customFormat="false" ht="15" hidden="false" customHeight="false" outlineLevel="0" collapsed="false">
      <c r="A105" s="6" t="s">
        <v>261</v>
      </c>
      <c r="B105" s="39" t="n">
        <f aca="false">H29</f>
        <v>0</v>
      </c>
      <c r="C105" s="39" t="n">
        <f aca="false">H47</f>
        <v>0</v>
      </c>
      <c r="D105" s="39" t="n">
        <f aca="false">H65</f>
        <v>0</v>
      </c>
      <c r="E105" s="39" t="n">
        <f aca="false">H83</f>
        <v>0</v>
      </c>
      <c r="F105" s="42" t="n">
        <v>1</v>
      </c>
    </row>
    <row r="106" customFormat="false" ht="15" hidden="false" customHeight="false" outlineLevel="0" collapsed="false">
      <c r="A106" s="6" t="s">
        <v>262</v>
      </c>
      <c r="B106" s="39" t="n">
        <f aca="false">H30</f>
        <v>0</v>
      </c>
      <c r="C106" s="39" t="n">
        <f aca="false">H48</f>
        <v>0</v>
      </c>
      <c r="D106" s="39" t="n">
        <f aca="false">H66</f>
        <v>0</v>
      </c>
      <c r="E106" s="39" t="n">
        <f aca="false">H84</f>
        <v>0</v>
      </c>
      <c r="F106" s="42" t="n">
        <v>1</v>
      </c>
    </row>
  </sheetData>
  <autoFilter ref="A12:P84"/>
  <mergeCells count="1">
    <mergeCell ref="I4:P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2"/>
    <col collapsed="false" customWidth="true" hidden="false" outlineLevel="0" max="3" min="3" style="0" width="8"/>
    <col collapsed="false" customWidth="true" hidden="false" outlineLevel="0" max="4" min="4" style="0" width="11"/>
    <col collapsed="false" customWidth="true" hidden="false" outlineLevel="0" max="5" min="5" style="0" width="12"/>
    <col collapsed="false" customWidth="true" hidden="false" outlineLevel="0" max="6" min="6" style="0" width="9"/>
    <col collapsed="false" customWidth="true" hidden="false" outlineLevel="0" max="7" min="7" style="0" width="10"/>
    <col collapsed="false" customWidth="true" hidden="false" outlineLevel="0" max="8" min="8" style="0" width="14"/>
    <col collapsed="false" customWidth="true" hidden="false" outlineLevel="0" max="10" min="9" style="0" width="12"/>
    <col collapsed="false" customWidth="true" hidden="false" outlineLevel="0" max="11" min="11" style="0" width="14"/>
    <col collapsed="false" customWidth="true" hidden="false" outlineLevel="0" max="12" min="12" style="0" width="26"/>
  </cols>
  <sheetData>
    <row r="1" customFormat="false" ht="17.35" hidden="false" customHeight="false" outlineLevel="0" collapsed="false">
      <c r="A1" s="1" t="s">
        <v>299</v>
      </c>
      <c r="B1" s="2"/>
      <c r="C1" s="2"/>
      <c r="D1" s="2"/>
      <c r="E1" s="2"/>
      <c r="F1" s="2"/>
      <c r="G1" s="2"/>
      <c r="H1" s="2"/>
      <c r="I1" s="2"/>
      <c r="J1" s="2"/>
      <c r="K1" s="2"/>
      <c r="L1" s="2"/>
    </row>
    <row r="2" customFormat="false" ht="15" hidden="false" customHeight="false" outlineLevel="0" collapsed="false">
      <c r="A2" s="15" t="s">
        <v>300</v>
      </c>
    </row>
    <row r="4" customFormat="false" ht="43.5" hidden="false" customHeight="true" outlineLevel="0" collapsed="false">
      <c r="A4" s="16" t="s">
        <v>243</v>
      </c>
      <c r="B4" s="16" t="s">
        <v>244</v>
      </c>
      <c r="C4" s="16" t="s">
        <v>245</v>
      </c>
      <c r="D4" s="16" t="s">
        <v>301</v>
      </c>
      <c r="E4" s="16" t="s">
        <v>302</v>
      </c>
      <c r="F4" s="16" t="s">
        <v>303</v>
      </c>
      <c r="G4" s="16" t="s">
        <v>304</v>
      </c>
      <c r="H4" s="16" t="s">
        <v>169</v>
      </c>
      <c r="I4" s="16" t="s">
        <v>305</v>
      </c>
      <c r="J4" s="16" t="s">
        <v>306</v>
      </c>
      <c r="K4" s="16" t="s">
        <v>307</v>
      </c>
      <c r="L4" s="16" t="s">
        <v>308</v>
      </c>
    </row>
    <row r="5" customFormat="false" ht="15" hidden="false" customHeight="false" outlineLevel="0" collapsed="false">
      <c r="A5" s="6" t="s">
        <v>251</v>
      </c>
      <c r="B5" s="6" t="s">
        <v>252</v>
      </c>
      <c r="C5" s="6" t="s">
        <v>254</v>
      </c>
      <c r="D5" s="35" t="n">
        <f aca="false">'Sim Data'!$E$41</f>
        <v>0</v>
      </c>
      <c r="E5" s="41" t="n">
        <f aca="false">IF('Sim Data'!$G$41&gt;0,'Sim Data'!$G$41,(Assumptions!$B$23+Assumptions!$B$24)/2)</f>
        <v>13.5</v>
      </c>
      <c r="F5" s="43" t="n">
        <f aca="false">Assumptions!$B$21</f>
        <v>900</v>
      </c>
      <c r="G5" s="39" t="n">
        <f aca="false">D5*E5/F5</f>
        <v>0</v>
      </c>
      <c r="H5" s="40" t="str">
        <f aca="false">IF(D5=0,"No arrivals",IF(G5&lt;1,"Stable: a seat is free","UNSTABLE: students wait for seats"))</f>
        <v>No arrivals</v>
      </c>
      <c r="I5" s="38" t="n">
        <f aca="false">'Sim Data'!$I$41</f>
        <v>0</v>
      </c>
      <c r="J5" s="33" t="n">
        <f aca="false">D5*E5</f>
        <v>0</v>
      </c>
      <c r="K5" s="34" t="str">
        <f aca="false">IF(MAX(I5,J5)&lt;5,"≈ 0",IF(J5=0,"no new diners",I5/J5))</f>
        <v>≈ 0</v>
      </c>
      <c r="L5" s="41" t="n">
        <f aca="false">'Sim Data'!$E$59*'Sim Data'!$G$59</f>
        <v>0</v>
      </c>
    </row>
    <row r="6" customFormat="false" ht="15" hidden="false" customHeight="false" outlineLevel="0" collapsed="false">
      <c r="A6" s="6" t="s">
        <v>251</v>
      </c>
      <c r="B6" s="6" t="s">
        <v>252</v>
      </c>
      <c r="C6" s="6" t="s">
        <v>255</v>
      </c>
      <c r="D6" s="35" t="n">
        <f aca="false">'Sim Data'!$E$42</f>
        <v>0</v>
      </c>
      <c r="E6" s="41" t="n">
        <f aca="false">IF('Sim Data'!$G$42&gt;0,'Sim Data'!$G$42,(Assumptions!$B$23+Assumptions!$B$24)/2)</f>
        <v>13.5</v>
      </c>
      <c r="F6" s="43" t="n">
        <f aca="false">Assumptions!$B$21</f>
        <v>900</v>
      </c>
      <c r="G6" s="39" t="n">
        <f aca="false">D6*E6/F6</f>
        <v>0</v>
      </c>
      <c r="H6" s="40" t="str">
        <f aca="false">IF(D6=0,"No arrivals",IF(G6&lt;1,"Stable: a seat is free","UNSTABLE: students wait for seats"))</f>
        <v>No arrivals</v>
      </c>
      <c r="I6" s="38" t="n">
        <f aca="false">'Sim Data'!$I$42</f>
        <v>0</v>
      </c>
      <c r="J6" s="33" t="n">
        <f aca="false">D6*E6</f>
        <v>0</v>
      </c>
      <c r="K6" s="34" t="str">
        <f aca="false">IF(MAX(I6,J6)&lt;5,"≈ 0",IF(J6=0,"no new diners",I6/J6))</f>
        <v>≈ 0</v>
      </c>
      <c r="L6" s="41" t="n">
        <f aca="false">'Sim Data'!$E$60*'Sim Data'!$G$60</f>
        <v>0</v>
      </c>
    </row>
    <row r="7" customFormat="false" ht="15" hidden="false" customHeight="false" outlineLevel="0" collapsed="false">
      <c r="A7" s="6" t="s">
        <v>251</v>
      </c>
      <c r="B7" s="6" t="s">
        <v>252</v>
      </c>
      <c r="C7" s="6" t="s">
        <v>256</v>
      </c>
      <c r="D7" s="35" t="n">
        <f aca="false">'Sim Data'!$E$43</f>
        <v>0</v>
      </c>
      <c r="E7" s="41" t="n">
        <f aca="false">IF('Sim Data'!$G$43&gt;0,'Sim Data'!$G$43,(Assumptions!$B$23+Assumptions!$B$24)/2)</f>
        <v>13.5</v>
      </c>
      <c r="F7" s="43" t="n">
        <f aca="false">Assumptions!$B$21</f>
        <v>900</v>
      </c>
      <c r="G7" s="39" t="n">
        <f aca="false">D7*E7/F7</f>
        <v>0</v>
      </c>
      <c r="H7" s="40" t="str">
        <f aca="false">IF(D7=0,"No arrivals",IF(G7&lt;1,"Stable: a seat is free","UNSTABLE: students wait for seats"))</f>
        <v>No arrivals</v>
      </c>
      <c r="I7" s="38" t="n">
        <f aca="false">'Sim Data'!$I$43</f>
        <v>0</v>
      </c>
      <c r="J7" s="33" t="n">
        <f aca="false">D7*E7</f>
        <v>0</v>
      </c>
      <c r="K7" s="34" t="str">
        <f aca="false">IF(MAX(I7,J7)&lt;5,"≈ 0",IF(J7=0,"no new diners",I7/J7))</f>
        <v>≈ 0</v>
      </c>
      <c r="L7" s="41" t="n">
        <f aca="false">'Sim Data'!$E$61*'Sim Data'!$G$61</f>
        <v>0</v>
      </c>
    </row>
    <row r="8" customFormat="false" ht="15" hidden="false" customHeight="false" outlineLevel="0" collapsed="false">
      <c r="A8" s="6" t="s">
        <v>251</v>
      </c>
      <c r="B8" s="6" t="s">
        <v>252</v>
      </c>
      <c r="C8" s="6" t="s">
        <v>124</v>
      </c>
      <c r="D8" s="35" t="n">
        <f aca="false">'Sim Data'!$E$44</f>
        <v>11.705</v>
      </c>
      <c r="E8" s="41" t="n">
        <f aca="false">IF('Sim Data'!$G$44&gt;0,'Sim Data'!$G$44,(Assumptions!$B$23+Assumptions!$B$24)/2)</f>
        <v>13.4814</v>
      </c>
      <c r="F8" s="43" t="n">
        <f aca="false">Assumptions!$B$21</f>
        <v>900</v>
      </c>
      <c r="G8" s="39" t="n">
        <f aca="false">D8*E8/F8</f>
        <v>0.175333096666667</v>
      </c>
      <c r="H8" s="40" t="str">
        <f aca="false">IF(D8=0,"No arrivals",IF(G8&lt;1,"Stable: a seat is free","UNSTABLE: students wait for seats"))</f>
        <v>Stable: a seat is free</v>
      </c>
      <c r="I8" s="38" t="n">
        <f aca="false">'Sim Data'!$I$44</f>
        <v>45.3753</v>
      </c>
      <c r="J8" s="33" t="n">
        <f aca="false">D8*E8</f>
        <v>157.799787</v>
      </c>
      <c r="K8" s="34" t="n">
        <f aca="false">IF(MAX(I8,J8)&lt;5,"≈ 0",IF(J8=0,"no new diners",I8/J8))</f>
        <v>0.287549817795381</v>
      </c>
      <c r="L8" s="41" t="n">
        <f aca="false">'Sim Data'!$E$62*'Sim Data'!$G$62</f>
        <v>0</v>
      </c>
    </row>
    <row r="9" customFormat="false" ht="15" hidden="false" customHeight="false" outlineLevel="0" collapsed="false">
      <c r="A9" s="6" t="s">
        <v>251</v>
      </c>
      <c r="B9" s="6" t="s">
        <v>252</v>
      </c>
      <c r="C9" s="6" t="s">
        <v>257</v>
      </c>
      <c r="D9" s="35" t="n">
        <f aca="false">'Sim Data'!$E$45</f>
        <v>17.93</v>
      </c>
      <c r="E9" s="41" t="n">
        <f aca="false">IF('Sim Data'!$G$45&gt;0,'Sim Data'!$G$45,(Assumptions!$B$23+Assumptions!$B$24)/2)</f>
        <v>13.5153</v>
      </c>
      <c r="F9" s="43" t="n">
        <f aca="false">Assumptions!$B$21</f>
        <v>900</v>
      </c>
      <c r="G9" s="39" t="n">
        <f aca="false">D9*E9/F9</f>
        <v>0.26925481</v>
      </c>
      <c r="H9" s="40" t="str">
        <f aca="false">IF(D9=0,"No arrivals",IF(G9&lt;1,"Stable: a seat is free","UNSTABLE: students wait for seats"))</f>
        <v>Stable: a seat is free</v>
      </c>
      <c r="I9" s="38" t="n">
        <f aca="false">'Sim Data'!$I$45</f>
        <v>189.0406</v>
      </c>
      <c r="J9" s="33" t="n">
        <f aca="false">D9*E9</f>
        <v>242.329329</v>
      </c>
      <c r="K9" s="34" t="n">
        <f aca="false">IF(MAX(I9,J9)&lt;5,"≈ 0",IF(J9=0,"no new diners",I9/J9))</f>
        <v>0.780097897271032</v>
      </c>
      <c r="L9" s="41" t="n">
        <f aca="false">'Sim Data'!$E$63*'Sim Data'!$G$63</f>
        <v>9.4543055</v>
      </c>
    </row>
    <row r="10" customFormat="false" ht="15" hidden="false" customHeight="false" outlineLevel="0" collapsed="false">
      <c r="A10" s="6" t="s">
        <v>251</v>
      </c>
      <c r="B10" s="6" t="s">
        <v>252</v>
      </c>
      <c r="C10" s="6" t="s">
        <v>258</v>
      </c>
      <c r="D10" s="35" t="n">
        <f aca="false">'Sim Data'!$E$46</f>
        <v>18.91</v>
      </c>
      <c r="E10" s="41" t="n">
        <f aca="false">IF('Sim Data'!$G$46&gt;0,'Sim Data'!$G$46,(Assumptions!$B$23+Assumptions!$B$24)/2)</f>
        <v>13.5054</v>
      </c>
      <c r="F10" s="43" t="n">
        <f aca="false">Assumptions!$B$21</f>
        <v>900</v>
      </c>
      <c r="G10" s="39" t="n">
        <f aca="false">D10*E10/F10</f>
        <v>0.28376346</v>
      </c>
      <c r="H10" s="40" t="str">
        <f aca="false">IF(D10=0,"No arrivals",IF(G10&lt;1,"Stable: a seat is free","UNSTABLE: students wait for seats"))</f>
        <v>Stable: a seat is free</v>
      </c>
      <c r="I10" s="38" t="n">
        <f aca="false">'Sim Data'!$I$46</f>
        <v>246.9507</v>
      </c>
      <c r="J10" s="33" t="n">
        <f aca="false">D10*E10</f>
        <v>255.387114</v>
      </c>
      <c r="K10" s="34" t="n">
        <f aca="false">IF(MAX(I10,J10)&lt;5,"≈ 0",IF(J10=0,"no new diners",I10/J10))</f>
        <v>0.966966171989398</v>
      </c>
      <c r="L10" s="41" t="n">
        <f aca="false">'Sim Data'!$E$64*'Sim Data'!$G$64</f>
        <v>25.150209</v>
      </c>
    </row>
    <row r="11" customFormat="false" ht="15" hidden="false" customHeight="false" outlineLevel="0" collapsed="false">
      <c r="A11" s="6" t="s">
        <v>251</v>
      </c>
      <c r="B11" s="6" t="s">
        <v>252</v>
      </c>
      <c r="C11" s="6" t="s">
        <v>133</v>
      </c>
      <c r="D11" s="35" t="n">
        <f aca="false">'Sim Data'!$E$47</f>
        <v>19.7</v>
      </c>
      <c r="E11" s="41" t="n">
        <f aca="false">IF('Sim Data'!$G$47&gt;0,'Sim Data'!$G$47,(Assumptions!$B$23+Assumptions!$B$24)/2)</f>
        <v>13.4964</v>
      </c>
      <c r="F11" s="43" t="n">
        <f aca="false">Assumptions!$B$21</f>
        <v>900</v>
      </c>
      <c r="G11" s="39" t="n">
        <f aca="false">D11*E11/F11</f>
        <v>0.2954212</v>
      </c>
      <c r="H11" s="40" t="str">
        <f aca="false">IF(D11=0,"No arrivals",IF(G11&lt;1,"Stable: a seat is free","UNSTABLE: students wait for seats"))</f>
        <v>Stable: a seat is free</v>
      </c>
      <c r="I11" s="38" t="n">
        <f aca="false">'Sim Data'!$I$47</f>
        <v>257.7536</v>
      </c>
      <c r="J11" s="33" t="n">
        <f aca="false">D11*E11</f>
        <v>265.87908</v>
      </c>
      <c r="K11" s="34" t="n">
        <f aca="false">IF(MAX(I11,J11)&lt;5,"≈ 0",IF(J11=0,"no new diners",I11/J11))</f>
        <v>0.969439190176226</v>
      </c>
      <c r="L11" s="41" t="n">
        <f aca="false">'Sim Data'!$E$65*'Sim Data'!$G$65</f>
        <v>28.1792255</v>
      </c>
    </row>
    <row r="12" customFormat="false" ht="15" hidden="false" customHeight="false" outlineLevel="0" collapsed="false">
      <c r="A12" s="6" t="s">
        <v>251</v>
      </c>
      <c r="B12" s="6" t="s">
        <v>252</v>
      </c>
      <c r="C12" s="6" t="s">
        <v>137</v>
      </c>
      <c r="D12" s="35" t="n">
        <f aca="false">'Sim Data'!$E$48</f>
        <v>19.83</v>
      </c>
      <c r="E12" s="41" t="n">
        <f aca="false">IF('Sim Data'!$G$48&gt;0,'Sim Data'!$G$48,(Assumptions!$B$23+Assumptions!$B$24)/2)</f>
        <v>13.5024</v>
      </c>
      <c r="F12" s="43" t="n">
        <f aca="false">Assumptions!$B$21</f>
        <v>900</v>
      </c>
      <c r="G12" s="39" t="n">
        <f aca="false">D12*E12/F12</f>
        <v>0.29750288</v>
      </c>
      <c r="H12" s="40" t="str">
        <f aca="false">IF(D12=0,"No arrivals",IF(G12&lt;1,"Stable: a seat is free","UNSTABLE: students wait for seats"))</f>
        <v>Stable: a seat is free</v>
      </c>
      <c r="I12" s="38" t="n">
        <f aca="false">'Sim Data'!$I$48</f>
        <v>268.3553</v>
      </c>
      <c r="J12" s="33" t="n">
        <f aca="false">D12*E12</f>
        <v>267.752592</v>
      </c>
      <c r="K12" s="34" t="n">
        <f aca="false">IF(MAX(I12,J12)&lt;5,"≈ 0",IF(J12=0,"no new diners",I12/J12))</f>
        <v>1.00225098847969</v>
      </c>
      <c r="L12" s="41" t="n">
        <f aca="false">'Sim Data'!$E$66*'Sim Data'!$G$66</f>
        <v>28.9962205</v>
      </c>
    </row>
    <row r="13" customFormat="false" ht="15" hidden="false" customHeight="false" outlineLevel="0" collapsed="false">
      <c r="A13" s="6" t="s">
        <v>251</v>
      </c>
      <c r="B13" s="6" t="s">
        <v>252</v>
      </c>
      <c r="C13" s="6" t="s">
        <v>140</v>
      </c>
      <c r="D13" s="35" t="n">
        <f aca="false">'Sim Data'!$E$49</f>
        <v>16.155</v>
      </c>
      <c r="E13" s="41" t="n">
        <f aca="false">IF('Sim Data'!$G$49&gt;0,'Sim Data'!$G$49,(Assumptions!$B$23+Assumptions!$B$24)/2)</f>
        <v>13.4823</v>
      </c>
      <c r="F13" s="43" t="n">
        <f aca="false">Assumptions!$B$21</f>
        <v>900</v>
      </c>
      <c r="G13" s="39" t="n">
        <f aca="false">D13*E13/F13</f>
        <v>0.242007285</v>
      </c>
      <c r="H13" s="40" t="str">
        <f aca="false">IF(D13=0,"No arrivals",IF(G13&lt;1,"Stable: a seat is free","UNSTABLE: students wait for seats"))</f>
        <v>Stable: a seat is free</v>
      </c>
      <c r="I13" s="38" t="n">
        <f aca="false">'Sim Data'!$I$49</f>
        <v>245.4804</v>
      </c>
      <c r="J13" s="33" t="n">
        <f aca="false">D13*E13</f>
        <v>217.8065565</v>
      </c>
      <c r="K13" s="34" t="n">
        <f aca="false">IF(MAX(I13,J13)&lt;5,"≈ 0",IF(J13=0,"no new diners",I13/J13))</f>
        <v>1.12705698094997</v>
      </c>
      <c r="L13" s="41" t="n">
        <f aca="false">'Sim Data'!$E$67*'Sim Data'!$G$67</f>
        <v>30.1335255</v>
      </c>
    </row>
    <row r="14" customFormat="false" ht="15" hidden="false" customHeight="false" outlineLevel="0" collapsed="false">
      <c r="A14" s="6" t="s">
        <v>251</v>
      </c>
      <c r="B14" s="6" t="s">
        <v>252</v>
      </c>
      <c r="C14" s="6" t="s">
        <v>125</v>
      </c>
      <c r="D14" s="35" t="n">
        <f aca="false">'Sim Data'!$E$50</f>
        <v>19.42</v>
      </c>
      <c r="E14" s="41" t="n">
        <f aca="false">IF('Sim Data'!$G$50&gt;0,'Sim Data'!$G$50,(Assumptions!$B$23+Assumptions!$B$24)/2)</f>
        <v>13.4982</v>
      </c>
      <c r="F14" s="43" t="n">
        <f aca="false">Assumptions!$B$21</f>
        <v>900</v>
      </c>
      <c r="G14" s="39" t="n">
        <f aca="false">D14*E14/F14</f>
        <v>0.29126116</v>
      </c>
      <c r="H14" s="40" t="str">
        <f aca="false">IF(D14=0,"No arrivals",IF(G14&lt;1,"Stable: a seat is free","UNSTABLE: students wait for seats"))</f>
        <v>Stable: a seat is free</v>
      </c>
      <c r="I14" s="38" t="n">
        <f aca="false">'Sim Data'!$I$50</f>
        <v>236.9224</v>
      </c>
      <c r="J14" s="33" t="n">
        <f aca="false">D14*E14</f>
        <v>262.135044</v>
      </c>
      <c r="K14" s="34" t="n">
        <f aca="false">IF(MAX(I14,J14)&lt;5,"≈ 0",IF(J14=0,"no new diners",I14/J14))</f>
        <v>0.903818109874695</v>
      </c>
      <c r="L14" s="41" t="n">
        <f aca="false">'Sim Data'!$E$68*'Sim Data'!$G$68</f>
        <v>24.91071</v>
      </c>
    </row>
    <row r="15" customFormat="false" ht="15" hidden="false" customHeight="false" outlineLevel="0" collapsed="false">
      <c r="A15" s="6" t="s">
        <v>251</v>
      </c>
      <c r="B15" s="6" t="s">
        <v>252</v>
      </c>
      <c r="C15" s="6" t="s">
        <v>259</v>
      </c>
      <c r="D15" s="35" t="n">
        <f aca="false">'Sim Data'!$E$51</f>
        <v>20.115</v>
      </c>
      <c r="E15" s="41" t="n">
        <f aca="false">IF('Sim Data'!$G$51&gt;0,'Sim Data'!$G$51,(Assumptions!$B$23+Assumptions!$B$24)/2)</f>
        <v>13.4738</v>
      </c>
      <c r="F15" s="43" t="n">
        <f aca="false">Assumptions!$B$21</f>
        <v>900</v>
      </c>
      <c r="G15" s="39" t="n">
        <f aca="false">D15*E15/F15</f>
        <v>0.30113943</v>
      </c>
      <c r="H15" s="40" t="str">
        <f aca="false">IF(D15=0,"No arrivals",IF(G15&lt;1,"Stable: a seat is free","UNSTABLE: students wait for seats"))</f>
        <v>Stable: a seat is free</v>
      </c>
      <c r="I15" s="38" t="n">
        <f aca="false">'Sim Data'!$I$51</f>
        <v>266.1209</v>
      </c>
      <c r="J15" s="33" t="n">
        <f aca="false">D15*E15</f>
        <v>271.025487</v>
      </c>
      <c r="K15" s="34" t="n">
        <f aca="false">IF(MAX(I15,J15)&lt;5,"≈ 0",IF(J15=0,"no new diners",I15/J15))</f>
        <v>0.981903594919101</v>
      </c>
      <c r="L15" s="41" t="n">
        <f aca="false">'Sim Data'!$E$69*'Sim Data'!$G$69</f>
        <v>28.0665735</v>
      </c>
    </row>
    <row r="16" customFormat="false" ht="15" hidden="false" customHeight="false" outlineLevel="0" collapsed="false">
      <c r="A16" s="6" t="s">
        <v>251</v>
      </c>
      <c r="B16" s="6" t="s">
        <v>252</v>
      </c>
      <c r="C16" s="6" t="s">
        <v>260</v>
      </c>
      <c r="D16" s="35" t="n">
        <f aca="false">'Sim Data'!$E$52</f>
        <v>19.965</v>
      </c>
      <c r="E16" s="41" t="n">
        <f aca="false">IF('Sim Data'!$G$52&gt;0,'Sim Data'!$G$52,(Assumptions!$B$23+Assumptions!$B$24)/2)</f>
        <v>13.4879</v>
      </c>
      <c r="F16" s="43" t="n">
        <f aca="false">Assumptions!$B$21</f>
        <v>900</v>
      </c>
      <c r="G16" s="39" t="n">
        <f aca="false">D16*E16/F16</f>
        <v>0.299206581666667</v>
      </c>
      <c r="H16" s="40" t="str">
        <f aca="false">IF(D16=0,"No arrivals",IF(G16&lt;1,"Stable: a seat is free","UNSTABLE: students wait for seats"))</f>
        <v>Stable: a seat is free</v>
      </c>
      <c r="I16" s="38" t="n">
        <f aca="false">'Sim Data'!$I$52</f>
        <v>271.5178</v>
      </c>
      <c r="J16" s="33" t="n">
        <f aca="false">D16*E16</f>
        <v>269.2859235</v>
      </c>
      <c r="K16" s="34" t="n">
        <f aca="false">IF(MAX(I16,J16)&lt;5,"≈ 0",IF(J16=0,"no new diners",I16/J16))</f>
        <v>1.00828812910453</v>
      </c>
      <c r="L16" s="41" t="n">
        <f aca="false">'Sim Data'!$E$70*'Sim Data'!$G$70</f>
        <v>30.695106</v>
      </c>
    </row>
    <row r="17" customFormat="false" ht="15" hidden="false" customHeight="false" outlineLevel="0" collapsed="false">
      <c r="A17" s="6" t="s">
        <v>251</v>
      </c>
      <c r="B17" s="6" t="s">
        <v>252</v>
      </c>
      <c r="C17" s="6" t="s">
        <v>134</v>
      </c>
      <c r="D17" s="35" t="n">
        <f aca="false">'Sim Data'!$E$53</f>
        <v>19.44</v>
      </c>
      <c r="E17" s="41" t="n">
        <f aca="false">IF('Sim Data'!$G$53&gt;0,'Sim Data'!$G$53,(Assumptions!$B$23+Assumptions!$B$24)/2)</f>
        <v>13.482</v>
      </c>
      <c r="F17" s="43" t="n">
        <f aca="false">Assumptions!$B$21</f>
        <v>900</v>
      </c>
      <c r="G17" s="39" t="n">
        <f aca="false">D17*E17/F17</f>
        <v>0.2912112</v>
      </c>
      <c r="H17" s="40" t="str">
        <f aca="false">IF(D17=0,"No arrivals",IF(G17&lt;1,"Stable: a seat is free","UNSTABLE: students wait for seats"))</f>
        <v>Stable: a seat is free</v>
      </c>
      <c r="I17" s="38" t="n">
        <f aca="false">'Sim Data'!$I$53</f>
        <v>268.2151</v>
      </c>
      <c r="J17" s="33" t="n">
        <f aca="false">D17*E17</f>
        <v>262.09008</v>
      </c>
      <c r="K17" s="34" t="n">
        <f aca="false">IF(MAX(I17,J17)&lt;5,"≈ 0",IF(J17=0,"no new diners",I17/J17))</f>
        <v>1.02336990396584</v>
      </c>
      <c r="L17" s="41" t="n">
        <f aca="false">'Sim Data'!$E$71*'Sim Data'!$G$71</f>
        <v>29.947695</v>
      </c>
    </row>
    <row r="18" customFormat="false" ht="15" hidden="false" customHeight="false" outlineLevel="0" collapsed="false">
      <c r="A18" s="6" t="s">
        <v>251</v>
      </c>
      <c r="B18" s="6" t="s">
        <v>252</v>
      </c>
      <c r="C18" s="6" t="s">
        <v>138</v>
      </c>
      <c r="D18" s="35" t="n">
        <f aca="false">'Sim Data'!$E$54</f>
        <v>19.31</v>
      </c>
      <c r="E18" s="41" t="n">
        <f aca="false">IF('Sim Data'!$G$54&gt;0,'Sim Data'!$G$54,(Assumptions!$B$23+Assumptions!$B$24)/2)</f>
        <v>13.5043</v>
      </c>
      <c r="F18" s="43" t="n">
        <f aca="false">Assumptions!$B$21</f>
        <v>900</v>
      </c>
      <c r="G18" s="39" t="n">
        <f aca="false">D18*E18/F18</f>
        <v>0.289742258888889</v>
      </c>
      <c r="H18" s="40" t="str">
        <f aca="false">IF(D18=0,"No arrivals",IF(G18&lt;1,"Stable: a seat is free","UNSTABLE: students wait for seats"))</f>
        <v>Stable: a seat is free</v>
      </c>
      <c r="I18" s="38" t="n">
        <f aca="false">'Sim Data'!$I$54</f>
        <v>260.0159</v>
      </c>
      <c r="J18" s="33" t="n">
        <f aca="false">D18*E18</f>
        <v>260.768033</v>
      </c>
      <c r="K18" s="34" t="n">
        <f aca="false">IF(MAX(I18,J18)&lt;5,"≈ 0",IF(J18=0,"no new diners",I18/J18))</f>
        <v>0.997115700911085</v>
      </c>
      <c r="L18" s="41" t="n">
        <f aca="false">'Sim Data'!$E$72*'Sim Data'!$G$72</f>
        <v>29.985004</v>
      </c>
    </row>
    <row r="19" customFormat="false" ht="15" hidden="false" customHeight="false" outlineLevel="0" collapsed="false">
      <c r="A19" s="6" t="s">
        <v>251</v>
      </c>
      <c r="B19" s="6" t="s">
        <v>252</v>
      </c>
      <c r="C19" s="6" t="s">
        <v>141</v>
      </c>
      <c r="D19" s="35" t="n">
        <f aca="false">'Sim Data'!$E$55</f>
        <v>19.82</v>
      </c>
      <c r="E19" s="41" t="n">
        <f aca="false">IF('Sim Data'!$G$55&gt;0,'Sim Data'!$G$55,(Assumptions!$B$23+Assumptions!$B$24)/2)</f>
        <v>13.4834</v>
      </c>
      <c r="F19" s="43" t="n">
        <f aca="false">Assumptions!$B$21</f>
        <v>900</v>
      </c>
      <c r="G19" s="39" t="n">
        <f aca="false">D19*E19/F19</f>
        <v>0.296934431111111</v>
      </c>
      <c r="H19" s="40" t="str">
        <f aca="false">IF(D19=0,"No arrivals",IF(G19&lt;1,"Stable: a seat is free","UNSTABLE: students wait for seats"))</f>
        <v>Stable: a seat is free</v>
      </c>
      <c r="I19" s="38" t="n">
        <f aca="false">'Sim Data'!$I$55</f>
        <v>264.3403</v>
      </c>
      <c r="J19" s="33" t="n">
        <f aca="false">D19*E19</f>
        <v>267.240988</v>
      </c>
      <c r="K19" s="34" t="n">
        <f aca="false">IF(MAX(I19,J19)&lt;5,"≈ 0",IF(J19=0,"no new diners",I19/J19))</f>
        <v>0.989145796751807</v>
      </c>
      <c r="L19" s="41" t="n">
        <f aca="false">'Sim Data'!$E$73*'Sim Data'!$G$73</f>
        <v>28.5819175</v>
      </c>
    </row>
    <row r="20" customFormat="false" ht="15" hidden="false" customHeight="false" outlineLevel="0" collapsed="false">
      <c r="A20" s="6" t="s">
        <v>251</v>
      </c>
      <c r="B20" s="6" t="s">
        <v>252</v>
      </c>
      <c r="C20" s="6" t="s">
        <v>128</v>
      </c>
      <c r="D20" s="35" t="n">
        <f aca="false">'Sim Data'!$E$56</f>
        <v>13.56</v>
      </c>
      <c r="E20" s="41" t="n">
        <f aca="false">IF('Sim Data'!$G$56&gt;0,'Sim Data'!$G$56,(Assumptions!$B$23+Assumptions!$B$24)/2)</f>
        <v>13.5204</v>
      </c>
      <c r="F20" s="43" t="n">
        <f aca="false">Assumptions!$B$21</f>
        <v>900</v>
      </c>
      <c r="G20" s="39" t="n">
        <f aca="false">D20*E20/F20</f>
        <v>0.20370736</v>
      </c>
      <c r="H20" s="40" t="str">
        <f aca="false">IF(D20=0,"No arrivals",IF(G20&lt;1,"Stable: a seat is free","UNSTABLE: students wait for seats"))</f>
        <v>Stable: a seat is free</v>
      </c>
      <c r="I20" s="38" t="n">
        <f aca="false">'Sim Data'!$I$56</f>
        <v>251.6354</v>
      </c>
      <c r="J20" s="33" t="n">
        <f aca="false">D20*E20</f>
        <v>183.336624</v>
      </c>
      <c r="K20" s="34" t="n">
        <f aca="false">IF(MAX(I20,J20)&lt;5,"≈ 0",IF(J20=0,"no new diners",I20/J20))</f>
        <v>1.37253209156944</v>
      </c>
      <c r="L20" s="41" t="n">
        <f aca="false">'Sim Data'!$E$74*'Sim Data'!$G$74</f>
        <v>29.74437</v>
      </c>
    </row>
    <row r="21" customFormat="false" ht="15" hidden="false" customHeight="false" outlineLevel="0" collapsed="false">
      <c r="A21" s="6" t="s">
        <v>251</v>
      </c>
      <c r="B21" s="6" t="s">
        <v>252</v>
      </c>
      <c r="C21" s="6" t="s">
        <v>261</v>
      </c>
      <c r="D21" s="35" t="n">
        <f aca="false">'Sim Data'!$E$57</f>
        <v>0.07</v>
      </c>
      <c r="E21" s="41" t="n">
        <f aca="false">IF('Sim Data'!$G$57&gt;0,'Sim Data'!$G$57,(Assumptions!$B$23+Assumptions!$B$24)/2)</f>
        <v>13.4319</v>
      </c>
      <c r="F21" s="43" t="n">
        <f aca="false">Assumptions!$B$21</f>
        <v>900</v>
      </c>
      <c r="G21" s="39" t="n">
        <f aca="false">D21*E21/F21</f>
        <v>0.00104470333333333</v>
      </c>
      <c r="H21" s="40" t="str">
        <f aca="false">IF(D21=0,"No arrivals",IF(G21&lt;1,"Stable: a seat is free","UNSTABLE: students wait for seats"))</f>
        <v>Stable: a seat is free</v>
      </c>
      <c r="I21" s="38" t="n">
        <f aca="false">'Sim Data'!$I$57</f>
        <v>108.3134</v>
      </c>
      <c r="J21" s="33" t="n">
        <f aca="false">D21*E21</f>
        <v>0.940233</v>
      </c>
      <c r="K21" s="34" t="n">
        <f aca="false">IF(MAX(I21,J21)&lt;5,"≈ 0",IF(J21=0,"no new diners",I21/J21))</f>
        <v>115.198466763026</v>
      </c>
      <c r="L21" s="41" t="n">
        <f aca="false">'Sim Data'!$E$75*'Sim Data'!$G$75</f>
        <v>26.9754375</v>
      </c>
    </row>
    <row r="22" customFormat="false" ht="15" hidden="false" customHeight="false" outlineLevel="0" collapsed="false">
      <c r="A22" s="6" t="s">
        <v>251</v>
      </c>
      <c r="B22" s="6" t="s">
        <v>252</v>
      </c>
      <c r="C22" s="6" t="s">
        <v>262</v>
      </c>
      <c r="D22" s="35" t="n">
        <f aca="false">'Sim Data'!$E$58</f>
        <v>0</v>
      </c>
      <c r="E22" s="41" t="n">
        <f aca="false">IF('Sim Data'!$G$58&gt;0,'Sim Data'!$G$58,(Assumptions!$B$23+Assumptions!$B$24)/2)</f>
        <v>13.5</v>
      </c>
      <c r="F22" s="43" t="n">
        <f aca="false">Assumptions!$B$21</f>
        <v>900</v>
      </c>
      <c r="G22" s="39" t="n">
        <f aca="false">D22*E22/F22</f>
        <v>0</v>
      </c>
      <c r="H22" s="40" t="str">
        <f aca="false">IF(D22=0,"No arrivals",IF(G22&lt;1,"Stable: a seat is free","UNSTABLE: students wait for seats"))</f>
        <v>No arrivals</v>
      </c>
      <c r="I22" s="38" t="n">
        <f aca="false">'Sim Data'!$I$58</f>
        <v>3.738</v>
      </c>
      <c r="J22" s="33" t="n">
        <f aca="false">D22*E22</f>
        <v>0</v>
      </c>
      <c r="K22" s="34" t="str">
        <f aca="false">IF(MAX(I22,J22)&lt;5,"≈ 0",IF(J22=0,"no new diners",I22/J22))</f>
        <v>≈ 0</v>
      </c>
      <c r="L22" s="41" t="n">
        <f aca="false">'Sim Data'!$E$76*'Sim Data'!$G$76</f>
        <v>3.5316545</v>
      </c>
    </row>
    <row r="23" customFormat="false" ht="15" hidden="false" customHeight="false" outlineLevel="0" collapsed="false">
      <c r="A23" s="6" t="s">
        <v>251</v>
      </c>
      <c r="B23" s="6" t="s">
        <v>266</v>
      </c>
      <c r="C23" s="6" t="s">
        <v>254</v>
      </c>
      <c r="D23" s="35" t="n">
        <f aca="false">'Sim Data'!$E$131</f>
        <v>0</v>
      </c>
      <c r="E23" s="41" t="n">
        <f aca="false">IF('Sim Data'!$G$131&gt;0,'Sim Data'!$G$131,(Assumptions!$B$23+Assumptions!$B$24)/2)</f>
        <v>13.5</v>
      </c>
      <c r="F23" s="43" t="n">
        <f aca="false">Assumptions!$B$22</f>
        <v>492</v>
      </c>
      <c r="G23" s="39" t="n">
        <f aca="false">D23*E23/F23</f>
        <v>0</v>
      </c>
      <c r="H23" s="40" t="str">
        <f aca="false">IF(D23=0,"No arrivals",IF(G23&lt;1,"Stable: a seat is free","UNSTABLE: students wait for seats"))</f>
        <v>No arrivals</v>
      </c>
      <c r="I23" s="38" t="n">
        <f aca="false">'Sim Data'!$I$131</f>
        <v>0</v>
      </c>
      <c r="J23" s="33" t="n">
        <f aca="false">D23*E23</f>
        <v>0</v>
      </c>
      <c r="K23" s="34" t="str">
        <f aca="false">IF(MAX(I23,J23)&lt;5,"≈ 0",IF(J23=0,"no new diners",I23/J23))</f>
        <v>≈ 0</v>
      </c>
      <c r="L23" s="41" t="n">
        <f aca="false">'Sim Data'!$E$149*'Sim Data'!$G$149</f>
        <v>0</v>
      </c>
    </row>
    <row r="24" customFormat="false" ht="15" hidden="false" customHeight="false" outlineLevel="0" collapsed="false">
      <c r="A24" s="6" t="s">
        <v>251</v>
      </c>
      <c r="B24" s="6" t="s">
        <v>266</v>
      </c>
      <c r="C24" s="6" t="s">
        <v>255</v>
      </c>
      <c r="D24" s="35" t="n">
        <f aca="false">'Sim Data'!$E$132</f>
        <v>0</v>
      </c>
      <c r="E24" s="41" t="n">
        <f aca="false">IF('Sim Data'!$G$132&gt;0,'Sim Data'!$G$132,(Assumptions!$B$23+Assumptions!$B$24)/2)</f>
        <v>13.5</v>
      </c>
      <c r="F24" s="43" t="n">
        <f aca="false">Assumptions!$B$22</f>
        <v>492</v>
      </c>
      <c r="G24" s="39" t="n">
        <f aca="false">D24*E24/F24</f>
        <v>0</v>
      </c>
      <c r="H24" s="40" t="str">
        <f aca="false">IF(D24=0,"No arrivals",IF(G24&lt;1,"Stable: a seat is free","UNSTABLE: students wait for seats"))</f>
        <v>No arrivals</v>
      </c>
      <c r="I24" s="38" t="n">
        <f aca="false">'Sim Data'!$I$132</f>
        <v>0</v>
      </c>
      <c r="J24" s="33" t="n">
        <f aca="false">D24*E24</f>
        <v>0</v>
      </c>
      <c r="K24" s="34" t="str">
        <f aca="false">IF(MAX(I24,J24)&lt;5,"≈ 0",IF(J24=0,"no new diners",I24/J24))</f>
        <v>≈ 0</v>
      </c>
      <c r="L24" s="41" t="n">
        <f aca="false">'Sim Data'!$E$150*'Sim Data'!$G$150</f>
        <v>0</v>
      </c>
    </row>
    <row r="25" customFormat="false" ht="15" hidden="false" customHeight="false" outlineLevel="0" collapsed="false">
      <c r="A25" s="6" t="s">
        <v>251</v>
      </c>
      <c r="B25" s="6" t="s">
        <v>266</v>
      </c>
      <c r="C25" s="6" t="s">
        <v>256</v>
      </c>
      <c r="D25" s="35" t="n">
        <f aca="false">'Sim Data'!$E$133</f>
        <v>0</v>
      </c>
      <c r="E25" s="41" t="n">
        <f aca="false">IF('Sim Data'!$G$133&gt;0,'Sim Data'!$G$133,(Assumptions!$B$23+Assumptions!$B$24)/2)</f>
        <v>13.5</v>
      </c>
      <c r="F25" s="43" t="n">
        <f aca="false">Assumptions!$B$22</f>
        <v>492</v>
      </c>
      <c r="G25" s="39" t="n">
        <f aca="false">D25*E25/F25</f>
        <v>0</v>
      </c>
      <c r="H25" s="40" t="str">
        <f aca="false">IF(D25=0,"No arrivals",IF(G25&lt;1,"Stable: a seat is free","UNSTABLE: students wait for seats"))</f>
        <v>No arrivals</v>
      </c>
      <c r="I25" s="38" t="n">
        <f aca="false">'Sim Data'!$I$133</f>
        <v>0</v>
      </c>
      <c r="J25" s="33" t="n">
        <f aca="false">D25*E25</f>
        <v>0</v>
      </c>
      <c r="K25" s="34" t="str">
        <f aca="false">IF(MAX(I25,J25)&lt;5,"≈ 0",IF(J25=0,"no new diners",I25/J25))</f>
        <v>≈ 0</v>
      </c>
      <c r="L25" s="41" t="n">
        <f aca="false">'Sim Data'!$E$151*'Sim Data'!$G$151</f>
        <v>0</v>
      </c>
    </row>
    <row r="26" customFormat="false" ht="15" hidden="false" customHeight="false" outlineLevel="0" collapsed="false">
      <c r="A26" s="6" t="s">
        <v>251</v>
      </c>
      <c r="B26" s="6" t="s">
        <v>266</v>
      </c>
      <c r="C26" s="6" t="s">
        <v>124</v>
      </c>
      <c r="D26" s="35" t="n">
        <f aca="false">'Sim Data'!$E$134</f>
        <v>3.32</v>
      </c>
      <c r="E26" s="41" t="n">
        <f aca="false">IF('Sim Data'!$G$134&gt;0,'Sim Data'!$G$134,(Assumptions!$B$23+Assumptions!$B$24)/2)</f>
        <v>13.5115</v>
      </c>
      <c r="F26" s="43" t="n">
        <f aca="false">Assumptions!$B$22</f>
        <v>492</v>
      </c>
      <c r="G26" s="39" t="n">
        <f aca="false">D26*E26/F26</f>
        <v>0.091175162601626</v>
      </c>
      <c r="H26" s="40" t="str">
        <f aca="false">IF(D26=0,"No arrivals",IF(G26&lt;1,"Stable: a seat is free","UNSTABLE: students wait for seats"))</f>
        <v>Stable: a seat is free</v>
      </c>
      <c r="I26" s="38" t="n">
        <f aca="false">'Sim Data'!$I$134</f>
        <v>13.4818</v>
      </c>
      <c r="J26" s="33" t="n">
        <f aca="false">D26*E26</f>
        <v>44.85818</v>
      </c>
      <c r="K26" s="34" t="n">
        <f aca="false">IF(MAX(I26,J26)&lt;5,"≈ 0",IF(J26=0,"no new diners",I26/J26))</f>
        <v>0.300542732674397</v>
      </c>
      <c r="L26" s="41" t="n">
        <f aca="false">'Sim Data'!$E$152*'Sim Data'!$G$152</f>
        <v>0</v>
      </c>
    </row>
    <row r="27" customFormat="false" ht="15" hidden="false" customHeight="false" outlineLevel="0" collapsed="false">
      <c r="A27" s="6" t="s">
        <v>251</v>
      </c>
      <c r="B27" s="6" t="s">
        <v>266</v>
      </c>
      <c r="C27" s="6" t="s">
        <v>257</v>
      </c>
      <c r="D27" s="35" t="n">
        <f aca="false">'Sim Data'!$E$135</f>
        <v>4.45</v>
      </c>
      <c r="E27" s="41" t="n">
        <f aca="false">IF('Sim Data'!$G$135&gt;0,'Sim Data'!$G$135,(Assumptions!$B$23+Assumptions!$B$24)/2)</f>
        <v>13.517</v>
      </c>
      <c r="F27" s="43" t="n">
        <f aca="false">Assumptions!$B$22</f>
        <v>492</v>
      </c>
      <c r="G27" s="39" t="n">
        <f aca="false">D27*E27/F27</f>
        <v>0.122257418699187</v>
      </c>
      <c r="H27" s="40" t="str">
        <f aca="false">IF(D27=0,"No arrivals",IF(G27&lt;1,"Stable: a seat is free","UNSTABLE: students wait for seats"))</f>
        <v>Stable: a seat is free</v>
      </c>
      <c r="I27" s="38" t="n">
        <f aca="false">'Sim Data'!$I$135</f>
        <v>50.3918</v>
      </c>
      <c r="J27" s="33" t="n">
        <f aca="false">D27*E27</f>
        <v>60.15065</v>
      </c>
      <c r="K27" s="34" t="n">
        <f aca="false">IF(MAX(I27,J27)&lt;5,"≈ 0",IF(J27=0,"no new diners",I27/J27))</f>
        <v>0.837759857956647</v>
      </c>
      <c r="L27" s="41" t="n">
        <f aca="false">'Sim Data'!$E$153*'Sim Data'!$G$153</f>
        <v>2.6878335</v>
      </c>
    </row>
    <row r="28" customFormat="false" ht="15" hidden="false" customHeight="false" outlineLevel="0" collapsed="false">
      <c r="A28" s="6" t="s">
        <v>251</v>
      </c>
      <c r="B28" s="6" t="s">
        <v>266</v>
      </c>
      <c r="C28" s="6" t="s">
        <v>258</v>
      </c>
      <c r="D28" s="35" t="n">
        <f aca="false">'Sim Data'!$E$136</f>
        <v>4.78</v>
      </c>
      <c r="E28" s="41" t="n">
        <f aca="false">IF('Sim Data'!$G$136&gt;0,'Sim Data'!$G$136,(Assumptions!$B$23+Assumptions!$B$24)/2)</f>
        <v>13.5062</v>
      </c>
      <c r="F28" s="43" t="n">
        <f aca="false">Assumptions!$B$22</f>
        <v>492</v>
      </c>
      <c r="G28" s="39" t="n">
        <f aca="false">D28*E28/F28</f>
        <v>0.131218772357724</v>
      </c>
      <c r="H28" s="40" t="str">
        <f aca="false">IF(D28=0,"No arrivals",IF(G28&lt;1,"Stable: a seat is free","UNSTABLE: students wait for seats"))</f>
        <v>Stable: a seat is free</v>
      </c>
      <c r="I28" s="38" t="n">
        <f aca="false">'Sim Data'!$I$136</f>
        <v>62.6555</v>
      </c>
      <c r="J28" s="33" t="n">
        <f aca="false">D28*E28</f>
        <v>64.559636</v>
      </c>
      <c r="K28" s="34" t="n">
        <f aca="false">IF(MAX(I28,J28)&lt;5,"≈ 0",IF(J28=0,"no new diners",I28/J28))</f>
        <v>0.97050578166209</v>
      </c>
      <c r="L28" s="41" t="n">
        <f aca="false">'Sim Data'!$E$154*'Sim Data'!$G$154</f>
        <v>6.489602</v>
      </c>
    </row>
    <row r="29" customFormat="false" ht="15" hidden="false" customHeight="false" outlineLevel="0" collapsed="false">
      <c r="A29" s="6" t="s">
        <v>251</v>
      </c>
      <c r="B29" s="6" t="s">
        <v>266</v>
      </c>
      <c r="C29" s="6" t="s">
        <v>133</v>
      </c>
      <c r="D29" s="35" t="n">
        <f aca="false">'Sim Data'!$E$137</f>
        <v>5.63</v>
      </c>
      <c r="E29" s="41" t="n">
        <f aca="false">IF('Sim Data'!$G$137&gt;0,'Sim Data'!$G$137,(Assumptions!$B$23+Assumptions!$B$24)/2)</f>
        <v>13.5439</v>
      </c>
      <c r="F29" s="43" t="n">
        <f aca="false">Assumptions!$B$22</f>
        <v>492</v>
      </c>
      <c r="G29" s="39" t="n">
        <f aca="false">D29*E29/F29</f>
        <v>0.154984058943089</v>
      </c>
      <c r="H29" s="40" t="str">
        <f aca="false">IF(D29=0,"No arrivals",IF(G29&lt;1,"Stable: a seat is free","UNSTABLE: students wait for seats"))</f>
        <v>Stable: a seat is free</v>
      </c>
      <c r="I29" s="38" t="n">
        <f aca="false">'Sim Data'!$I$137</f>
        <v>67.7329</v>
      </c>
      <c r="J29" s="33" t="n">
        <f aca="false">D29*E29</f>
        <v>76.252157</v>
      </c>
      <c r="K29" s="34" t="n">
        <f aca="false">IF(MAX(I29,J29)&lt;5,"≈ 0",IF(J29=0,"no new diners",I29/J29))</f>
        <v>0.888275199874018</v>
      </c>
      <c r="L29" s="41" t="n">
        <f aca="false">'Sim Data'!$E$155*'Sim Data'!$G$155</f>
        <v>7.234696</v>
      </c>
    </row>
    <row r="30" customFormat="false" ht="15" hidden="false" customHeight="false" outlineLevel="0" collapsed="false">
      <c r="A30" s="6" t="s">
        <v>251</v>
      </c>
      <c r="B30" s="6" t="s">
        <v>266</v>
      </c>
      <c r="C30" s="6" t="s">
        <v>137</v>
      </c>
      <c r="D30" s="35" t="n">
        <f aca="false">'Sim Data'!$E$138</f>
        <v>5.48</v>
      </c>
      <c r="E30" s="41" t="n">
        <f aca="false">IF('Sim Data'!$G$138&gt;0,'Sim Data'!$G$138,(Assumptions!$B$23+Assumptions!$B$24)/2)</f>
        <v>13.5394</v>
      </c>
      <c r="F30" s="43" t="n">
        <f aca="false">Assumptions!$B$22</f>
        <v>492</v>
      </c>
      <c r="G30" s="39" t="n">
        <f aca="false">D30*E30/F30</f>
        <v>0.150804699186992</v>
      </c>
      <c r="H30" s="40" t="str">
        <f aca="false">IF(D30=0,"No arrivals",IF(G30&lt;1,"Stable: a seat is free","UNSTABLE: students wait for seats"))</f>
        <v>Stable: a seat is free</v>
      </c>
      <c r="I30" s="38" t="n">
        <f aca="false">'Sim Data'!$I$138</f>
        <v>74.6601</v>
      </c>
      <c r="J30" s="33" t="n">
        <f aca="false">D30*E30</f>
        <v>74.195912</v>
      </c>
      <c r="K30" s="34" t="n">
        <f aca="false">IF(MAX(I30,J30)&lt;5,"≈ 0",IF(J30=0,"no new diners",I30/J30))</f>
        <v>1.00625624764879</v>
      </c>
      <c r="L30" s="41" t="n">
        <f aca="false">'Sim Data'!$E$156*'Sim Data'!$G$156</f>
        <v>7.753515</v>
      </c>
    </row>
    <row r="31" customFormat="false" ht="15" hidden="false" customHeight="false" outlineLevel="0" collapsed="false">
      <c r="A31" s="6" t="s">
        <v>251</v>
      </c>
      <c r="B31" s="6" t="s">
        <v>266</v>
      </c>
      <c r="C31" s="6" t="s">
        <v>140</v>
      </c>
      <c r="D31" s="35" t="n">
        <f aca="false">'Sim Data'!$E$139</f>
        <v>4.42</v>
      </c>
      <c r="E31" s="41" t="n">
        <f aca="false">IF('Sim Data'!$G$139&gt;0,'Sim Data'!$G$139,(Assumptions!$B$23+Assumptions!$B$24)/2)</f>
        <v>13.5345</v>
      </c>
      <c r="F31" s="43" t="n">
        <f aca="false">Assumptions!$B$22</f>
        <v>492</v>
      </c>
      <c r="G31" s="39" t="n">
        <f aca="false">D31*E31/F31</f>
        <v>0.121590426829268</v>
      </c>
      <c r="H31" s="40" t="str">
        <f aca="false">IF(D31=0,"No arrivals",IF(G31&lt;1,"Stable: a seat is free","UNSTABLE: students wait for seats"))</f>
        <v>Stable: a seat is free</v>
      </c>
      <c r="I31" s="38" t="n">
        <f aca="false">'Sim Data'!$I$139</f>
        <v>69.7287</v>
      </c>
      <c r="J31" s="33" t="n">
        <f aca="false">D31*E31</f>
        <v>59.82249</v>
      </c>
      <c r="K31" s="34" t="n">
        <f aca="false">IF(MAX(I31,J31)&lt;5,"≈ 0",IF(J31=0,"no new diners",I31/J31))</f>
        <v>1.16559340809786</v>
      </c>
      <c r="L31" s="41" t="n">
        <f aca="false">'Sim Data'!$E$157*'Sim Data'!$G$157</f>
        <v>8.182901</v>
      </c>
    </row>
    <row r="32" customFormat="false" ht="15" hidden="false" customHeight="false" outlineLevel="0" collapsed="false">
      <c r="A32" s="6" t="s">
        <v>251</v>
      </c>
      <c r="B32" s="6" t="s">
        <v>266</v>
      </c>
      <c r="C32" s="6" t="s">
        <v>125</v>
      </c>
      <c r="D32" s="35" t="n">
        <f aca="false">'Sim Data'!$E$140</f>
        <v>5.1</v>
      </c>
      <c r="E32" s="41" t="n">
        <f aca="false">IF('Sim Data'!$G$140&gt;0,'Sim Data'!$G$140,(Assumptions!$B$23+Assumptions!$B$24)/2)</f>
        <v>13.522</v>
      </c>
      <c r="F32" s="43" t="n">
        <f aca="false">Assumptions!$B$22</f>
        <v>492</v>
      </c>
      <c r="G32" s="39" t="n">
        <f aca="false">D32*E32/F32</f>
        <v>0.140167073170732</v>
      </c>
      <c r="H32" s="40" t="str">
        <f aca="false">IF(D32=0,"No arrivals",IF(G32&lt;1,"Stable: a seat is free","UNSTABLE: students wait for seats"))</f>
        <v>Stable: a seat is free</v>
      </c>
      <c r="I32" s="38" t="n">
        <f aca="false">'Sim Data'!$I$140</f>
        <v>61.5898</v>
      </c>
      <c r="J32" s="33" t="n">
        <f aca="false">D32*E32</f>
        <v>68.9622</v>
      </c>
      <c r="K32" s="34" t="n">
        <f aca="false">IF(MAX(I32,J32)&lt;5,"≈ 0",IF(J32=0,"no new diners",I32/J32))</f>
        <v>0.893095057872284</v>
      </c>
      <c r="L32" s="41" t="n">
        <f aca="false">'Sim Data'!$E$158*'Sim Data'!$G$158</f>
        <v>7.41705</v>
      </c>
    </row>
    <row r="33" customFormat="false" ht="15" hidden="false" customHeight="false" outlineLevel="0" collapsed="false">
      <c r="A33" s="6" t="s">
        <v>251</v>
      </c>
      <c r="B33" s="6" t="s">
        <v>266</v>
      </c>
      <c r="C33" s="6" t="s">
        <v>259</v>
      </c>
      <c r="D33" s="35" t="n">
        <f aca="false">'Sim Data'!$E$141</f>
        <v>7.57</v>
      </c>
      <c r="E33" s="41" t="n">
        <f aca="false">IF('Sim Data'!$G$141&gt;0,'Sim Data'!$G$141,(Assumptions!$B$23+Assumptions!$B$24)/2)</f>
        <v>13.5172</v>
      </c>
      <c r="F33" s="43" t="n">
        <f aca="false">Assumptions!$B$22</f>
        <v>492</v>
      </c>
      <c r="G33" s="39" t="n">
        <f aca="false">D33*E33/F33</f>
        <v>0.207978056910569</v>
      </c>
      <c r="H33" s="40" t="str">
        <f aca="false">IF(D33=0,"No arrivals",IF(G33&lt;1,"Stable: a seat is free","UNSTABLE: students wait for seats"))</f>
        <v>Stable: a seat is free</v>
      </c>
      <c r="I33" s="38" t="n">
        <f aca="false">'Sim Data'!$I$141</f>
        <v>81.8521</v>
      </c>
      <c r="J33" s="33" t="n">
        <f aca="false">D33*E33</f>
        <v>102.325204</v>
      </c>
      <c r="K33" s="34" t="n">
        <f aca="false">IF(MAX(I33,J33)&lt;5,"≈ 0",IF(J33=0,"no new diners",I33/J33))</f>
        <v>0.799921200254827</v>
      </c>
      <c r="L33" s="41" t="n">
        <f aca="false">'Sim Data'!$E$159*'Sim Data'!$G$159</f>
        <v>6.6706115</v>
      </c>
    </row>
    <row r="34" customFormat="false" ht="15" hidden="false" customHeight="false" outlineLevel="0" collapsed="false">
      <c r="A34" s="6" t="s">
        <v>251</v>
      </c>
      <c r="B34" s="6" t="s">
        <v>266</v>
      </c>
      <c r="C34" s="6" t="s">
        <v>260</v>
      </c>
      <c r="D34" s="35" t="n">
        <f aca="false">'Sim Data'!$E$142</f>
        <v>7.49</v>
      </c>
      <c r="E34" s="41" t="n">
        <f aca="false">IF('Sim Data'!$G$142&gt;0,'Sim Data'!$G$142,(Assumptions!$B$23+Assumptions!$B$24)/2)</f>
        <v>13.4597</v>
      </c>
      <c r="F34" s="43" t="n">
        <f aca="false">Assumptions!$B$22</f>
        <v>492</v>
      </c>
      <c r="G34" s="39" t="n">
        <f aca="false">D34*E34/F34</f>
        <v>0.204904782520325</v>
      </c>
      <c r="H34" s="40" t="str">
        <f aca="false">IF(D34=0,"No arrivals",IF(G34&lt;1,"Stable: a seat is free","UNSTABLE: students wait for seats"))</f>
        <v>Stable: a seat is free</v>
      </c>
      <c r="I34" s="38" t="n">
        <f aca="false">'Sim Data'!$I$142</f>
        <v>101.2777</v>
      </c>
      <c r="J34" s="33" t="n">
        <f aca="false">D34*E34</f>
        <v>100.813153</v>
      </c>
      <c r="K34" s="34" t="n">
        <f aca="false">IF(MAX(I34,J34)&lt;5,"≈ 0",IF(J34=0,"no new diners",I34/J34))</f>
        <v>1.00460799991049</v>
      </c>
      <c r="L34" s="41" t="n">
        <f aca="false">'Sim Data'!$E$160*'Sim Data'!$G$160</f>
        <v>10.561873</v>
      </c>
    </row>
    <row r="35" customFormat="false" ht="15" hidden="false" customHeight="false" outlineLevel="0" collapsed="false">
      <c r="A35" s="6" t="s">
        <v>251</v>
      </c>
      <c r="B35" s="6" t="s">
        <v>266</v>
      </c>
      <c r="C35" s="6" t="s">
        <v>134</v>
      </c>
      <c r="D35" s="35" t="n">
        <f aca="false">'Sim Data'!$E$143</f>
        <v>5.595</v>
      </c>
      <c r="E35" s="41" t="n">
        <f aca="false">IF('Sim Data'!$G$143&gt;0,'Sim Data'!$G$143,(Assumptions!$B$23+Assumptions!$B$24)/2)</f>
        <v>13.5297</v>
      </c>
      <c r="F35" s="43" t="n">
        <f aca="false">Assumptions!$B$22</f>
        <v>492</v>
      </c>
      <c r="G35" s="39" t="n">
        <f aca="false">D35*E35/F35</f>
        <v>0.153859088414634</v>
      </c>
      <c r="H35" s="40" t="str">
        <f aca="false">IF(D35=0,"No arrivals",IF(G35&lt;1,"Stable: a seat is free","UNSTABLE: students wait for seats"))</f>
        <v>Stable: a seat is free</v>
      </c>
      <c r="I35" s="38" t="n">
        <f aca="false">'Sim Data'!$I$143</f>
        <v>92.5918</v>
      </c>
      <c r="J35" s="33" t="n">
        <f aca="false">D35*E35</f>
        <v>75.6986715</v>
      </c>
      <c r="K35" s="34" t="n">
        <f aca="false">IF(MAX(I35,J35)&lt;5,"≈ 0",IF(J35=0,"no new diners",I35/J35))</f>
        <v>1.22316281336589</v>
      </c>
      <c r="L35" s="41" t="n">
        <f aca="false">'Sim Data'!$E$161*'Sim Data'!$G$161</f>
        <v>11.538086</v>
      </c>
    </row>
    <row r="36" customFormat="false" ht="15" hidden="false" customHeight="false" outlineLevel="0" collapsed="false">
      <c r="A36" s="6" t="s">
        <v>251</v>
      </c>
      <c r="B36" s="6" t="s">
        <v>266</v>
      </c>
      <c r="C36" s="6" t="s">
        <v>138</v>
      </c>
      <c r="D36" s="35" t="n">
        <f aca="false">'Sim Data'!$E$144</f>
        <v>3.895</v>
      </c>
      <c r="E36" s="41" t="n">
        <f aca="false">IF('Sim Data'!$G$144&gt;0,'Sim Data'!$G$144,(Assumptions!$B$23+Assumptions!$B$24)/2)</f>
        <v>13.5085</v>
      </c>
      <c r="F36" s="43" t="n">
        <f aca="false">Assumptions!$B$22</f>
        <v>492</v>
      </c>
      <c r="G36" s="39" t="n">
        <f aca="false">D36*E36/F36</f>
        <v>0.106942291666667</v>
      </c>
      <c r="H36" s="40" t="str">
        <f aca="false">IF(D36=0,"No arrivals",IF(G36&lt;1,"Stable: a seat is free","UNSTABLE: students wait for seats"))</f>
        <v>Stable: a seat is free</v>
      </c>
      <c r="I36" s="38" t="n">
        <f aca="false">'Sim Data'!$I$144</f>
        <v>69.3024</v>
      </c>
      <c r="J36" s="33" t="n">
        <f aca="false">D36*E36</f>
        <v>52.6156075</v>
      </c>
      <c r="K36" s="34" t="n">
        <f aca="false">IF(MAX(I36,J36)&lt;5,"≈ 0",IF(J36=0,"no new diners",I36/J36))</f>
        <v>1.31714529761915</v>
      </c>
      <c r="L36" s="41" t="n">
        <f aca="false">'Sim Data'!$E$162*'Sim Data'!$G$162</f>
        <v>9.371142</v>
      </c>
    </row>
    <row r="37" customFormat="false" ht="15" hidden="false" customHeight="false" outlineLevel="0" collapsed="false">
      <c r="A37" s="6" t="s">
        <v>251</v>
      </c>
      <c r="B37" s="6" t="s">
        <v>266</v>
      </c>
      <c r="C37" s="6" t="s">
        <v>141</v>
      </c>
      <c r="D37" s="35" t="n">
        <f aca="false">'Sim Data'!$E$145</f>
        <v>1.95</v>
      </c>
      <c r="E37" s="41" t="n">
        <f aca="false">IF('Sim Data'!$G$145&gt;0,'Sim Data'!$G$145,(Assumptions!$B$23+Assumptions!$B$24)/2)</f>
        <v>13.5258</v>
      </c>
      <c r="F37" s="43" t="n">
        <f aca="false">Assumptions!$B$22</f>
        <v>492</v>
      </c>
      <c r="G37" s="39" t="n">
        <f aca="false">D37*E37/F37</f>
        <v>0.0536083536585366</v>
      </c>
      <c r="H37" s="40" t="str">
        <f aca="false">IF(D37=0,"No arrivals",IF(G37&lt;1,"Stable: a seat is free","UNSTABLE: students wait for seats"))</f>
        <v>Stable: a seat is free</v>
      </c>
      <c r="I37" s="38" t="n">
        <f aca="false">'Sim Data'!$I$145</f>
        <v>42.6634</v>
      </c>
      <c r="J37" s="33" t="n">
        <f aca="false">D37*E37</f>
        <v>26.37531</v>
      </c>
      <c r="K37" s="34" t="n">
        <f aca="false">IF(MAX(I37,J37)&lt;5,"≈ 0",IF(J37=0,"no new diners",I37/J37))</f>
        <v>1.61755065627665</v>
      </c>
      <c r="L37" s="41" t="n">
        <f aca="false">'Sim Data'!$E$163*'Sim Data'!$G$163</f>
        <v>6.752342</v>
      </c>
    </row>
    <row r="38" customFormat="false" ht="15" hidden="false" customHeight="false" outlineLevel="0" collapsed="false">
      <c r="A38" s="6" t="s">
        <v>251</v>
      </c>
      <c r="B38" s="6" t="s">
        <v>266</v>
      </c>
      <c r="C38" s="6" t="s">
        <v>128</v>
      </c>
      <c r="D38" s="35" t="n">
        <f aca="false">'Sim Data'!$E$146</f>
        <v>0.185</v>
      </c>
      <c r="E38" s="41" t="n">
        <f aca="false">IF('Sim Data'!$G$146&gt;0,'Sim Data'!$G$146,(Assumptions!$B$23+Assumptions!$B$24)/2)</f>
        <v>13.2918</v>
      </c>
      <c r="F38" s="43" t="n">
        <f aca="false">Assumptions!$B$22</f>
        <v>492</v>
      </c>
      <c r="G38" s="39" t="n">
        <f aca="false">D38*E38/F38</f>
        <v>0.00499793292682927</v>
      </c>
      <c r="H38" s="40" t="str">
        <f aca="false">IF(D38=0,"No arrivals",IF(G38&lt;1,"Stable: a seat is free","UNSTABLE: students wait for seats"))</f>
        <v>Stable: a seat is free</v>
      </c>
      <c r="I38" s="38" t="n">
        <f aca="false">'Sim Data'!$I$146</f>
        <v>19.0779</v>
      </c>
      <c r="J38" s="33" t="n">
        <f aca="false">D38*E38</f>
        <v>2.458983</v>
      </c>
      <c r="K38" s="34" t="n">
        <f aca="false">IF(MAX(I38,J38)&lt;5,"≈ 0",IF(J38=0,"no new diners",I38/J38))</f>
        <v>7.75845135976947</v>
      </c>
      <c r="L38" s="41" t="n">
        <f aca="false">'Sim Data'!$E$164*'Sim Data'!$G$164</f>
        <v>3.823215</v>
      </c>
    </row>
    <row r="39" customFormat="false" ht="15" hidden="false" customHeight="false" outlineLevel="0" collapsed="false">
      <c r="A39" s="6" t="s">
        <v>251</v>
      </c>
      <c r="B39" s="6" t="s">
        <v>266</v>
      </c>
      <c r="C39" s="6" t="s">
        <v>261</v>
      </c>
      <c r="D39" s="35" t="n">
        <f aca="false">'Sim Data'!$E$147</f>
        <v>0</v>
      </c>
      <c r="E39" s="41" t="n">
        <f aca="false">IF('Sim Data'!$G$147&gt;0,'Sim Data'!$G$147,(Assumptions!$B$23+Assumptions!$B$24)/2)</f>
        <v>13.5</v>
      </c>
      <c r="F39" s="43" t="n">
        <f aca="false">Assumptions!$B$22</f>
        <v>492</v>
      </c>
      <c r="G39" s="39" t="n">
        <f aca="false">D39*E39/F39</f>
        <v>0</v>
      </c>
      <c r="H39" s="40" t="str">
        <f aca="false">IF(D39=0,"No arrivals",IF(G39&lt;1,"Stable: a seat is free","UNSTABLE: students wait for seats"))</f>
        <v>No arrivals</v>
      </c>
      <c r="I39" s="38" t="n">
        <f aca="false">'Sim Data'!$I$147</f>
        <v>2.0826</v>
      </c>
      <c r="J39" s="33" t="n">
        <f aca="false">D39*E39</f>
        <v>0</v>
      </c>
      <c r="K39" s="34" t="str">
        <f aca="false">IF(MAX(I39,J39)&lt;5,"≈ 0",IF(J39=0,"no new diners",I39/J39))</f>
        <v>≈ 0</v>
      </c>
      <c r="L39" s="41" t="n">
        <f aca="false">'Sim Data'!$E$165*'Sim Data'!$G$165</f>
        <v>1.243506</v>
      </c>
    </row>
    <row r="40" customFormat="false" ht="15" hidden="false" customHeight="false" outlineLevel="0" collapsed="false">
      <c r="A40" s="6" t="s">
        <v>251</v>
      </c>
      <c r="B40" s="6" t="s">
        <v>266</v>
      </c>
      <c r="C40" s="6" t="s">
        <v>262</v>
      </c>
      <c r="D40" s="35" t="n">
        <f aca="false">'Sim Data'!$E$148</f>
        <v>0</v>
      </c>
      <c r="E40" s="41" t="n">
        <f aca="false">IF('Sim Data'!$G$148&gt;0,'Sim Data'!$G$148,(Assumptions!$B$23+Assumptions!$B$24)/2)</f>
        <v>13.5</v>
      </c>
      <c r="F40" s="43" t="n">
        <f aca="false">Assumptions!$B$22</f>
        <v>492</v>
      </c>
      <c r="G40" s="39" t="n">
        <f aca="false">D40*E40/F40</f>
        <v>0</v>
      </c>
      <c r="H40" s="40" t="str">
        <f aca="false">IF(D40=0,"No arrivals",IF(G40&lt;1,"Stable: a seat is free","UNSTABLE: students wait for seats"))</f>
        <v>No arrivals</v>
      </c>
      <c r="I40" s="38" t="n">
        <f aca="false">'Sim Data'!$I$148</f>
        <v>0</v>
      </c>
      <c r="J40" s="33" t="n">
        <f aca="false">D40*E40</f>
        <v>0</v>
      </c>
      <c r="K40" s="34" t="str">
        <f aca="false">IF(MAX(I40,J40)&lt;5,"≈ 0",IF(J40=0,"no new diners",I40/J40))</f>
        <v>≈ 0</v>
      </c>
      <c r="L40" s="41" t="n">
        <f aca="false">'Sim Data'!$E$166*'Sim Data'!$G$166</f>
        <v>0</v>
      </c>
    </row>
    <row r="41" customFormat="false" ht="15" hidden="false" customHeight="false" outlineLevel="0" collapsed="false">
      <c r="A41" s="6" t="s">
        <v>267</v>
      </c>
      <c r="B41" s="6" t="s">
        <v>252</v>
      </c>
      <c r="C41" s="6" t="s">
        <v>254</v>
      </c>
      <c r="D41" s="35" t="n">
        <f aca="false">'Sim Data'!$E$221</f>
        <v>0</v>
      </c>
      <c r="E41" s="41" t="n">
        <f aca="false">IF('Sim Data'!$G$221&gt;0,'Sim Data'!$G$221,(Assumptions!$B$23+Assumptions!$B$24)/2)</f>
        <v>13.5</v>
      </c>
      <c r="F41" s="43" t="n">
        <f aca="false">Assumptions!$B$21</f>
        <v>900</v>
      </c>
      <c r="G41" s="39" t="n">
        <f aca="false">D41*E41/F41</f>
        <v>0</v>
      </c>
      <c r="H41" s="40" t="str">
        <f aca="false">IF(D41=0,"No arrivals",IF(G41&lt;1,"Stable: a seat is free","UNSTABLE: students wait for seats"))</f>
        <v>No arrivals</v>
      </c>
      <c r="I41" s="38" t="n">
        <f aca="false">'Sim Data'!$I$221</f>
        <v>0</v>
      </c>
      <c r="J41" s="33" t="n">
        <f aca="false">D41*E41</f>
        <v>0</v>
      </c>
      <c r="K41" s="34" t="str">
        <f aca="false">IF(MAX(I41,J41)&lt;5,"≈ 0",IF(J41=0,"no new diners",I41/J41))</f>
        <v>≈ 0</v>
      </c>
      <c r="L41" s="41" t="n">
        <f aca="false">'Sim Data'!$E$239*'Sim Data'!$G$239</f>
        <v>0</v>
      </c>
    </row>
    <row r="42" customFormat="false" ht="15" hidden="false" customHeight="false" outlineLevel="0" collapsed="false">
      <c r="A42" s="6" t="s">
        <v>267</v>
      </c>
      <c r="B42" s="6" t="s">
        <v>252</v>
      </c>
      <c r="C42" s="6" t="s">
        <v>255</v>
      </c>
      <c r="D42" s="35" t="n">
        <f aca="false">'Sim Data'!$E$222</f>
        <v>0</v>
      </c>
      <c r="E42" s="41" t="n">
        <f aca="false">IF('Sim Data'!$G$222&gt;0,'Sim Data'!$G$222,(Assumptions!$B$23+Assumptions!$B$24)/2)</f>
        <v>13.5</v>
      </c>
      <c r="F42" s="43" t="n">
        <f aca="false">Assumptions!$B$21</f>
        <v>900</v>
      </c>
      <c r="G42" s="39" t="n">
        <f aca="false">D42*E42/F42</f>
        <v>0</v>
      </c>
      <c r="H42" s="40" t="str">
        <f aca="false">IF(D42=0,"No arrivals",IF(G42&lt;1,"Stable: a seat is free","UNSTABLE: students wait for seats"))</f>
        <v>No arrivals</v>
      </c>
      <c r="I42" s="38" t="n">
        <f aca="false">'Sim Data'!$I$222</f>
        <v>0</v>
      </c>
      <c r="J42" s="33" t="n">
        <f aca="false">D42*E42</f>
        <v>0</v>
      </c>
      <c r="K42" s="34" t="str">
        <f aca="false">IF(MAX(I42,J42)&lt;5,"≈ 0",IF(J42=0,"no new diners",I42/J42))</f>
        <v>≈ 0</v>
      </c>
      <c r="L42" s="41" t="n">
        <f aca="false">'Sim Data'!$E$240*'Sim Data'!$G$240</f>
        <v>0</v>
      </c>
    </row>
    <row r="43" customFormat="false" ht="15" hidden="false" customHeight="false" outlineLevel="0" collapsed="false">
      <c r="A43" s="6" t="s">
        <v>267</v>
      </c>
      <c r="B43" s="6" t="s">
        <v>252</v>
      </c>
      <c r="C43" s="6" t="s">
        <v>256</v>
      </c>
      <c r="D43" s="35" t="n">
        <f aca="false">'Sim Data'!$E$223</f>
        <v>0</v>
      </c>
      <c r="E43" s="41" t="n">
        <f aca="false">IF('Sim Data'!$G$223&gt;0,'Sim Data'!$G$223,(Assumptions!$B$23+Assumptions!$B$24)/2)</f>
        <v>13.5</v>
      </c>
      <c r="F43" s="43" t="n">
        <f aca="false">Assumptions!$B$21</f>
        <v>900</v>
      </c>
      <c r="G43" s="39" t="n">
        <f aca="false">D43*E43/F43</f>
        <v>0</v>
      </c>
      <c r="H43" s="40" t="str">
        <f aca="false">IF(D43=0,"No arrivals",IF(G43&lt;1,"Stable: a seat is free","UNSTABLE: students wait for seats"))</f>
        <v>No arrivals</v>
      </c>
      <c r="I43" s="38" t="n">
        <f aca="false">'Sim Data'!$I$223</f>
        <v>0</v>
      </c>
      <c r="J43" s="33" t="n">
        <f aca="false">D43*E43</f>
        <v>0</v>
      </c>
      <c r="K43" s="34" t="str">
        <f aca="false">IF(MAX(I43,J43)&lt;5,"≈ 0",IF(J43=0,"no new diners",I43/J43))</f>
        <v>≈ 0</v>
      </c>
      <c r="L43" s="41" t="n">
        <f aca="false">'Sim Data'!$E$241*'Sim Data'!$G$241</f>
        <v>0</v>
      </c>
    </row>
    <row r="44" customFormat="false" ht="15" hidden="false" customHeight="false" outlineLevel="0" collapsed="false">
      <c r="A44" s="6" t="s">
        <v>267</v>
      </c>
      <c r="B44" s="6" t="s">
        <v>252</v>
      </c>
      <c r="C44" s="6" t="s">
        <v>124</v>
      </c>
      <c r="D44" s="35" t="n">
        <f aca="false">'Sim Data'!$E$224</f>
        <v>11.705</v>
      </c>
      <c r="E44" s="41" t="n">
        <f aca="false">IF('Sim Data'!$G$224&gt;0,'Sim Data'!$G$224,(Assumptions!$B$23+Assumptions!$B$24)/2)</f>
        <v>13.4814</v>
      </c>
      <c r="F44" s="43" t="n">
        <f aca="false">Assumptions!$B$21</f>
        <v>900</v>
      </c>
      <c r="G44" s="39" t="n">
        <f aca="false">D44*E44/F44</f>
        <v>0.175333096666667</v>
      </c>
      <c r="H44" s="40" t="str">
        <f aca="false">IF(D44=0,"No arrivals",IF(G44&lt;1,"Stable: a seat is free","UNSTABLE: students wait for seats"))</f>
        <v>Stable: a seat is free</v>
      </c>
      <c r="I44" s="38" t="n">
        <f aca="false">'Sim Data'!$I$224</f>
        <v>45.3753</v>
      </c>
      <c r="J44" s="33" t="n">
        <f aca="false">D44*E44</f>
        <v>157.799787</v>
      </c>
      <c r="K44" s="34" t="n">
        <f aca="false">IF(MAX(I44,J44)&lt;5,"≈ 0",IF(J44=0,"no new diners",I44/J44))</f>
        <v>0.287549817795381</v>
      </c>
      <c r="L44" s="41" t="n">
        <f aca="false">'Sim Data'!$E$242*'Sim Data'!$G$242</f>
        <v>0</v>
      </c>
    </row>
    <row r="45" customFormat="false" ht="15" hidden="false" customHeight="false" outlineLevel="0" collapsed="false">
      <c r="A45" s="6" t="s">
        <v>267</v>
      </c>
      <c r="B45" s="6" t="s">
        <v>252</v>
      </c>
      <c r="C45" s="6" t="s">
        <v>257</v>
      </c>
      <c r="D45" s="35" t="n">
        <f aca="false">'Sim Data'!$E$225</f>
        <v>17.93</v>
      </c>
      <c r="E45" s="41" t="n">
        <f aca="false">IF('Sim Data'!$G$225&gt;0,'Sim Data'!$G$225,(Assumptions!$B$23+Assumptions!$B$24)/2)</f>
        <v>13.5153</v>
      </c>
      <c r="F45" s="43" t="n">
        <f aca="false">Assumptions!$B$21</f>
        <v>900</v>
      </c>
      <c r="G45" s="39" t="n">
        <f aca="false">D45*E45/F45</f>
        <v>0.26925481</v>
      </c>
      <c r="H45" s="40" t="str">
        <f aca="false">IF(D45=0,"No arrivals",IF(G45&lt;1,"Stable: a seat is free","UNSTABLE: students wait for seats"))</f>
        <v>Stable: a seat is free</v>
      </c>
      <c r="I45" s="38" t="n">
        <f aca="false">'Sim Data'!$I$225</f>
        <v>189.0406</v>
      </c>
      <c r="J45" s="33" t="n">
        <f aca="false">D45*E45</f>
        <v>242.329329</v>
      </c>
      <c r="K45" s="34" t="n">
        <f aca="false">IF(MAX(I45,J45)&lt;5,"≈ 0",IF(J45=0,"no new diners",I45/J45))</f>
        <v>0.780097897271032</v>
      </c>
      <c r="L45" s="41" t="n">
        <f aca="false">'Sim Data'!$E$243*'Sim Data'!$G$243</f>
        <v>9.4543055</v>
      </c>
    </row>
    <row r="46" customFormat="false" ht="15" hidden="false" customHeight="false" outlineLevel="0" collapsed="false">
      <c r="A46" s="6" t="s">
        <v>267</v>
      </c>
      <c r="B46" s="6" t="s">
        <v>252</v>
      </c>
      <c r="C46" s="6" t="s">
        <v>258</v>
      </c>
      <c r="D46" s="35" t="n">
        <f aca="false">'Sim Data'!$E$226</f>
        <v>18.87</v>
      </c>
      <c r="E46" s="41" t="n">
        <f aca="false">IF('Sim Data'!$G$226&gt;0,'Sim Data'!$G$226,(Assumptions!$B$23+Assumptions!$B$24)/2)</f>
        <v>13.4992</v>
      </c>
      <c r="F46" s="43" t="n">
        <f aca="false">Assumptions!$B$21</f>
        <v>900</v>
      </c>
      <c r="G46" s="39" t="n">
        <f aca="false">D46*E46/F46</f>
        <v>0.283033226666667</v>
      </c>
      <c r="H46" s="40" t="str">
        <f aca="false">IF(D46=0,"No arrivals",IF(G46&lt;1,"Stable: a seat is free","UNSTABLE: students wait for seats"))</f>
        <v>Stable: a seat is free</v>
      </c>
      <c r="I46" s="38" t="n">
        <f aca="false">'Sim Data'!$I$226</f>
        <v>246.9364</v>
      </c>
      <c r="J46" s="33" t="n">
        <f aca="false">D46*E46</f>
        <v>254.729904</v>
      </c>
      <c r="K46" s="34" t="n">
        <f aca="false">IF(MAX(I46,J46)&lt;5,"≈ 0",IF(J46=0,"no new diners",I46/J46))</f>
        <v>0.969404832814603</v>
      </c>
      <c r="L46" s="41" t="n">
        <f aca="false">'Sim Data'!$E$244*'Sim Data'!$G$244</f>
        <v>25.150209</v>
      </c>
    </row>
    <row r="47" customFormat="false" ht="15" hidden="false" customHeight="false" outlineLevel="0" collapsed="false">
      <c r="A47" s="6" t="s">
        <v>267</v>
      </c>
      <c r="B47" s="6" t="s">
        <v>252</v>
      </c>
      <c r="C47" s="6" t="s">
        <v>133</v>
      </c>
      <c r="D47" s="35" t="n">
        <f aca="false">'Sim Data'!$E$227</f>
        <v>19.355</v>
      </c>
      <c r="E47" s="41" t="n">
        <f aca="false">IF('Sim Data'!$G$227&gt;0,'Sim Data'!$G$227,(Assumptions!$B$23+Assumptions!$B$24)/2)</f>
        <v>13.4816</v>
      </c>
      <c r="F47" s="43" t="n">
        <f aca="false">Assumptions!$B$21</f>
        <v>900</v>
      </c>
      <c r="G47" s="39" t="n">
        <f aca="false">D47*E47/F47</f>
        <v>0.289929297777778</v>
      </c>
      <c r="H47" s="40" t="str">
        <f aca="false">IF(D47=0,"No arrivals",IF(G47&lt;1,"Stable: a seat is free","UNSTABLE: students wait for seats"))</f>
        <v>Stable: a seat is free</v>
      </c>
      <c r="I47" s="38" t="n">
        <f aca="false">'Sim Data'!$I$227</f>
        <v>255.9533</v>
      </c>
      <c r="J47" s="33" t="n">
        <f aca="false">D47*E47</f>
        <v>260.936368</v>
      </c>
      <c r="K47" s="34" t="n">
        <f aca="false">IF(MAX(I47,J47)&lt;5,"≈ 0",IF(J47=0,"no new diners",I47/J47))</f>
        <v>0.980903129608978</v>
      </c>
      <c r="L47" s="41" t="n">
        <f aca="false">'Sim Data'!$E$245*'Sim Data'!$G$245</f>
        <v>28.16804</v>
      </c>
    </row>
    <row r="48" customFormat="false" ht="15" hidden="false" customHeight="false" outlineLevel="0" collapsed="false">
      <c r="A48" s="6" t="s">
        <v>267</v>
      </c>
      <c r="B48" s="6" t="s">
        <v>252</v>
      </c>
      <c r="C48" s="6" t="s">
        <v>137</v>
      </c>
      <c r="D48" s="35" t="n">
        <f aca="false">'Sim Data'!$E$228</f>
        <v>19.785</v>
      </c>
      <c r="E48" s="41" t="n">
        <f aca="false">IF('Sim Data'!$G$228&gt;0,'Sim Data'!$G$228,(Assumptions!$B$23+Assumptions!$B$24)/2)</f>
        <v>13.5215</v>
      </c>
      <c r="F48" s="43" t="n">
        <f aca="false">Assumptions!$B$21</f>
        <v>900</v>
      </c>
      <c r="G48" s="39" t="n">
        <f aca="false">D48*E48/F48</f>
        <v>0.297247641666667</v>
      </c>
      <c r="H48" s="40" t="str">
        <f aca="false">IF(D48=0,"No arrivals",IF(G48&lt;1,"Stable: a seat is free","UNSTABLE: students wait for seats"))</f>
        <v>Stable: a seat is free</v>
      </c>
      <c r="I48" s="38" t="n">
        <f aca="false">'Sim Data'!$I$228</f>
        <v>266.3306</v>
      </c>
      <c r="J48" s="33" t="n">
        <f aca="false">D48*E48</f>
        <v>267.5228775</v>
      </c>
      <c r="K48" s="34" t="n">
        <f aca="false">IF(MAX(I48,J48)&lt;5,"≈ 0",IF(J48=0,"no new diners",I48/J48))</f>
        <v>0.995543269005097</v>
      </c>
      <c r="L48" s="41" t="n">
        <f aca="false">'Sim Data'!$E$246*'Sim Data'!$G$246</f>
        <v>28.70406</v>
      </c>
    </row>
    <row r="49" customFormat="false" ht="15" hidden="false" customHeight="false" outlineLevel="0" collapsed="false">
      <c r="A49" s="6" t="s">
        <v>267</v>
      </c>
      <c r="B49" s="6" t="s">
        <v>252</v>
      </c>
      <c r="C49" s="6" t="s">
        <v>140</v>
      </c>
      <c r="D49" s="35" t="n">
        <f aca="false">'Sim Data'!$E$229</f>
        <v>16.445</v>
      </c>
      <c r="E49" s="41" t="n">
        <f aca="false">IF('Sim Data'!$G$229&gt;0,'Sim Data'!$G$229,(Assumptions!$B$23+Assumptions!$B$24)/2)</f>
        <v>13.4966</v>
      </c>
      <c r="F49" s="43" t="n">
        <f aca="false">Assumptions!$B$21</f>
        <v>900</v>
      </c>
      <c r="G49" s="39" t="n">
        <f aca="false">D49*E49/F49</f>
        <v>0.246612874444444</v>
      </c>
      <c r="H49" s="40" t="str">
        <f aca="false">IF(D49=0,"No arrivals",IF(G49&lt;1,"Stable: a seat is free","UNSTABLE: students wait for seats"))</f>
        <v>Stable: a seat is free</v>
      </c>
      <c r="I49" s="38" t="n">
        <f aca="false">'Sim Data'!$I$229</f>
        <v>249.1425</v>
      </c>
      <c r="J49" s="33" t="n">
        <f aca="false">D49*E49</f>
        <v>221.951587</v>
      </c>
      <c r="K49" s="34" t="n">
        <f aca="false">IF(MAX(I49,J49)&lt;5,"≈ 0",IF(J49=0,"no new diners",I49/J49))</f>
        <v>1.12250830628213</v>
      </c>
      <c r="L49" s="41" t="n">
        <f aca="false">'Sim Data'!$E$247*'Sim Data'!$G$247</f>
        <v>30.181088</v>
      </c>
    </row>
    <row r="50" customFormat="false" ht="15" hidden="false" customHeight="false" outlineLevel="0" collapsed="false">
      <c r="A50" s="6" t="s">
        <v>267</v>
      </c>
      <c r="B50" s="6" t="s">
        <v>252</v>
      </c>
      <c r="C50" s="6" t="s">
        <v>125</v>
      </c>
      <c r="D50" s="35" t="n">
        <f aca="false">'Sim Data'!$E$230</f>
        <v>18.305</v>
      </c>
      <c r="E50" s="41" t="n">
        <f aca="false">IF('Sim Data'!$G$230&gt;0,'Sim Data'!$G$230,(Assumptions!$B$23+Assumptions!$B$24)/2)</f>
        <v>13.5268</v>
      </c>
      <c r="F50" s="43" t="n">
        <f aca="false">Assumptions!$B$21</f>
        <v>900</v>
      </c>
      <c r="G50" s="39" t="n">
        <f aca="false">D50*E50/F50</f>
        <v>0.275120082222222</v>
      </c>
      <c r="H50" s="40" t="str">
        <f aca="false">IF(D50=0,"No arrivals",IF(G50&lt;1,"Stable: a seat is free","UNSTABLE: students wait for seats"))</f>
        <v>Stable: a seat is free</v>
      </c>
      <c r="I50" s="38" t="n">
        <f aca="false">'Sim Data'!$I$230</f>
        <v>230.0487</v>
      </c>
      <c r="J50" s="33" t="n">
        <f aca="false">D50*E50</f>
        <v>247.608074</v>
      </c>
      <c r="K50" s="34" t="n">
        <f aca="false">IF(MAX(I50,J50)&lt;5,"≈ 0",IF(J50=0,"no new diners",I50/J50))</f>
        <v>0.929084000709929</v>
      </c>
      <c r="L50" s="41" t="n">
        <f aca="false">'Sim Data'!$E$248*'Sim Data'!$G$248</f>
        <v>25.691652</v>
      </c>
    </row>
    <row r="51" customFormat="false" ht="15" hidden="false" customHeight="false" outlineLevel="0" collapsed="false">
      <c r="A51" s="6" t="s">
        <v>267</v>
      </c>
      <c r="B51" s="6" t="s">
        <v>252</v>
      </c>
      <c r="C51" s="6" t="s">
        <v>259</v>
      </c>
      <c r="D51" s="35" t="n">
        <f aca="false">'Sim Data'!$E$231</f>
        <v>19.9</v>
      </c>
      <c r="E51" s="41" t="n">
        <f aca="false">IF('Sim Data'!$G$231&gt;0,'Sim Data'!$G$231,(Assumptions!$B$23+Assumptions!$B$24)/2)</f>
        <v>13.4817</v>
      </c>
      <c r="F51" s="43" t="n">
        <f aca="false">Assumptions!$B$21</f>
        <v>900</v>
      </c>
      <c r="G51" s="39" t="n">
        <f aca="false">D51*E51/F51</f>
        <v>0.298095366666667</v>
      </c>
      <c r="H51" s="40" t="str">
        <f aca="false">IF(D51=0,"No arrivals",IF(G51&lt;1,"Stable: a seat is free","UNSTABLE: students wait for seats"))</f>
        <v>Stable: a seat is free</v>
      </c>
      <c r="I51" s="38" t="n">
        <f aca="false">'Sim Data'!$I$231</f>
        <v>257.2467</v>
      </c>
      <c r="J51" s="33" t="n">
        <f aca="false">D51*E51</f>
        <v>268.28583</v>
      </c>
      <c r="K51" s="34" t="n">
        <f aca="false">IF(MAX(I51,J51)&lt;5,"≈ 0",IF(J51=0,"no new diners",I51/J51))</f>
        <v>0.958853100814158</v>
      </c>
      <c r="L51" s="41" t="n">
        <f aca="false">'Sim Data'!$E$249*'Sim Data'!$G$249</f>
        <v>26.218976</v>
      </c>
    </row>
    <row r="52" customFormat="false" ht="15" hidden="false" customHeight="false" outlineLevel="0" collapsed="false">
      <c r="A52" s="6" t="s">
        <v>267</v>
      </c>
      <c r="B52" s="6" t="s">
        <v>252</v>
      </c>
      <c r="C52" s="6" t="s">
        <v>260</v>
      </c>
      <c r="D52" s="35" t="n">
        <f aca="false">'Sim Data'!$E$232</f>
        <v>19.87</v>
      </c>
      <c r="E52" s="41" t="n">
        <f aca="false">IF('Sim Data'!$G$232&gt;0,'Sim Data'!$G$232,(Assumptions!$B$23+Assumptions!$B$24)/2)</f>
        <v>13.4854</v>
      </c>
      <c r="F52" s="43" t="n">
        <f aca="false">Assumptions!$B$21</f>
        <v>900</v>
      </c>
      <c r="G52" s="39" t="n">
        <f aca="false">D52*E52/F52</f>
        <v>0.297727664444445</v>
      </c>
      <c r="H52" s="40" t="str">
        <f aca="false">IF(D52=0,"No arrivals",IF(G52&lt;1,"Stable: a seat is free","UNSTABLE: students wait for seats"))</f>
        <v>Stable: a seat is free</v>
      </c>
      <c r="I52" s="38" t="n">
        <f aca="false">'Sim Data'!$I$232</f>
        <v>268.829</v>
      </c>
      <c r="J52" s="33" t="n">
        <f aca="false">D52*E52</f>
        <v>267.954898</v>
      </c>
      <c r="K52" s="34" t="n">
        <f aca="false">IF(MAX(I52,J52)&lt;5,"≈ 0",IF(J52=0,"no new diners",I52/J52))</f>
        <v>1.00326212361306</v>
      </c>
      <c r="L52" s="41" t="n">
        <f aca="false">'Sim Data'!$E$250*'Sim Data'!$G$250</f>
        <v>29.92934</v>
      </c>
    </row>
    <row r="53" customFormat="false" ht="15" hidden="false" customHeight="false" outlineLevel="0" collapsed="false">
      <c r="A53" s="6" t="s">
        <v>267</v>
      </c>
      <c r="B53" s="6" t="s">
        <v>252</v>
      </c>
      <c r="C53" s="6" t="s">
        <v>134</v>
      </c>
      <c r="D53" s="35" t="n">
        <f aca="false">'Sim Data'!$E$233</f>
        <v>18.97</v>
      </c>
      <c r="E53" s="41" t="n">
        <f aca="false">IF('Sim Data'!$G$233&gt;0,'Sim Data'!$G$233,(Assumptions!$B$23+Assumptions!$B$24)/2)</f>
        <v>13.4844</v>
      </c>
      <c r="F53" s="43" t="n">
        <f aca="false">Assumptions!$B$21</f>
        <v>900</v>
      </c>
      <c r="G53" s="39" t="n">
        <f aca="false">D53*E53/F53</f>
        <v>0.284221186666667</v>
      </c>
      <c r="H53" s="40" t="str">
        <f aca="false">IF(D53=0,"No arrivals",IF(G53&lt;1,"Stable: a seat is free","UNSTABLE: students wait for seats"))</f>
        <v>Stable: a seat is free</v>
      </c>
      <c r="I53" s="38" t="n">
        <f aca="false">'Sim Data'!$I$233</f>
        <v>265.3977</v>
      </c>
      <c r="J53" s="33" t="n">
        <f aca="false">D53*E53</f>
        <v>255.799068</v>
      </c>
      <c r="K53" s="34" t="n">
        <f aca="false">IF(MAX(I53,J53)&lt;5,"≈ 0",IF(J53=0,"no new diners",I53/J53))</f>
        <v>1.03752410857103</v>
      </c>
      <c r="L53" s="41" t="n">
        <f aca="false">'Sim Data'!$E$251*'Sim Data'!$G$251</f>
        <v>30.190974</v>
      </c>
    </row>
    <row r="54" customFormat="false" ht="15" hidden="false" customHeight="false" outlineLevel="0" collapsed="false">
      <c r="A54" s="6" t="s">
        <v>267</v>
      </c>
      <c r="B54" s="6" t="s">
        <v>252</v>
      </c>
      <c r="C54" s="6" t="s">
        <v>138</v>
      </c>
      <c r="D54" s="35" t="n">
        <f aca="false">'Sim Data'!$E$234</f>
        <v>15.935</v>
      </c>
      <c r="E54" s="41" t="n">
        <f aca="false">IF('Sim Data'!$G$234&gt;0,'Sim Data'!$G$234,(Assumptions!$B$23+Assumptions!$B$24)/2)</f>
        <v>13.5003</v>
      </c>
      <c r="F54" s="43" t="n">
        <f aca="false">Assumptions!$B$21</f>
        <v>900</v>
      </c>
      <c r="G54" s="39" t="n">
        <f aca="false">D54*E54/F54</f>
        <v>0.239030311666667</v>
      </c>
      <c r="H54" s="40" t="str">
        <f aca="false">IF(D54=0,"No arrivals",IF(G54&lt;1,"Stable: a seat is free","UNSTABLE: students wait for seats"))</f>
        <v>Stable: a seat is free</v>
      </c>
      <c r="I54" s="38" t="n">
        <f aca="false">'Sim Data'!$I$234</f>
        <v>237.565</v>
      </c>
      <c r="J54" s="33" t="n">
        <f aca="false">D54*E54</f>
        <v>215.1272805</v>
      </c>
      <c r="K54" s="34" t="n">
        <f aca="false">IF(MAX(I54,J54)&lt;5,"≈ 0",IF(J54=0,"no new diners",I54/J54))</f>
        <v>1.10429974035766</v>
      </c>
      <c r="L54" s="41" t="n">
        <f aca="false">'Sim Data'!$E$252*'Sim Data'!$G$252</f>
        <v>29.24113</v>
      </c>
    </row>
    <row r="55" customFormat="false" ht="15" hidden="false" customHeight="false" outlineLevel="0" collapsed="false">
      <c r="A55" s="6" t="s">
        <v>267</v>
      </c>
      <c r="B55" s="6" t="s">
        <v>252</v>
      </c>
      <c r="C55" s="6" t="s">
        <v>141</v>
      </c>
      <c r="D55" s="35" t="n">
        <f aca="false">'Sim Data'!$E$235</f>
        <v>9.495</v>
      </c>
      <c r="E55" s="41" t="n">
        <f aca="false">IF('Sim Data'!$G$235&gt;0,'Sim Data'!$G$235,(Assumptions!$B$23+Assumptions!$B$24)/2)</f>
        <v>13.5197</v>
      </c>
      <c r="F55" s="43" t="n">
        <f aca="false">Assumptions!$B$21</f>
        <v>900</v>
      </c>
      <c r="G55" s="39" t="n">
        <f aca="false">D55*E55/F55</f>
        <v>0.142632835</v>
      </c>
      <c r="H55" s="40" t="str">
        <f aca="false">IF(D55=0,"No arrivals",IF(G55&lt;1,"Stable: a seat is free","UNSTABLE: students wait for seats"))</f>
        <v>Stable: a seat is free</v>
      </c>
      <c r="I55" s="38" t="n">
        <f aca="false">'Sim Data'!$I$235</f>
        <v>193.2063</v>
      </c>
      <c r="J55" s="33" t="n">
        <f aca="false">D55*E55</f>
        <v>128.3695515</v>
      </c>
      <c r="K55" s="34" t="n">
        <f aca="false">IF(MAX(I55,J55)&lt;5,"≈ 0",IF(J55=0,"no new diners",I55/J55))</f>
        <v>1.50507887378574</v>
      </c>
      <c r="L55" s="41" t="n">
        <f aca="false">'Sim Data'!$E$253*'Sim Data'!$G$253</f>
        <v>24.3581175</v>
      </c>
    </row>
    <row r="56" customFormat="false" ht="15" hidden="false" customHeight="false" outlineLevel="0" collapsed="false">
      <c r="A56" s="6" t="s">
        <v>267</v>
      </c>
      <c r="B56" s="6" t="s">
        <v>252</v>
      </c>
      <c r="C56" s="6" t="s">
        <v>128</v>
      </c>
      <c r="D56" s="35" t="n">
        <f aca="false">'Sim Data'!$E$236</f>
        <v>0.76</v>
      </c>
      <c r="E56" s="41" t="n">
        <f aca="false">IF('Sim Data'!$G$236&gt;0,'Sim Data'!$G$236,(Assumptions!$B$23+Assumptions!$B$24)/2)</f>
        <v>13.4884</v>
      </c>
      <c r="F56" s="43" t="n">
        <f aca="false">Assumptions!$B$21</f>
        <v>900</v>
      </c>
      <c r="G56" s="39" t="n">
        <f aca="false">D56*E56/F56</f>
        <v>0.0113902044444444</v>
      </c>
      <c r="H56" s="40" t="str">
        <f aca="false">IF(D56=0,"No arrivals",IF(G56&lt;1,"Stable: a seat is free","UNSTABLE: students wait for seats"))</f>
        <v>Stable: a seat is free</v>
      </c>
      <c r="I56" s="38" t="n">
        <f aca="false">'Sim Data'!$I$236</f>
        <v>86.2959</v>
      </c>
      <c r="J56" s="33" t="n">
        <f aca="false">D56*E56</f>
        <v>10.251184</v>
      </c>
      <c r="K56" s="34" t="n">
        <f aca="false">IF(MAX(I56,J56)&lt;5,"≈ 0",IF(J56=0,"no new diners",I56/J56))</f>
        <v>8.41813979731512</v>
      </c>
      <c r="L56" s="41" t="n">
        <f aca="false">'Sim Data'!$E$254*'Sim Data'!$G$254</f>
        <v>19.6070975</v>
      </c>
    </row>
    <row r="57" customFormat="false" ht="15" hidden="false" customHeight="false" outlineLevel="0" collapsed="false">
      <c r="A57" s="6" t="s">
        <v>267</v>
      </c>
      <c r="B57" s="6" t="s">
        <v>252</v>
      </c>
      <c r="C57" s="6" t="s">
        <v>261</v>
      </c>
      <c r="D57" s="35" t="n">
        <f aca="false">'Sim Data'!$E$237</f>
        <v>0</v>
      </c>
      <c r="E57" s="41" t="n">
        <f aca="false">IF('Sim Data'!$G$237&gt;0,'Sim Data'!$G$237,(Assumptions!$B$23+Assumptions!$B$24)/2)</f>
        <v>13.5</v>
      </c>
      <c r="F57" s="43" t="n">
        <f aca="false">Assumptions!$B$21</f>
        <v>900</v>
      </c>
      <c r="G57" s="39" t="n">
        <f aca="false">D57*E57/F57</f>
        <v>0</v>
      </c>
      <c r="H57" s="40" t="str">
        <f aca="false">IF(D57=0,"No arrivals",IF(G57&lt;1,"Stable: a seat is free","UNSTABLE: students wait for seats"))</f>
        <v>No arrivals</v>
      </c>
      <c r="I57" s="38" t="n">
        <f aca="false">'Sim Data'!$I$237</f>
        <v>7.2959</v>
      </c>
      <c r="J57" s="33" t="n">
        <f aca="false">D57*E57</f>
        <v>0</v>
      </c>
      <c r="K57" s="34" t="str">
        <f aca="false">IF(MAX(I57,J57)&lt;5,"≈ 0",IF(J57=0,"no new diners",I57/J57))</f>
        <v>no new diners</v>
      </c>
      <c r="L57" s="41" t="n">
        <f aca="false">'Sim Data'!$E$255*'Sim Data'!$G$255</f>
        <v>4.744305</v>
      </c>
    </row>
    <row r="58" customFormat="false" ht="15" hidden="false" customHeight="false" outlineLevel="0" collapsed="false">
      <c r="A58" s="6" t="s">
        <v>267</v>
      </c>
      <c r="B58" s="6" t="s">
        <v>252</v>
      </c>
      <c r="C58" s="6" t="s">
        <v>262</v>
      </c>
      <c r="D58" s="35" t="n">
        <f aca="false">'Sim Data'!$E$238</f>
        <v>0</v>
      </c>
      <c r="E58" s="41" t="n">
        <f aca="false">IF('Sim Data'!$G$238&gt;0,'Sim Data'!$G$238,(Assumptions!$B$23+Assumptions!$B$24)/2)</f>
        <v>13.5</v>
      </c>
      <c r="F58" s="43" t="n">
        <f aca="false">Assumptions!$B$21</f>
        <v>900</v>
      </c>
      <c r="G58" s="39" t="n">
        <f aca="false">D58*E58/F58</f>
        <v>0</v>
      </c>
      <c r="H58" s="40" t="str">
        <f aca="false">IF(D58=0,"No arrivals",IF(G58&lt;1,"Stable: a seat is free","UNSTABLE: students wait for seats"))</f>
        <v>No arrivals</v>
      </c>
      <c r="I58" s="38" t="n">
        <f aca="false">'Sim Data'!$I$238</f>
        <v>0</v>
      </c>
      <c r="J58" s="33" t="n">
        <f aca="false">D58*E58</f>
        <v>0</v>
      </c>
      <c r="K58" s="34" t="str">
        <f aca="false">IF(MAX(I58,J58)&lt;5,"≈ 0",IF(J58=0,"no new diners",I58/J58))</f>
        <v>≈ 0</v>
      </c>
      <c r="L58" s="41" t="n">
        <f aca="false">'Sim Data'!$E$256*'Sim Data'!$G$256</f>
        <v>0</v>
      </c>
    </row>
    <row r="59" customFormat="false" ht="15" hidden="false" customHeight="false" outlineLevel="0" collapsed="false">
      <c r="A59" s="6" t="s">
        <v>267</v>
      </c>
      <c r="B59" s="6" t="s">
        <v>266</v>
      </c>
      <c r="C59" s="6" t="s">
        <v>254</v>
      </c>
      <c r="D59" s="35" t="n">
        <f aca="false">'Sim Data'!$E$311</f>
        <v>0</v>
      </c>
      <c r="E59" s="41" t="n">
        <f aca="false">IF('Sim Data'!$G$311&gt;0,'Sim Data'!$G$311,(Assumptions!$B$23+Assumptions!$B$24)/2)</f>
        <v>13.5</v>
      </c>
      <c r="F59" s="43" t="n">
        <f aca="false">Assumptions!$B$22</f>
        <v>492</v>
      </c>
      <c r="G59" s="39" t="n">
        <f aca="false">D59*E59/F59</f>
        <v>0</v>
      </c>
      <c r="H59" s="40" t="str">
        <f aca="false">IF(D59=0,"No arrivals",IF(G59&lt;1,"Stable: a seat is free","UNSTABLE: students wait for seats"))</f>
        <v>No arrivals</v>
      </c>
      <c r="I59" s="38" t="n">
        <f aca="false">'Sim Data'!$I$311</f>
        <v>0</v>
      </c>
      <c r="J59" s="33" t="n">
        <f aca="false">D59*E59</f>
        <v>0</v>
      </c>
      <c r="K59" s="34" t="str">
        <f aca="false">IF(MAX(I59,J59)&lt;5,"≈ 0",IF(J59=0,"no new diners",I59/J59))</f>
        <v>≈ 0</v>
      </c>
      <c r="L59" s="41" t="n">
        <f aca="false">'Sim Data'!$E$329*'Sim Data'!$G$329</f>
        <v>0</v>
      </c>
    </row>
    <row r="60" customFormat="false" ht="15" hidden="false" customHeight="false" outlineLevel="0" collapsed="false">
      <c r="A60" s="6" t="s">
        <v>267</v>
      </c>
      <c r="B60" s="6" t="s">
        <v>266</v>
      </c>
      <c r="C60" s="6" t="s">
        <v>255</v>
      </c>
      <c r="D60" s="35" t="n">
        <f aca="false">'Sim Data'!$E$312</f>
        <v>0</v>
      </c>
      <c r="E60" s="41" t="n">
        <f aca="false">IF('Sim Data'!$G$312&gt;0,'Sim Data'!$G$312,(Assumptions!$B$23+Assumptions!$B$24)/2)</f>
        <v>13.5</v>
      </c>
      <c r="F60" s="43" t="n">
        <f aca="false">Assumptions!$B$22</f>
        <v>492</v>
      </c>
      <c r="G60" s="39" t="n">
        <f aca="false">D60*E60/F60</f>
        <v>0</v>
      </c>
      <c r="H60" s="40" t="str">
        <f aca="false">IF(D60=0,"No arrivals",IF(G60&lt;1,"Stable: a seat is free","UNSTABLE: students wait for seats"))</f>
        <v>No arrivals</v>
      </c>
      <c r="I60" s="38" t="n">
        <f aca="false">'Sim Data'!$I$312</f>
        <v>0</v>
      </c>
      <c r="J60" s="33" t="n">
        <f aca="false">D60*E60</f>
        <v>0</v>
      </c>
      <c r="K60" s="34" t="str">
        <f aca="false">IF(MAX(I60,J60)&lt;5,"≈ 0",IF(J60=0,"no new diners",I60/J60))</f>
        <v>≈ 0</v>
      </c>
      <c r="L60" s="41" t="n">
        <f aca="false">'Sim Data'!$E$330*'Sim Data'!$G$330</f>
        <v>0</v>
      </c>
    </row>
    <row r="61" customFormat="false" ht="15" hidden="false" customHeight="false" outlineLevel="0" collapsed="false">
      <c r="A61" s="6" t="s">
        <v>267</v>
      </c>
      <c r="B61" s="6" t="s">
        <v>266</v>
      </c>
      <c r="C61" s="6" t="s">
        <v>256</v>
      </c>
      <c r="D61" s="35" t="n">
        <f aca="false">'Sim Data'!$E$313</f>
        <v>0</v>
      </c>
      <c r="E61" s="41" t="n">
        <f aca="false">IF('Sim Data'!$G$313&gt;0,'Sim Data'!$G$313,(Assumptions!$B$23+Assumptions!$B$24)/2)</f>
        <v>13.5</v>
      </c>
      <c r="F61" s="43" t="n">
        <f aca="false">Assumptions!$B$22</f>
        <v>492</v>
      </c>
      <c r="G61" s="39" t="n">
        <f aca="false">D61*E61/F61</f>
        <v>0</v>
      </c>
      <c r="H61" s="40" t="str">
        <f aca="false">IF(D61=0,"No arrivals",IF(G61&lt;1,"Stable: a seat is free","UNSTABLE: students wait for seats"))</f>
        <v>No arrivals</v>
      </c>
      <c r="I61" s="38" t="n">
        <f aca="false">'Sim Data'!$I$313</f>
        <v>0</v>
      </c>
      <c r="J61" s="33" t="n">
        <f aca="false">D61*E61</f>
        <v>0</v>
      </c>
      <c r="K61" s="34" t="str">
        <f aca="false">IF(MAX(I61,J61)&lt;5,"≈ 0",IF(J61=0,"no new diners",I61/J61))</f>
        <v>≈ 0</v>
      </c>
      <c r="L61" s="41" t="n">
        <f aca="false">'Sim Data'!$E$331*'Sim Data'!$G$331</f>
        <v>0</v>
      </c>
    </row>
    <row r="62" customFormat="false" ht="15" hidden="false" customHeight="false" outlineLevel="0" collapsed="false">
      <c r="A62" s="6" t="s">
        <v>267</v>
      </c>
      <c r="B62" s="6" t="s">
        <v>266</v>
      </c>
      <c r="C62" s="6" t="s">
        <v>124</v>
      </c>
      <c r="D62" s="35" t="n">
        <f aca="false">'Sim Data'!$E$314</f>
        <v>3.32</v>
      </c>
      <c r="E62" s="41" t="n">
        <f aca="false">IF('Sim Data'!$G$314&gt;0,'Sim Data'!$G$314,(Assumptions!$B$23+Assumptions!$B$24)/2)</f>
        <v>13.5115</v>
      </c>
      <c r="F62" s="43" t="n">
        <f aca="false">Assumptions!$B$22</f>
        <v>492</v>
      </c>
      <c r="G62" s="39" t="n">
        <f aca="false">D62*E62/F62</f>
        <v>0.091175162601626</v>
      </c>
      <c r="H62" s="40" t="str">
        <f aca="false">IF(D62=0,"No arrivals",IF(G62&lt;1,"Stable: a seat is free","UNSTABLE: students wait for seats"))</f>
        <v>Stable: a seat is free</v>
      </c>
      <c r="I62" s="38" t="n">
        <f aca="false">'Sim Data'!$I$314</f>
        <v>13.4818</v>
      </c>
      <c r="J62" s="33" t="n">
        <f aca="false">D62*E62</f>
        <v>44.85818</v>
      </c>
      <c r="K62" s="34" t="n">
        <f aca="false">IF(MAX(I62,J62)&lt;5,"≈ 0",IF(J62=0,"no new diners",I62/J62))</f>
        <v>0.300542732674397</v>
      </c>
      <c r="L62" s="41" t="n">
        <f aca="false">'Sim Data'!$E$332*'Sim Data'!$G$332</f>
        <v>0</v>
      </c>
    </row>
    <row r="63" customFormat="false" ht="15" hidden="false" customHeight="false" outlineLevel="0" collapsed="false">
      <c r="A63" s="6" t="s">
        <v>267</v>
      </c>
      <c r="B63" s="6" t="s">
        <v>266</v>
      </c>
      <c r="C63" s="6" t="s">
        <v>257</v>
      </c>
      <c r="D63" s="35" t="n">
        <f aca="false">'Sim Data'!$E$315</f>
        <v>4.45</v>
      </c>
      <c r="E63" s="41" t="n">
        <f aca="false">IF('Sim Data'!$G$315&gt;0,'Sim Data'!$G$315,(Assumptions!$B$23+Assumptions!$B$24)/2)</f>
        <v>13.517</v>
      </c>
      <c r="F63" s="43" t="n">
        <f aca="false">Assumptions!$B$22</f>
        <v>492</v>
      </c>
      <c r="G63" s="39" t="n">
        <f aca="false">D63*E63/F63</f>
        <v>0.122257418699187</v>
      </c>
      <c r="H63" s="40" t="str">
        <f aca="false">IF(D63=0,"No arrivals",IF(G63&lt;1,"Stable: a seat is free","UNSTABLE: students wait for seats"))</f>
        <v>Stable: a seat is free</v>
      </c>
      <c r="I63" s="38" t="n">
        <f aca="false">'Sim Data'!$I$315</f>
        <v>50.3918</v>
      </c>
      <c r="J63" s="33" t="n">
        <f aca="false">D63*E63</f>
        <v>60.15065</v>
      </c>
      <c r="K63" s="34" t="n">
        <f aca="false">IF(MAX(I63,J63)&lt;5,"≈ 0",IF(J63=0,"no new diners",I63/J63))</f>
        <v>0.837759857956647</v>
      </c>
      <c r="L63" s="41" t="n">
        <f aca="false">'Sim Data'!$E$333*'Sim Data'!$G$333</f>
        <v>2.6878335</v>
      </c>
    </row>
    <row r="64" customFormat="false" ht="15" hidden="false" customHeight="false" outlineLevel="0" collapsed="false">
      <c r="A64" s="6" t="s">
        <v>267</v>
      </c>
      <c r="B64" s="6" t="s">
        <v>266</v>
      </c>
      <c r="C64" s="6" t="s">
        <v>258</v>
      </c>
      <c r="D64" s="35" t="n">
        <f aca="false">'Sim Data'!$E$316</f>
        <v>4.975</v>
      </c>
      <c r="E64" s="41" t="n">
        <f aca="false">IF('Sim Data'!$G$316&gt;0,'Sim Data'!$G$316,(Assumptions!$B$23+Assumptions!$B$24)/2)</f>
        <v>13.5044</v>
      </c>
      <c r="F64" s="43" t="n">
        <f aca="false">Assumptions!$B$22</f>
        <v>492</v>
      </c>
      <c r="G64" s="39" t="n">
        <f aca="false">D64*E64/F64</f>
        <v>0.136553638211382</v>
      </c>
      <c r="H64" s="40" t="str">
        <f aca="false">IF(D64=0,"No arrivals",IF(G64&lt;1,"Stable: a seat is free","UNSTABLE: students wait for seats"))</f>
        <v>Stable: a seat is free</v>
      </c>
      <c r="I64" s="38" t="n">
        <f aca="false">'Sim Data'!$I$316</f>
        <v>63.245</v>
      </c>
      <c r="J64" s="33" t="n">
        <f aca="false">D64*E64</f>
        <v>67.18439</v>
      </c>
      <c r="K64" s="34" t="n">
        <f aca="false">IF(MAX(I64,J64)&lt;5,"≈ 0",IF(J64=0,"no new diners",I64/J64))</f>
        <v>0.941364504463016</v>
      </c>
      <c r="L64" s="41" t="n">
        <f aca="false">'Sim Data'!$E$334*'Sim Data'!$G$334</f>
        <v>6.489602</v>
      </c>
    </row>
    <row r="65" customFormat="false" ht="15" hidden="false" customHeight="false" outlineLevel="0" collapsed="false">
      <c r="A65" s="6" t="s">
        <v>267</v>
      </c>
      <c r="B65" s="6" t="s">
        <v>266</v>
      </c>
      <c r="C65" s="6" t="s">
        <v>133</v>
      </c>
      <c r="D65" s="35" t="n">
        <f aca="false">'Sim Data'!$E$317</f>
        <v>6.775</v>
      </c>
      <c r="E65" s="41" t="n">
        <f aca="false">IF('Sim Data'!$G$317&gt;0,'Sim Data'!$G$317,(Assumptions!$B$23+Assumptions!$B$24)/2)</f>
        <v>13.5082</v>
      </c>
      <c r="F65" s="43" t="n">
        <f aca="false">Assumptions!$B$22</f>
        <v>492</v>
      </c>
      <c r="G65" s="39" t="n">
        <f aca="false">D65*E65/F65</f>
        <v>0.186012306910569</v>
      </c>
      <c r="H65" s="40" t="str">
        <f aca="false">IF(D65=0,"No arrivals",IF(G65&lt;1,"Stable: a seat is free","UNSTABLE: students wait for seats"))</f>
        <v>Stable: a seat is free</v>
      </c>
      <c r="I65" s="38" t="n">
        <f aca="false">'Sim Data'!$I$317</f>
        <v>73.2679</v>
      </c>
      <c r="J65" s="33" t="n">
        <f aca="false">D65*E65</f>
        <v>91.518055</v>
      </c>
      <c r="K65" s="34" t="n">
        <f aca="false">IF(MAX(I65,J65)&lt;5,"≈ 0",IF(J65=0,"no new diners",I65/J65))</f>
        <v>0.800584103322563</v>
      </c>
      <c r="L65" s="41" t="n">
        <f aca="false">'Sim Data'!$E$335*'Sim Data'!$G$335</f>
        <v>7.3558105</v>
      </c>
    </row>
    <row r="66" customFormat="false" ht="15" hidden="false" customHeight="false" outlineLevel="0" collapsed="false">
      <c r="A66" s="6" t="s">
        <v>267</v>
      </c>
      <c r="B66" s="6" t="s">
        <v>266</v>
      </c>
      <c r="C66" s="6" t="s">
        <v>137</v>
      </c>
      <c r="D66" s="35" t="n">
        <f aca="false">'Sim Data'!$E$318</f>
        <v>7.5</v>
      </c>
      <c r="E66" s="41" t="n">
        <f aca="false">IF('Sim Data'!$G$318&gt;0,'Sim Data'!$G$318,(Assumptions!$B$23+Assumptions!$B$24)/2)</f>
        <v>13.5134</v>
      </c>
      <c r="F66" s="43" t="n">
        <f aca="false">Assumptions!$B$22</f>
        <v>492</v>
      </c>
      <c r="G66" s="39" t="n">
        <f aca="false">D66*E66/F66</f>
        <v>0.205996951219512</v>
      </c>
      <c r="H66" s="40" t="str">
        <f aca="false">IF(D66=0,"No arrivals",IF(G66&lt;1,"Stable: a seat is free","UNSTABLE: students wait for seats"))</f>
        <v>Stable: a seat is free</v>
      </c>
      <c r="I66" s="38" t="n">
        <f aca="false">'Sim Data'!$I$318</f>
        <v>95.781</v>
      </c>
      <c r="J66" s="33" t="n">
        <f aca="false">D66*E66</f>
        <v>101.3505</v>
      </c>
      <c r="K66" s="34" t="n">
        <f aca="false">IF(MAX(I66,J66)&lt;5,"≈ 0",IF(J66=0,"no new diners",I66/J66))</f>
        <v>0.945047138395962</v>
      </c>
      <c r="L66" s="41" t="n">
        <f aca="false">'Sim Data'!$E$336*'Sim Data'!$G$336</f>
        <v>8.60582</v>
      </c>
    </row>
    <row r="67" customFormat="false" ht="15" hidden="false" customHeight="false" outlineLevel="0" collapsed="false">
      <c r="A67" s="6" t="s">
        <v>267</v>
      </c>
      <c r="B67" s="6" t="s">
        <v>266</v>
      </c>
      <c r="C67" s="6" t="s">
        <v>140</v>
      </c>
      <c r="D67" s="35" t="n">
        <f aca="false">'Sim Data'!$E$319</f>
        <v>5.89</v>
      </c>
      <c r="E67" s="41" t="n">
        <f aca="false">IF('Sim Data'!$G$319&gt;0,'Sim Data'!$G$319,(Assumptions!$B$23+Assumptions!$B$24)/2)</f>
        <v>13.4873</v>
      </c>
      <c r="F67" s="43" t="n">
        <f aca="false">Assumptions!$B$22</f>
        <v>492</v>
      </c>
      <c r="G67" s="39" t="n">
        <f aca="false">D67*E67/F67</f>
        <v>0.16146381504065</v>
      </c>
      <c r="H67" s="40" t="str">
        <f aca="false">IF(D67=0,"No arrivals",IF(G67&lt;1,"Stable: a seat is free","UNSTABLE: students wait for seats"))</f>
        <v>Stable: a seat is free</v>
      </c>
      <c r="I67" s="38" t="n">
        <f aca="false">'Sim Data'!$I$319</f>
        <v>94.3125</v>
      </c>
      <c r="J67" s="33" t="n">
        <f aca="false">D67*E67</f>
        <v>79.440197</v>
      </c>
      <c r="K67" s="34" t="n">
        <f aca="false">IF(MAX(I67,J67)&lt;5,"≈ 0",IF(J67=0,"no new diners",I67/J67))</f>
        <v>1.1872138232487</v>
      </c>
      <c r="L67" s="41" t="n">
        <f aca="false">'Sim Data'!$E$337*'Sim Data'!$G$337</f>
        <v>11.577994</v>
      </c>
    </row>
    <row r="68" customFormat="false" ht="15" hidden="false" customHeight="false" outlineLevel="0" collapsed="false">
      <c r="A68" s="6" t="s">
        <v>267</v>
      </c>
      <c r="B68" s="6" t="s">
        <v>266</v>
      </c>
      <c r="C68" s="6" t="s">
        <v>125</v>
      </c>
      <c r="D68" s="35" t="n">
        <f aca="false">'Sim Data'!$E$320</f>
        <v>5.28</v>
      </c>
      <c r="E68" s="41" t="n">
        <f aca="false">IF('Sim Data'!$G$320&gt;0,'Sim Data'!$G$320,(Assumptions!$B$23+Assumptions!$B$24)/2)</f>
        <v>13.4883</v>
      </c>
      <c r="F68" s="43" t="n">
        <f aca="false">Assumptions!$B$22</f>
        <v>492</v>
      </c>
      <c r="G68" s="39" t="n">
        <f aca="false">D68*E68/F68</f>
        <v>0.144752487804878</v>
      </c>
      <c r="H68" s="40" t="str">
        <f aca="false">IF(D68=0,"No arrivals",IF(G68&lt;1,"Stable: a seat is free","UNSTABLE: students wait for seats"))</f>
        <v>Stable: a seat is free</v>
      </c>
      <c r="I68" s="38" t="n">
        <f aca="false">'Sim Data'!$I$320</f>
        <v>74.6432</v>
      </c>
      <c r="J68" s="33" t="n">
        <f aca="false">D68*E68</f>
        <v>71.218224</v>
      </c>
      <c r="K68" s="34" t="n">
        <f aca="false">IF(MAX(I68,J68)&lt;5,"≈ 0",IF(J68=0,"no new diners",I68/J68))</f>
        <v>1.04809128629773</v>
      </c>
      <c r="L68" s="41" t="n">
        <f aca="false">'Sim Data'!$E$338*'Sim Data'!$G$338</f>
        <v>9.85248</v>
      </c>
    </row>
    <row r="69" customFormat="false" ht="15" hidden="false" customHeight="false" outlineLevel="0" collapsed="false">
      <c r="A69" s="6" t="s">
        <v>267</v>
      </c>
      <c r="B69" s="6" t="s">
        <v>266</v>
      </c>
      <c r="C69" s="6" t="s">
        <v>259</v>
      </c>
      <c r="D69" s="35" t="n">
        <f aca="false">'Sim Data'!$E$321</f>
        <v>15.33</v>
      </c>
      <c r="E69" s="41" t="n">
        <f aca="false">IF('Sim Data'!$G$321&gt;0,'Sim Data'!$G$321,(Assumptions!$B$23+Assumptions!$B$24)/2)</f>
        <v>13.501</v>
      </c>
      <c r="F69" s="43" t="n">
        <f aca="false">Assumptions!$B$22</f>
        <v>492</v>
      </c>
      <c r="G69" s="39" t="n">
        <f aca="false">D69*E69/F69</f>
        <v>0.420671402439024</v>
      </c>
      <c r="H69" s="40" t="str">
        <f aca="false">IF(D69=0,"No arrivals",IF(G69&lt;1,"Stable: a seat is free","UNSTABLE: students wait for seats"))</f>
        <v>Stable: a seat is free</v>
      </c>
      <c r="I69" s="38" t="n">
        <f aca="false">'Sim Data'!$I$321</f>
        <v>118.4006</v>
      </c>
      <c r="J69" s="33" t="n">
        <f aca="false">D69*E69</f>
        <v>206.97033</v>
      </c>
      <c r="K69" s="34" t="n">
        <f aca="false">IF(MAX(I69,J69)&lt;5,"≈ 0",IF(J69=0,"no new diners",I69/J69))</f>
        <v>0.572065570944396</v>
      </c>
      <c r="L69" s="41" t="n">
        <f aca="false">'Sim Data'!$E$339*'Sim Data'!$G$339</f>
        <v>7.241936</v>
      </c>
    </row>
    <row r="70" customFormat="false" ht="15" hidden="false" customHeight="false" outlineLevel="0" collapsed="false">
      <c r="A70" s="6" t="s">
        <v>267</v>
      </c>
      <c r="B70" s="6" t="s">
        <v>266</v>
      </c>
      <c r="C70" s="6" t="s">
        <v>260</v>
      </c>
      <c r="D70" s="35" t="n">
        <f aca="false">'Sim Data'!$E$322</f>
        <v>15.82</v>
      </c>
      <c r="E70" s="41" t="n">
        <f aca="false">IF('Sim Data'!$G$322&gt;0,'Sim Data'!$G$322,(Assumptions!$B$23+Assumptions!$B$24)/2)</f>
        <v>13.4974</v>
      </c>
      <c r="F70" s="43" t="n">
        <f aca="false">Assumptions!$B$22</f>
        <v>492</v>
      </c>
      <c r="G70" s="39" t="n">
        <f aca="false">D70*E70/F70</f>
        <v>0.434001764227642</v>
      </c>
      <c r="H70" s="40" t="str">
        <f aca="false">IF(D70=0,"No arrivals",IF(G70&lt;1,"Stable: a seat is free","UNSTABLE: students wait for seats"))</f>
        <v>Stable: a seat is free</v>
      </c>
      <c r="I70" s="38" t="n">
        <f aca="false">'Sim Data'!$I$322</f>
        <v>206.8818</v>
      </c>
      <c r="J70" s="33" t="n">
        <f aca="false">D70*E70</f>
        <v>213.528868</v>
      </c>
      <c r="K70" s="34" t="n">
        <f aca="false">IF(MAX(I70,J70)&lt;5,"≈ 0",IF(J70=0,"no new diners",I70/J70))</f>
        <v>0.96887040116749</v>
      </c>
      <c r="L70" s="41" t="n">
        <f aca="false">'Sim Data'!$E$340*'Sim Data'!$G$340</f>
        <v>17.548952</v>
      </c>
    </row>
    <row r="71" customFormat="false" ht="15" hidden="false" customHeight="false" outlineLevel="0" collapsed="false">
      <c r="A71" s="6" t="s">
        <v>267</v>
      </c>
      <c r="B71" s="6" t="s">
        <v>266</v>
      </c>
      <c r="C71" s="6" t="s">
        <v>134</v>
      </c>
      <c r="D71" s="35" t="n">
        <f aca="false">'Sim Data'!$E$323</f>
        <v>11.24</v>
      </c>
      <c r="E71" s="41" t="n">
        <f aca="false">IF('Sim Data'!$G$323&gt;0,'Sim Data'!$G$323,(Assumptions!$B$23+Assumptions!$B$24)/2)</f>
        <v>13.4862</v>
      </c>
      <c r="F71" s="43" t="n">
        <f aca="false">Assumptions!$B$22</f>
        <v>492</v>
      </c>
      <c r="G71" s="39" t="n">
        <f aca="false">D71*E71/F71</f>
        <v>0.308099365853659</v>
      </c>
      <c r="H71" s="40" t="str">
        <f aca="false">IF(D71=0,"No arrivals",IF(G71&lt;1,"Stable: a seat is free","UNSTABLE: students wait for seats"))</f>
        <v>Stable: a seat is free</v>
      </c>
      <c r="I71" s="38" t="n">
        <f aca="false">'Sim Data'!$I$323</f>
        <v>199.4786</v>
      </c>
      <c r="J71" s="33" t="n">
        <f aca="false">D71*E71</f>
        <v>151.584888</v>
      </c>
      <c r="K71" s="34" t="n">
        <f aca="false">IF(MAX(I71,J71)&lt;5,"≈ 0",IF(J71=0,"no new diners",I71/J71))</f>
        <v>1.31595307838338</v>
      </c>
      <c r="L71" s="41" t="n">
        <f aca="false">'Sim Data'!$E$341*'Sim Data'!$G$341</f>
        <v>24.4989</v>
      </c>
    </row>
    <row r="72" customFormat="false" ht="15" hidden="false" customHeight="false" outlineLevel="0" collapsed="false">
      <c r="A72" s="6" t="s">
        <v>267</v>
      </c>
      <c r="B72" s="6" t="s">
        <v>266</v>
      </c>
      <c r="C72" s="6" t="s">
        <v>138</v>
      </c>
      <c r="D72" s="35" t="n">
        <f aca="false">'Sim Data'!$E$324</f>
        <v>5.715</v>
      </c>
      <c r="E72" s="41" t="n">
        <f aca="false">IF('Sim Data'!$G$324&gt;0,'Sim Data'!$G$324,(Assumptions!$B$23+Assumptions!$B$24)/2)</f>
        <v>13.5338</v>
      </c>
      <c r="F72" s="43" t="n">
        <f aca="false">Assumptions!$B$22</f>
        <v>492</v>
      </c>
      <c r="G72" s="39" t="n">
        <f aca="false">D72*E72/F72</f>
        <v>0.157206640243902</v>
      </c>
      <c r="H72" s="40" t="str">
        <f aca="false">IF(D72=0,"No arrivals",IF(G72&lt;1,"Stable: a seat is free","UNSTABLE: students wait for seats"))</f>
        <v>Stable: a seat is free</v>
      </c>
      <c r="I72" s="38" t="n">
        <f aca="false">'Sim Data'!$I$324</f>
        <v>125.2824</v>
      </c>
      <c r="J72" s="33" t="n">
        <f aca="false">D72*E72</f>
        <v>77.345667</v>
      </c>
      <c r="K72" s="34" t="n">
        <f aca="false">IF(MAX(I72,J72)&lt;5,"≈ 0",IF(J72=0,"no new diners",I72/J72))</f>
        <v>1.61977270168218</v>
      </c>
      <c r="L72" s="41" t="n">
        <f aca="false">'Sim Data'!$E$342*'Sim Data'!$G$342</f>
        <v>20.48319</v>
      </c>
    </row>
    <row r="73" customFormat="false" ht="15" hidden="false" customHeight="false" outlineLevel="0" collapsed="false">
      <c r="A73" s="6" t="s">
        <v>267</v>
      </c>
      <c r="B73" s="6" t="s">
        <v>266</v>
      </c>
      <c r="C73" s="6" t="s">
        <v>141</v>
      </c>
      <c r="D73" s="35" t="n">
        <f aca="false">'Sim Data'!$E$325</f>
        <v>1.99</v>
      </c>
      <c r="E73" s="41" t="n">
        <f aca="false">IF('Sim Data'!$G$325&gt;0,'Sim Data'!$G$325,(Assumptions!$B$23+Assumptions!$B$24)/2)</f>
        <v>13.5454</v>
      </c>
      <c r="F73" s="43" t="n">
        <f aca="false">Assumptions!$B$22</f>
        <v>492</v>
      </c>
      <c r="G73" s="39" t="n">
        <f aca="false">D73*E73/F73</f>
        <v>0.0547872886178862</v>
      </c>
      <c r="H73" s="40" t="str">
        <f aca="false">IF(D73=0,"No arrivals",IF(G73&lt;1,"Stable: a seat is free","UNSTABLE: students wait for seats"))</f>
        <v>Stable: a seat is free</v>
      </c>
      <c r="I73" s="38" t="n">
        <f aca="false">'Sim Data'!$I$325</f>
        <v>57.9277</v>
      </c>
      <c r="J73" s="33" t="n">
        <f aca="false">D73*E73</f>
        <v>26.955346</v>
      </c>
      <c r="K73" s="34" t="n">
        <f aca="false">IF(MAX(I73,J73)&lt;5,"≈ 0",IF(J73=0,"no new diners",I73/J73))</f>
        <v>2.14902453858318</v>
      </c>
      <c r="L73" s="41" t="n">
        <f aca="false">'Sim Data'!$E$343*'Sim Data'!$G$343</f>
        <v>10.9702855</v>
      </c>
    </row>
    <row r="74" customFormat="false" ht="15" hidden="false" customHeight="false" outlineLevel="0" collapsed="false">
      <c r="A74" s="6" t="s">
        <v>267</v>
      </c>
      <c r="B74" s="6" t="s">
        <v>266</v>
      </c>
      <c r="C74" s="6" t="s">
        <v>128</v>
      </c>
      <c r="D74" s="35" t="n">
        <f aca="false">'Sim Data'!$E$326</f>
        <v>0.185</v>
      </c>
      <c r="E74" s="41" t="n">
        <f aca="false">IF('Sim Data'!$G$326&gt;0,'Sim Data'!$G$326,(Assumptions!$B$23+Assumptions!$B$24)/2)</f>
        <v>13.4661</v>
      </c>
      <c r="F74" s="43" t="n">
        <f aca="false">Assumptions!$B$22</f>
        <v>492</v>
      </c>
      <c r="G74" s="39" t="n">
        <f aca="false">D74*E74/F74</f>
        <v>0.00506347256097561</v>
      </c>
      <c r="H74" s="40" t="str">
        <f aca="false">IF(D74=0,"No arrivals",IF(G74&lt;1,"Stable: a seat is free","UNSTABLE: students wait for seats"))</f>
        <v>Stable: a seat is free</v>
      </c>
      <c r="I74" s="38" t="n">
        <f aca="false">'Sim Data'!$I$326</f>
        <v>19.412</v>
      </c>
      <c r="J74" s="33" t="n">
        <f aca="false">D74*E74</f>
        <v>2.4912285</v>
      </c>
      <c r="K74" s="34" t="n">
        <f aca="false">IF(MAX(I74,J74)&lt;5,"≈ 0",IF(J74=0,"no new diners",I74/J74))</f>
        <v>7.79213950065199</v>
      </c>
      <c r="L74" s="41" t="n">
        <f aca="false">'Sim Data'!$E$344*'Sim Data'!$G$344</f>
        <v>3.995817</v>
      </c>
    </row>
    <row r="75" customFormat="false" ht="15" hidden="false" customHeight="false" outlineLevel="0" collapsed="false">
      <c r="A75" s="6" t="s">
        <v>267</v>
      </c>
      <c r="B75" s="6" t="s">
        <v>266</v>
      </c>
      <c r="C75" s="6" t="s">
        <v>261</v>
      </c>
      <c r="D75" s="35" t="n">
        <f aca="false">'Sim Data'!$E$327</f>
        <v>0</v>
      </c>
      <c r="E75" s="41" t="n">
        <f aca="false">IF('Sim Data'!$G$327&gt;0,'Sim Data'!$G$327,(Assumptions!$B$23+Assumptions!$B$24)/2)</f>
        <v>13.5</v>
      </c>
      <c r="F75" s="43" t="n">
        <f aca="false">Assumptions!$B$22</f>
        <v>492</v>
      </c>
      <c r="G75" s="39" t="n">
        <f aca="false">D75*E75/F75</f>
        <v>0</v>
      </c>
      <c r="H75" s="40" t="str">
        <f aca="false">IF(D75=0,"No arrivals",IF(G75&lt;1,"Stable: a seat is free","UNSTABLE: students wait for seats"))</f>
        <v>No arrivals</v>
      </c>
      <c r="I75" s="38" t="n">
        <f aca="false">'Sim Data'!$I$327</f>
        <v>2.0905</v>
      </c>
      <c r="J75" s="33" t="n">
        <f aca="false">D75*E75</f>
        <v>0</v>
      </c>
      <c r="K75" s="34" t="str">
        <f aca="false">IF(MAX(I75,J75)&lt;5,"≈ 0",IF(J75=0,"no new diners",I75/J75))</f>
        <v>≈ 0</v>
      </c>
      <c r="L75" s="41" t="n">
        <f aca="false">'Sim Data'!$E$345*'Sim Data'!$G$345</f>
        <v>1.311148</v>
      </c>
    </row>
    <row r="76" customFormat="false" ht="15" hidden="false" customHeight="false" outlineLevel="0" collapsed="false">
      <c r="A76" s="6" t="s">
        <v>267</v>
      </c>
      <c r="B76" s="6" t="s">
        <v>266</v>
      </c>
      <c r="C76" s="6" t="s">
        <v>262</v>
      </c>
      <c r="D76" s="35" t="n">
        <f aca="false">'Sim Data'!$E$328</f>
        <v>0</v>
      </c>
      <c r="E76" s="41" t="n">
        <f aca="false">IF('Sim Data'!$G$328&gt;0,'Sim Data'!$G$328,(Assumptions!$B$23+Assumptions!$B$24)/2)</f>
        <v>13.5</v>
      </c>
      <c r="F76" s="43" t="n">
        <f aca="false">Assumptions!$B$22</f>
        <v>492</v>
      </c>
      <c r="G76" s="39" t="n">
        <f aca="false">D76*E76/F76</f>
        <v>0</v>
      </c>
      <c r="H76" s="40" t="str">
        <f aca="false">IF(D76=0,"No arrivals",IF(G76&lt;1,"Stable: a seat is free","UNSTABLE: students wait for seats"))</f>
        <v>No arrivals</v>
      </c>
      <c r="I76" s="38" t="n">
        <f aca="false">'Sim Data'!$I$328</f>
        <v>0</v>
      </c>
      <c r="J76" s="33" t="n">
        <f aca="false">D76*E76</f>
        <v>0</v>
      </c>
      <c r="K76" s="34" t="str">
        <f aca="false">IF(MAX(I76,J76)&lt;5,"≈ 0",IF(J76=0,"no new diners",I76/J76))</f>
        <v>≈ 0</v>
      </c>
      <c r="L76" s="41" t="n">
        <f aca="false">'Sim Data'!$E$346*'Sim Data'!$G$346</f>
        <v>0</v>
      </c>
    </row>
    <row r="78" customFormat="false" ht="57.75" hidden="false" customHeight="true" outlineLevel="0" collapsed="false">
      <c r="A78" s="30" t="s">
        <v>309</v>
      </c>
      <c r="B78" s="30"/>
      <c r="C78" s="30"/>
      <c r="D78" s="30"/>
      <c r="E78" s="30"/>
      <c r="F78" s="30"/>
      <c r="G78" s="30"/>
      <c r="H78" s="30"/>
      <c r="I78" s="30"/>
      <c r="J78" s="30"/>
      <c r="K78" s="30"/>
      <c r="L78" s="30"/>
    </row>
  </sheetData>
  <autoFilter ref="A4:L76"/>
  <mergeCells count="1">
    <mergeCell ref="A78:L7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2"/>
    <col collapsed="false" customWidth="true" hidden="false" outlineLevel="0" max="3" min="3" style="0" width="8"/>
    <col collapsed="false" customWidth="true" hidden="false" outlineLevel="0" max="5" min="4" style="0" width="12"/>
    <col collapsed="false" customWidth="true" hidden="false" outlineLevel="0" max="7" min="6" style="0" width="14"/>
    <col collapsed="false" customWidth="true" hidden="false" outlineLevel="0" max="8" min="8" style="0" width="12"/>
    <col collapsed="false" customWidth="true" hidden="false" outlineLevel="0" max="9" min="9" style="0" width="40"/>
  </cols>
  <sheetData>
    <row r="1" customFormat="false" ht="17.35" hidden="false" customHeight="false" outlineLevel="0" collapsed="false">
      <c r="A1" s="1" t="s">
        <v>310</v>
      </c>
      <c r="B1" s="2"/>
      <c r="C1" s="2"/>
      <c r="D1" s="2"/>
      <c r="E1" s="2"/>
      <c r="F1" s="2"/>
      <c r="G1" s="2"/>
      <c r="H1" s="2"/>
      <c r="I1" s="2"/>
    </row>
    <row r="2" customFormat="false" ht="15" hidden="false" customHeight="false" outlineLevel="0" collapsed="false">
      <c r="A2" s="15" t="s">
        <v>311</v>
      </c>
    </row>
    <row r="4" customFormat="false" ht="43.5" hidden="false" customHeight="true" outlineLevel="0" collapsed="false">
      <c r="A4" s="16" t="s">
        <v>243</v>
      </c>
      <c r="B4" s="16" t="s">
        <v>244</v>
      </c>
      <c r="C4" s="16" t="s">
        <v>245</v>
      </c>
      <c r="D4" s="16" t="s">
        <v>312</v>
      </c>
      <c r="E4" s="16" t="s">
        <v>313</v>
      </c>
      <c r="F4" s="16" t="s">
        <v>314</v>
      </c>
      <c r="G4" s="16" t="s">
        <v>315</v>
      </c>
      <c r="H4" s="16" t="s">
        <v>316</v>
      </c>
      <c r="I4" s="16" t="s">
        <v>289</v>
      </c>
    </row>
    <row r="5" customFormat="false" ht="15" hidden="false" customHeight="false" outlineLevel="0" collapsed="false">
      <c r="A5" s="6" t="s">
        <v>251</v>
      </c>
      <c r="B5" s="6" t="s">
        <v>252</v>
      </c>
      <c r="C5" s="6" t="s">
        <v>254</v>
      </c>
      <c r="D5" s="35" t="n">
        <f aca="false">'Sim Data'!$E$77</f>
        <v>0</v>
      </c>
      <c r="E5" s="41" t="n">
        <f aca="false">'Sim Data'!$G$77</f>
        <v>0</v>
      </c>
      <c r="F5" s="38" t="n">
        <f aca="false">'Sim Data'!$I$77</f>
        <v>0</v>
      </c>
      <c r="G5" s="33" t="n">
        <f aca="false">D5*E5</f>
        <v>0</v>
      </c>
      <c r="H5" s="34" t="str">
        <f aca="false">IF(MAX(F5,G5)&lt;10,"≈ 0",IF(G5=0,"no new arrivals",F5/G5))</f>
        <v>≈ 0</v>
      </c>
      <c r="I5" s="40" t="str">
        <f aca="false">IF(D5=0,"",IF(ISNUMBER(H5),IF(ABS(H5-1)&lt;=0.15,"Steady: L = λW holds",IF(H5&lt;1,"Filling up: arrivals rising faster than people leave","Emptying: people from earlier slots still inside")),IF(G5=0,"Emptying: no new arrivals","Almost empty")))</f>
        <v/>
      </c>
    </row>
    <row r="6" customFormat="false" ht="15" hidden="false" customHeight="false" outlineLevel="0" collapsed="false">
      <c r="A6" s="6" t="s">
        <v>251</v>
      </c>
      <c r="B6" s="6" t="s">
        <v>252</v>
      </c>
      <c r="C6" s="6" t="s">
        <v>255</v>
      </c>
      <c r="D6" s="35" t="n">
        <f aca="false">'Sim Data'!$E$78</f>
        <v>0</v>
      </c>
      <c r="E6" s="41" t="n">
        <f aca="false">'Sim Data'!$G$78</f>
        <v>0</v>
      </c>
      <c r="F6" s="38" t="n">
        <f aca="false">'Sim Data'!$I$78</f>
        <v>0</v>
      </c>
      <c r="G6" s="33" t="n">
        <f aca="false">D6*E6</f>
        <v>0</v>
      </c>
      <c r="H6" s="34" t="str">
        <f aca="false">IF(MAX(F6,G6)&lt;10,"≈ 0",IF(G6=0,"no new arrivals",F6/G6))</f>
        <v>≈ 0</v>
      </c>
      <c r="I6" s="40" t="str">
        <f aca="false">IF(D6=0,"",IF(ISNUMBER(H6),IF(ABS(H6-1)&lt;=0.15,"Steady: L = λW holds",IF(H6&lt;1,"Filling up: arrivals rising faster than people leave","Emptying: people from earlier slots still inside")),IF(G6=0,"Emptying: no new arrivals","Almost empty")))</f>
        <v/>
      </c>
    </row>
    <row r="7" customFormat="false" ht="15" hidden="false" customHeight="false" outlineLevel="0" collapsed="false">
      <c r="A7" s="6" t="s">
        <v>251</v>
      </c>
      <c r="B7" s="6" t="s">
        <v>252</v>
      </c>
      <c r="C7" s="6" t="s">
        <v>256</v>
      </c>
      <c r="D7" s="35" t="n">
        <f aca="false">'Sim Data'!$E$79</f>
        <v>0</v>
      </c>
      <c r="E7" s="41" t="n">
        <f aca="false">'Sim Data'!$G$79</f>
        <v>0</v>
      </c>
      <c r="F7" s="38" t="n">
        <f aca="false">'Sim Data'!$I$79</f>
        <v>0</v>
      </c>
      <c r="G7" s="33" t="n">
        <f aca="false">D7*E7</f>
        <v>0</v>
      </c>
      <c r="H7" s="34" t="str">
        <f aca="false">IF(MAX(F7,G7)&lt;10,"≈ 0",IF(G7=0,"no new arrivals",F7/G7))</f>
        <v>≈ 0</v>
      </c>
      <c r="I7" s="40" t="str">
        <f aca="false">IF(D7=0,"",IF(ISNUMBER(H7),IF(ABS(H7-1)&lt;=0.15,"Steady: L = λW holds",IF(H7&lt;1,"Filling up: arrivals rising faster than people leave","Emptying: people from earlier slots still inside")),IF(G7=0,"Emptying: no new arrivals","Almost empty")))</f>
        <v/>
      </c>
    </row>
    <row r="8" customFormat="false" ht="15" hidden="false" customHeight="false" outlineLevel="0" collapsed="false">
      <c r="A8" s="6" t="s">
        <v>251</v>
      </c>
      <c r="B8" s="6" t="s">
        <v>252</v>
      </c>
      <c r="C8" s="6" t="s">
        <v>124</v>
      </c>
      <c r="D8" s="35" t="n">
        <f aca="false">'Sim Data'!$E$80</f>
        <v>14.52</v>
      </c>
      <c r="E8" s="41" t="n">
        <f aca="false">'Sim Data'!$G$80</f>
        <v>16.6498</v>
      </c>
      <c r="F8" s="38" t="n">
        <f aca="false">'Sim Data'!$I$80</f>
        <v>66.9728</v>
      </c>
      <c r="G8" s="33" t="n">
        <f aca="false">D8*E8</f>
        <v>241.755096</v>
      </c>
      <c r="H8" s="34" t="n">
        <f aca="false">IF(MAX(F8,G8)&lt;10,"≈ 0",IF(G8=0,"no new arrivals",F8/G8))</f>
        <v>0.277027459226754</v>
      </c>
      <c r="I8" s="40" t="str">
        <f aca="false">IF(D8=0,"",IF(ISNUMBER(H8),IF(ABS(H8-1)&lt;=0.15,"Steady: L = λW holds",IF(H8&lt;1,"Filling up: arrivals rising faster than people leave","Emptying: people from earlier slots still inside")),IF(G8=0,"Emptying: no new arrivals","Almost empty")))</f>
        <v>Filling up: arrivals rising faster than people leave</v>
      </c>
    </row>
    <row r="9" customFormat="false" ht="15" hidden="false" customHeight="false" outlineLevel="0" collapsed="false">
      <c r="A9" s="6" t="s">
        <v>251</v>
      </c>
      <c r="B9" s="6" t="s">
        <v>252</v>
      </c>
      <c r="C9" s="6" t="s">
        <v>257</v>
      </c>
      <c r="D9" s="35" t="n">
        <f aca="false">'Sim Data'!$E$81</f>
        <v>18.77</v>
      </c>
      <c r="E9" s="41" t="n">
        <f aca="false">'Sim Data'!$G$81</f>
        <v>16.8224</v>
      </c>
      <c r="F9" s="38" t="n">
        <f aca="false">'Sim Data'!$I$81</f>
        <v>229.307</v>
      </c>
      <c r="G9" s="33" t="n">
        <f aca="false">D9*E9</f>
        <v>315.756448</v>
      </c>
      <c r="H9" s="34" t="n">
        <f aca="false">IF(MAX(F9,G9)&lt;10,"≈ 0",IF(G9=0,"no new arrivals",F9/G9))</f>
        <v>0.726214781843505</v>
      </c>
      <c r="I9" s="40" t="str">
        <f aca="false">IF(D9=0,"",IF(ISNUMBER(H9),IF(ABS(H9-1)&lt;=0.15,"Steady: L = λW holds",IF(H9&lt;1,"Filling up: arrivals rising faster than people leave","Emptying: people from earlier slots still inside")),IF(G9=0,"Emptying: no new arrivals","Almost empty")))</f>
        <v>Filling up: arrivals rising faster than people leave</v>
      </c>
    </row>
    <row r="10" customFormat="false" ht="15" hidden="false" customHeight="false" outlineLevel="0" collapsed="false">
      <c r="A10" s="6" t="s">
        <v>251</v>
      </c>
      <c r="B10" s="6" t="s">
        <v>252</v>
      </c>
      <c r="C10" s="6" t="s">
        <v>258</v>
      </c>
      <c r="D10" s="35" t="n">
        <f aca="false">'Sim Data'!$E$82</f>
        <v>18.825</v>
      </c>
      <c r="E10" s="41" t="n">
        <f aca="false">'Sim Data'!$G$82</f>
        <v>17.0961</v>
      </c>
      <c r="F10" s="38" t="n">
        <f aca="false">'Sim Data'!$I$82</f>
        <v>310.7177</v>
      </c>
      <c r="G10" s="33" t="n">
        <f aca="false">D10*E10</f>
        <v>321.8340825</v>
      </c>
      <c r="H10" s="34" t="n">
        <f aca="false">IF(MAX(F10,G10)&lt;10,"≈ 0",IF(G10=0,"no new arrivals",F10/G10))</f>
        <v>0.965459275121988</v>
      </c>
      <c r="I10" s="40" t="str">
        <f aca="false">IF(D10=0,"",IF(ISNUMBER(H10),IF(ABS(H10-1)&lt;=0.15,"Steady: L = λW holds",IF(H10&lt;1,"Filling up: arrivals rising faster than people leave","Emptying: people from earlier slots still inside")),IF(G10=0,"Emptying: no new arrivals","Almost empty")))</f>
        <v>Steady: L = λW holds</v>
      </c>
    </row>
    <row r="11" customFormat="false" ht="15" hidden="false" customHeight="false" outlineLevel="0" collapsed="false">
      <c r="A11" s="6" t="s">
        <v>251</v>
      </c>
      <c r="B11" s="6" t="s">
        <v>252</v>
      </c>
      <c r="C11" s="6" t="s">
        <v>133</v>
      </c>
      <c r="D11" s="35" t="n">
        <f aca="false">'Sim Data'!$E$83</f>
        <v>22.915</v>
      </c>
      <c r="E11" s="41" t="n">
        <f aca="false">'Sim Data'!$G$83</f>
        <v>17.8616</v>
      </c>
      <c r="F11" s="38" t="n">
        <f aca="false">'Sim Data'!$I$83</f>
        <v>342.6831</v>
      </c>
      <c r="G11" s="33" t="n">
        <f aca="false">D11*E11</f>
        <v>409.298564</v>
      </c>
      <c r="H11" s="34" t="n">
        <f aca="false">IF(MAX(F11,G11)&lt;10,"≈ 0",IF(G11=0,"no new arrivals",F11/G11))</f>
        <v>0.837244813788304</v>
      </c>
      <c r="I11" s="40" t="str">
        <f aca="false">IF(D11=0,"",IF(ISNUMBER(H11),IF(ABS(H11-1)&lt;=0.15,"Steady: L = λW holds",IF(H11&lt;1,"Filling up: arrivals rising faster than people leave","Emptying: people from earlier slots still inside")),IF(G11=0,"Emptying: no new arrivals","Almost empty")))</f>
        <v>Filling up: arrivals rising faster than people leave</v>
      </c>
    </row>
    <row r="12" customFormat="false" ht="15" hidden="false" customHeight="false" outlineLevel="0" collapsed="false">
      <c r="A12" s="6" t="s">
        <v>251</v>
      </c>
      <c r="B12" s="6" t="s">
        <v>252</v>
      </c>
      <c r="C12" s="6" t="s">
        <v>137</v>
      </c>
      <c r="D12" s="35" t="n">
        <f aca="false">'Sim Data'!$E$84</f>
        <v>20.35</v>
      </c>
      <c r="E12" s="41" t="n">
        <f aca="false">'Sim Data'!$G$84</f>
        <v>19.1944</v>
      </c>
      <c r="F12" s="38" t="n">
        <f aca="false">'Sim Data'!$I$84</f>
        <v>370.4978</v>
      </c>
      <c r="G12" s="33" t="n">
        <f aca="false">D12*E12</f>
        <v>390.60604</v>
      </c>
      <c r="H12" s="34" t="n">
        <f aca="false">IF(MAX(F12,G12)&lt;10,"≈ 0",IF(G12=0,"no new arrivals",F12/G12))</f>
        <v>0.948520406904102</v>
      </c>
      <c r="I12" s="40" t="str">
        <f aca="false">IF(D12=0,"",IF(ISNUMBER(H12),IF(ABS(H12-1)&lt;=0.15,"Steady: L = λW holds",IF(H12&lt;1,"Filling up: arrivals rising faster than people leave","Emptying: people from earlier slots still inside")),IF(G12=0,"Emptying: no new arrivals","Almost empty")))</f>
        <v>Steady: L = λW holds</v>
      </c>
    </row>
    <row r="13" customFormat="false" ht="15" hidden="false" customHeight="false" outlineLevel="0" collapsed="false">
      <c r="A13" s="6" t="s">
        <v>251</v>
      </c>
      <c r="B13" s="6" t="s">
        <v>252</v>
      </c>
      <c r="C13" s="6" t="s">
        <v>140</v>
      </c>
      <c r="D13" s="35" t="n">
        <f aca="false">'Sim Data'!$E$85</f>
        <v>16.86</v>
      </c>
      <c r="E13" s="41" t="n">
        <f aca="false">'Sim Data'!$G$85</f>
        <v>19.9757</v>
      </c>
      <c r="F13" s="38" t="n">
        <f aca="false">'Sim Data'!$I$85</f>
        <v>360.5723</v>
      </c>
      <c r="G13" s="33" t="n">
        <f aca="false">D13*E13</f>
        <v>336.790302</v>
      </c>
      <c r="H13" s="34" t="n">
        <f aca="false">IF(MAX(F13,G13)&lt;10,"≈ 0",IF(G13=0,"no new arrivals",F13/G13))</f>
        <v>1.07061366630444</v>
      </c>
      <c r="I13" s="40" t="str">
        <f aca="false">IF(D13=0,"",IF(ISNUMBER(H13),IF(ABS(H13-1)&lt;=0.15,"Steady: L = λW holds",IF(H13&lt;1,"Filling up: arrivals rising faster than people leave","Emptying: people from earlier slots still inside")),IF(G13=0,"Emptying: no new arrivals","Almost empty")))</f>
        <v>Steady: L = λW holds</v>
      </c>
    </row>
    <row r="14" customFormat="false" ht="15" hidden="false" customHeight="false" outlineLevel="0" collapsed="false">
      <c r="A14" s="6" t="s">
        <v>251</v>
      </c>
      <c r="B14" s="6" t="s">
        <v>252</v>
      </c>
      <c r="C14" s="6" t="s">
        <v>125</v>
      </c>
      <c r="D14" s="35" t="n">
        <f aca="false">'Sim Data'!$E$86</f>
        <v>22.705</v>
      </c>
      <c r="E14" s="41" t="n">
        <f aca="false">'Sim Data'!$G$86</f>
        <v>19.3955</v>
      </c>
      <c r="F14" s="38" t="n">
        <f aca="false">'Sim Data'!$I$86</f>
        <v>348.6868</v>
      </c>
      <c r="G14" s="33" t="n">
        <f aca="false">D14*E14</f>
        <v>440.3748275</v>
      </c>
      <c r="H14" s="34" t="n">
        <f aca="false">IF(MAX(F14,G14)&lt;10,"≈ 0",IF(G14=0,"no new arrivals",F14/G14))</f>
        <v>0.791795484722614</v>
      </c>
      <c r="I14" s="40" t="str">
        <f aca="false">IF(D14=0,"",IF(ISNUMBER(H14),IF(ABS(H14-1)&lt;=0.15,"Steady: L = λW holds",IF(H14&lt;1,"Filling up: arrivals rising faster than people leave","Emptying: people from earlier slots still inside")),IF(G14=0,"Emptying: no new arrivals","Almost empty")))</f>
        <v>Filling up: arrivals rising faster than people leave</v>
      </c>
    </row>
    <row r="15" customFormat="false" ht="15" hidden="false" customHeight="false" outlineLevel="0" collapsed="false">
      <c r="A15" s="6" t="s">
        <v>251</v>
      </c>
      <c r="B15" s="6" t="s">
        <v>252</v>
      </c>
      <c r="C15" s="6" t="s">
        <v>259</v>
      </c>
      <c r="D15" s="35" t="n">
        <f aca="false">'Sim Data'!$E$87</f>
        <v>29.56</v>
      </c>
      <c r="E15" s="41" t="n">
        <f aca="false">'Sim Data'!$G$87</f>
        <v>23.0899</v>
      </c>
      <c r="F15" s="38" t="n">
        <f aca="false">'Sim Data'!$I$87</f>
        <v>456.2344</v>
      </c>
      <c r="G15" s="33" t="n">
        <f aca="false">D15*E15</f>
        <v>682.537444</v>
      </c>
      <c r="H15" s="34" t="n">
        <f aca="false">IF(MAX(F15,G15)&lt;10,"≈ 0",IF(G15=0,"no new arrivals",F15/G15))</f>
        <v>0.668438638803822</v>
      </c>
      <c r="I15" s="40" t="str">
        <f aca="false">IF(D15=0,"",IF(ISNUMBER(H15),IF(ABS(H15-1)&lt;=0.15,"Steady: L = λW holds",IF(H15&lt;1,"Filling up: arrivals rising faster than people leave","Emptying: people from earlier slots still inside")),IF(G15=0,"Emptying: no new arrivals","Almost empty")))</f>
        <v>Filling up: arrivals rising faster than people leave</v>
      </c>
    </row>
    <row r="16" customFormat="false" ht="15" hidden="false" customHeight="false" outlineLevel="0" collapsed="false">
      <c r="A16" s="6" t="s">
        <v>251</v>
      </c>
      <c r="B16" s="6" t="s">
        <v>252</v>
      </c>
      <c r="C16" s="6" t="s">
        <v>260</v>
      </c>
      <c r="D16" s="35" t="n">
        <f aca="false">'Sim Data'!$E$88</f>
        <v>28.33</v>
      </c>
      <c r="E16" s="41" t="n">
        <f aca="false">'Sim Data'!$G$88</f>
        <v>27.7393</v>
      </c>
      <c r="F16" s="38" t="n">
        <f aca="false">'Sim Data'!$I$88</f>
        <v>554.109</v>
      </c>
      <c r="G16" s="33" t="n">
        <f aca="false">D16*E16</f>
        <v>785.854369</v>
      </c>
      <c r="H16" s="34" t="n">
        <f aca="false">IF(MAX(F16,G16)&lt;10,"≈ 0",IF(G16=0,"no new arrivals",F16/G16))</f>
        <v>0.705103924923271</v>
      </c>
      <c r="I16" s="40" t="str">
        <f aca="false">IF(D16=0,"",IF(ISNUMBER(H16),IF(ABS(H16-1)&lt;=0.15,"Steady: L = λW holds",IF(H16&lt;1,"Filling up: arrivals rising faster than people leave","Emptying: people from earlier slots still inside")),IF(G16=0,"Emptying: no new arrivals","Almost empty")))</f>
        <v>Filling up: arrivals rising faster than people leave</v>
      </c>
    </row>
    <row r="17" customFormat="false" ht="15" hidden="false" customHeight="false" outlineLevel="0" collapsed="false">
      <c r="A17" s="6" t="s">
        <v>251</v>
      </c>
      <c r="B17" s="6" t="s">
        <v>252</v>
      </c>
      <c r="C17" s="6" t="s">
        <v>134</v>
      </c>
      <c r="D17" s="35" t="n">
        <f aca="false">'Sim Data'!$E$89</f>
        <v>21.35</v>
      </c>
      <c r="E17" s="41" t="n">
        <f aca="false">'Sim Data'!$G$89</f>
        <v>30.6935</v>
      </c>
      <c r="F17" s="38" t="n">
        <f aca="false">'Sim Data'!$I$89</f>
        <v>603.128</v>
      </c>
      <c r="G17" s="33" t="n">
        <f aca="false">D17*E17</f>
        <v>655.306225</v>
      </c>
      <c r="H17" s="34" t="n">
        <f aca="false">IF(MAX(F17,G17)&lt;10,"≈ 0",IF(G17=0,"no new arrivals",F17/G17))</f>
        <v>0.920375813612941</v>
      </c>
      <c r="I17" s="40" t="str">
        <f aca="false">IF(D17=0,"",IF(ISNUMBER(H17),IF(ABS(H17-1)&lt;=0.15,"Steady: L = λW holds",IF(H17&lt;1,"Filling up: arrivals rising faster than people leave","Emptying: people from earlier slots still inside")),IF(G17=0,"Emptying: no new arrivals","Almost empty")))</f>
        <v>Steady: L = λW holds</v>
      </c>
    </row>
    <row r="18" customFormat="false" ht="15" hidden="false" customHeight="false" outlineLevel="0" collapsed="false">
      <c r="A18" s="6" t="s">
        <v>251</v>
      </c>
      <c r="B18" s="6" t="s">
        <v>252</v>
      </c>
      <c r="C18" s="6" t="s">
        <v>138</v>
      </c>
      <c r="D18" s="35" t="n">
        <f aca="false">'Sim Data'!$E$90</f>
        <v>14.575</v>
      </c>
      <c r="E18" s="41" t="n">
        <f aca="false">'Sim Data'!$G$90</f>
        <v>30.0295</v>
      </c>
      <c r="F18" s="38" t="n">
        <f aca="false">'Sim Data'!$I$90</f>
        <v>585.0015</v>
      </c>
      <c r="G18" s="33" t="n">
        <f aca="false">D18*E18</f>
        <v>437.6799625</v>
      </c>
      <c r="H18" s="34" t="n">
        <f aca="false">IF(MAX(F18,G18)&lt;10,"≈ 0",IF(G18=0,"no new arrivals",F18/G18))</f>
        <v>1.33659648629677</v>
      </c>
      <c r="I18" s="40" t="str">
        <f aca="false">IF(D18=0,"",IF(ISNUMBER(H18),IF(ABS(H18-1)&lt;=0.15,"Steady: L = λW holds",IF(H18&lt;1,"Filling up: arrivals rising faster than people leave","Emptying: people from earlier slots still inside")),IF(G18=0,"Emptying: no new arrivals","Almost empty")))</f>
        <v>Emptying: people from earlier slots still inside</v>
      </c>
    </row>
    <row r="19" customFormat="false" ht="15" hidden="false" customHeight="false" outlineLevel="0" collapsed="false">
      <c r="A19" s="6" t="s">
        <v>251</v>
      </c>
      <c r="B19" s="6" t="s">
        <v>252</v>
      </c>
      <c r="C19" s="6" t="s">
        <v>141</v>
      </c>
      <c r="D19" s="35" t="n">
        <f aca="false">'Sim Data'!$E$91</f>
        <v>7.17</v>
      </c>
      <c r="E19" s="41" t="n">
        <f aca="false">'Sim Data'!$G$91</f>
        <v>25.7117</v>
      </c>
      <c r="F19" s="38" t="n">
        <f aca="false">'Sim Data'!$I$91</f>
        <v>496.4152</v>
      </c>
      <c r="G19" s="33" t="n">
        <f aca="false">D19*E19</f>
        <v>184.352889</v>
      </c>
      <c r="H19" s="34" t="n">
        <f aca="false">IF(MAX(F19,G19)&lt;10,"≈ 0",IF(G19=0,"no new arrivals",F19/G19))</f>
        <v>2.69274434858463</v>
      </c>
      <c r="I19" s="40" t="str">
        <f aca="false">IF(D19=0,"",IF(ISNUMBER(H19),IF(ABS(H19-1)&lt;=0.15,"Steady: L = λW holds",IF(H19&lt;1,"Filling up: arrivals rising faster than people leave","Emptying: people from earlier slots still inside")),IF(G19=0,"Emptying: no new arrivals","Almost empty")))</f>
        <v>Emptying: people from earlier slots still inside</v>
      </c>
    </row>
    <row r="20" customFormat="false" ht="15" hidden="false" customHeight="false" outlineLevel="0" collapsed="false">
      <c r="A20" s="6" t="s">
        <v>251</v>
      </c>
      <c r="B20" s="6" t="s">
        <v>252</v>
      </c>
      <c r="C20" s="6" t="s">
        <v>128</v>
      </c>
      <c r="D20" s="35" t="n">
        <f aca="false">'Sim Data'!$E$92</f>
        <v>0</v>
      </c>
      <c r="E20" s="41" t="n">
        <f aca="false">'Sim Data'!$G$92</f>
        <v>0</v>
      </c>
      <c r="F20" s="38" t="n">
        <f aca="false">'Sim Data'!$I$92</f>
        <v>333.0092</v>
      </c>
      <c r="G20" s="33" t="n">
        <f aca="false">D20*E20</f>
        <v>0</v>
      </c>
      <c r="H20" s="34" t="str">
        <f aca="false">IF(MAX(F20,G20)&lt;10,"≈ 0",IF(G20=0,"no new arrivals",F20/G20))</f>
        <v>no new arrivals</v>
      </c>
      <c r="I20" s="40" t="str">
        <f aca="false">IF(D20=0,"",IF(ISNUMBER(H20),IF(ABS(H20-1)&lt;=0.15,"Steady: L = λW holds",IF(H20&lt;1,"Filling up: arrivals rising faster than people leave","Emptying: people from earlier slots still inside")),IF(G20=0,"Emptying: no new arrivals","Almost empty")))</f>
        <v/>
      </c>
    </row>
    <row r="21" customFormat="false" ht="15" hidden="false" customHeight="false" outlineLevel="0" collapsed="false">
      <c r="A21" s="6" t="s">
        <v>251</v>
      </c>
      <c r="B21" s="6" t="s">
        <v>252</v>
      </c>
      <c r="C21" s="6" t="s">
        <v>261</v>
      </c>
      <c r="D21" s="35" t="n">
        <f aca="false">'Sim Data'!$E$93</f>
        <v>0</v>
      </c>
      <c r="E21" s="41" t="n">
        <f aca="false">'Sim Data'!$G$93</f>
        <v>0</v>
      </c>
      <c r="F21" s="38" t="n">
        <f aca="false">'Sim Data'!$I$93</f>
        <v>136.0737</v>
      </c>
      <c r="G21" s="33" t="n">
        <f aca="false">D21*E21</f>
        <v>0</v>
      </c>
      <c r="H21" s="34" t="str">
        <f aca="false">IF(MAX(F21,G21)&lt;10,"≈ 0",IF(G21=0,"no new arrivals",F21/G21))</f>
        <v>no new arrivals</v>
      </c>
      <c r="I21" s="40" t="str">
        <f aca="false">IF(D21=0,"",IF(ISNUMBER(H21),IF(ABS(H21-1)&lt;=0.15,"Steady: L = λW holds",IF(H21&lt;1,"Filling up: arrivals rising faster than people leave","Emptying: people from earlier slots still inside")),IF(G21=0,"Emptying: no new arrivals","Almost empty")))</f>
        <v/>
      </c>
    </row>
    <row r="22" customFormat="false" ht="15" hidden="false" customHeight="false" outlineLevel="0" collapsed="false">
      <c r="A22" s="6" t="s">
        <v>251</v>
      </c>
      <c r="B22" s="6" t="s">
        <v>252</v>
      </c>
      <c r="C22" s="6" t="s">
        <v>262</v>
      </c>
      <c r="D22" s="35" t="n">
        <f aca="false">'Sim Data'!$E$94</f>
        <v>0</v>
      </c>
      <c r="E22" s="41" t="n">
        <f aca="false">'Sim Data'!$G$94</f>
        <v>0</v>
      </c>
      <c r="F22" s="38" t="n">
        <f aca="false">'Sim Data'!$I$94</f>
        <v>8.7314</v>
      </c>
      <c r="G22" s="33" t="n">
        <f aca="false">D22*E22</f>
        <v>0</v>
      </c>
      <c r="H22" s="34" t="str">
        <f aca="false">IF(MAX(F22,G22)&lt;10,"≈ 0",IF(G22=0,"no new arrivals",F22/G22))</f>
        <v>≈ 0</v>
      </c>
      <c r="I22" s="40" t="str">
        <f aca="false">IF(D22=0,"",IF(ISNUMBER(H22),IF(ABS(H22-1)&lt;=0.15,"Steady: L = λW holds",IF(H22&lt;1,"Filling up: arrivals rising faster than people leave","Emptying: people from earlier slots still inside")),IF(G22=0,"Emptying: no new arrivals","Almost empty")))</f>
        <v/>
      </c>
    </row>
    <row r="23" customFormat="false" ht="15" hidden="false" customHeight="false" outlineLevel="0" collapsed="false">
      <c r="A23" s="6" t="s">
        <v>251</v>
      </c>
      <c r="B23" s="6" t="s">
        <v>266</v>
      </c>
      <c r="C23" s="6" t="s">
        <v>254</v>
      </c>
      <c r="D23" s="35" t="n">
        <f aca="false">'Sim Data'!$E$167</f>
        <v>0</v>
      </c>
      <c r="E23" s="41" t="n">
        <f aca="false">'Sim Data'!$G$167</f>
        <v>0</v>
      </c>
      <c r="F23" s="38" t="n">
        <f aca="false">'Sim Data'!$I$167</f>
        <v>0</v>
      </c>
      <c r="G23" s="33" t="n">
        <f aca="false">D23*E23</f>
        <v>0</v>
      </c>
      <c r="H23" s="34" t="str">
        <f aca="false">IF(MAX(F23,G23)&lt;10,"≈ 0",IF(G23=0,"no new arrivals",F23/G23))</f>
        <v>≈ 0</v>
      </c>
      <c r="I23" s="40" t="str">
        <f aca="false">IF(D23=0,"",IF(ISNUMBER(H23),IF(ABS(H23-1)&lt;=0.15,"Steady: L = λW holds",IF(H23&lt;1,"Filling up: arrivals rising faster than people leave","Emptying: people from earlier slots still inside")),IF(G23=0,"Emptying: no new arrivals","Almost empty")))</f>
        <v/>
      </c>
    </row>
    <row r="24" customFormat="false" ht="15" hidden="false" customHeight="false" outlineLevel="0" collapsed="false">
      <c r="A24" s="6" t="s">
        <v>251</v>
      </c>
      <c r="B24" s="6" t="s">
        <v>266</v>
      </c>
      <c r="C24" s="6" t="s">
        <v>255</v>
      </c>
      <c r="D24" s="35" t="n">
        <f aca="false">'Sim Data'!$E$168</f>
        <v>0</v>
      </c>
      <c r="E24" s="41" t="n">
        <f aca="false">'Sim Data'!$G$168</f>
        <v>0</v>
      </c>
      <c r="F24" s="38" t="n">
        <f aca="false">'Sim Data'!$I$168</f>
        <v>0</v>
      </c>
      <c r="G24" s="33" t="n">
        <f aca="false">D24*E24</f>
        <v>0</v>
      </c>
      <c r="H24" s="34" t="str">
        <f aca="false">IF(MAX(F24,G24)&lt;10,"≈ 0",IF(G24=0,"no new arrivals",F24/G24))</f>
        <v>≈ 0</v>
      </c>
      <c r="I24" s="40" t="str">
        <f aca="false">IF(D24=0,"",IF(ISNUMBER(H24),IF(ABS(H24-1)&lt;=0.15,"Steady: L = λW holds",IF(H24&lt;1,"Filling up: arrivals rising faster than people leave","Emptying: people from earlier slots still inside")),IF(G24=0,"Emptying: no new arrivals","Almost empty")))</f>
        <v/>
      </c>
    </row>
    <row r="25" customFormat="false" ht="15" hidden="false" customHeight="false" outlineLevel="0" collapsed="false">
      <c r="A25" s="6" t="s">
        <v>251</v>
      </c>
      <c r="B25" s="6" t="s">
        <v>266</v>
      </c>
      <c r="C25" s="6" t="s">
        <v>256</v>
      </c>
      <c r="D25" s="35" t="n">
        <f aca="false">'Sim Data'!$E$169</f>
        <v>0</v>
      </c>
      <c r="E25" s="41" t="n">
        <f aca="false">'Sim Data'!$G$169</f>
        <v>0</v>
      </c>
      <c r="F25" s="38" t="n">
        <f aca="false">'Sim Data'!$I$169</f>
        <v>0</v>
      </c>
      <c r="G25" s="33" t="n">
        <f aca="false">D25*E25</f>
        <v>0</v>
      </c>
      <c r="H25" s="34" t="str">
        <f aca="false">IF(MAX(F25,G25)&lt;10,"≈ 0",IF(G25=0,"no new arrivals",F25/G25))</f>
        <v>≈ 0</v>
      </c>
      <c r="I25" s="40" t="str">
        <f aca="false">IF(D25=0,"",IF(ISNUMBER(H25),IF(ABS(H25-1)&lt;=0.15,"Steady: L = λW holds",IF(H25&lt;1,"Filling up: arrivals rising faster than people leave","Emptying: people from earlier slots still inside")),IF(G25=0,"Emptying: no new arrivals","Almost empty")))</f>
        <v/>
      </c>
    </row>
    <row r="26" customFormat="false" ht="15" hidden="false" customHeight="false" outlineLevel="0" collapsed="false">
      <c r="A26" s="6" t="s">
        <v>251</v>
      </c>
      <c r="B26" s="6" t="s">
        <v>266</v>
      </c>
      <c r="C26" s="6" t="s">
        <v>124</v>
      </c>
      <c r="D26" s="35" t="n">
        <f aca="false">'Sim Data'!$E$170</f>
        <v>3.88</v>
      </c>
      <c r="E26" s="41" t="n">
        <f aca="false">'Sim Data'!$G$170</f>
        <v>16.5294</v>
      </c>
      <c r="F26" s="38" t="n">
        <f aca="false">'Sim Data'!$I$170</f>
        <v>18.9765</v>
      </c>
      <c r="G26" s="33" t="n">
        <f aca="false">D26*E26</f>
        <v>64.134072</v>
      </c>
      <c r="H26" s="34" t="n">
        <f aca="false">IF(MAX(F26,G26)&lt;10,"≈ 0",IF(G26=0,"no new arrivals",F26/G26))</f>
        <v>0.295887964200995</v>
      </c>
      <c r="I26" s="40" t="str">
        <f aca="false">IF(D26=0,"",IF(ISNUMBER(H26),IF(ABS(H26-1)&lt;=0.15,"Steady: L = λW holds",IF(H26&lt;1,"Filling up: arrivals rising faster than people leave","Emptying: people from earlier slots still inside")),IF(G26=0,"Emptying: no new arrivals","Almost empty")))</f>
        <v>Filling up: arrivals rising faster than people leave</v>
      </c>
    </row>
    <row r="27" customFormat="false" ht="15" hidden="false" customHeight="false" outlineLevel="0" collapsed="false">
      <c r="A27" s="6" t="s">
        <v>251</v>
      </c>
      <c r="B27" s="6" t="s">
        <v>266</v>
      </c>
      <c r="C27" s="6" t="s">
        <v>257</v>
      </c>
      <c r="D27" s="35" t="n">
        <f aca="false">'Sim Data'!$E$171</f>
        <v>4.64</v>
      </c>
      <c r="E27" s="41" t="n">
        <f aca="false">'Sim Data'!$G$171</f>
        <v>16.5845</v>
      </c>
      <c r="F27" s="38" t="n">
        <f aca="false">'Sim Data'!$I$171</f>
        <v>59.7213</v>
      </c>
      <c r="G27" s="33" t="n">
        <f aca="false">D27*E27</f>
        <v>76.95208</v>
      </c>
      <c r="H27" s="34" t="n">
        <f aca="false">IF(MAX(F27,G27)&lt;10,"≈ 0",IF(G27=0,"no new arrivals",F27/G27))</f>
        <v>0.776084285181116</v>
      </c>
      <c r="I27" s="40" t="str">
        <f aca="false">IF(D27=0,"",IF(ISNUMBER(H27),IF(ABS(H27-1)&lt;=0.15,"Steady: L = λW holds",IF(H27&lt;1,"Filling up: arrivals rising faster than people leave","Emptying: people from earlier slots still inside")),IF(G27=0,"Emptying: no new arrivals","Almost empty")))</f>
        <v>Filling up: arrivals rising faster than people leave</v>
      </c>
    </row>
    <row r="28" customFormat="false" ht="15" hidden="false" customHeight="false" outlineLevel="0" collapsed="false">
      <c r="A28" s="6" t="s">
        <v>251</v>
      </c>
      <c r="B28" s="6" t="s">
        <v>266</v>
      </c>
      <c r="C28" s="6" t="s">
        <v>258</v>
      </c>
      <c r="D28" s="35" t="n">
        <f aca="false">'Sim Data'!$E$172</f>
        <v>4.78</v>
      </c>
      <c r="E28" s="41" t="n">
        <f aca="false">'Sim Data'!$G$172</f>
        <v>16.5859</v>
      </c>
      <c r="F28" s="38" t="n">
        <f aca="false">'Sim Data'!$I$172</f>
        <v>76.5079</v>
      </c>
      <c r="G28" s="33" t="n">
        <f aca="false">D28*E28</f>
        <v>79.280602</v>
      </c>
      <c r="H28" s="34" t="n">
        <f aca="false">IF(MAX(F28,G28)&lt;10,"≈ 0",IF(G28=0,"no new arrivals",F28/G28))</f>
        <v>0.965026728732458</v>
      </c>
      <c r="I28" s="40" t="str">
        <f aca="false">IF(D28=0,"",IF(ISNUMBER(H28),IF(ABS(H28-1)&lt;=0.15,"Steady: L = λW holds",IF(H28&lt;1,"Filling up: arrivals rising faster than people leave","Emptying: people from earlier slots still inside")),IF(G28=0,"Emptying: no new arrivals","Almost empty")))</f>
        <v>Steady: L = λW holds</v>
      </c>
    </row>
    <row r="29" customFormat="false" ht="15" hidden="false" customHeight="false" outlineLevel="0" collapsed="false">
      <c r="A29" s="6" t="s">
        <v>251</v>
      </c>
      <c r="B29" s="6" t="s">
        <v>266</v>
      </c>
      <c r="C29" s="6" t="s">
        <v>133</v>
      </c>
      <c r="D29" s="35" t="n">
        <f aca="false">'Sim Data'!$E$173</f>
        <v>5.73</v>
      </c>
      <c r="E29" s="41" t="n">
        <f aca="false">'Sim Data'!$G$173</f>
        <v>16.5938</v>
      </c>
      <c r="F29" s="38" t="n">
        <f aca="false">'Sim Data'!$I$173</f>
        <v>83.8564</v>
      </c>
      <c r="G29" s="33" t="n">
        <f aca="false">D29*E29</f>
        <v>95.082474</v>
      </c>
      <c r="H29" s="34" t="n">
        <f aca="false">IF(MAX(F29,G29)&lt;10,"≈ 0",IF(G29=0,"no new arrivals",F29/G29))</f>
        <v>0.881933299295515</v>
      </c>
      <c r="I29" s="40" t="str">
        <f aca="false">IF(D29=0,"",IF(ISNUMBER(H29),IF(ABS(H29-1)&lt;=0.15,"Steady: L = λW holds",IF(H29&lt;1,"Filling up: arrivals rising faster than people leave","Emptying: people from earlier slots still inside")),IF(G29=0,"Emptying: no new arrivals","Almost empty")))</f>
        <v>Steady: L = λW holds</v>
      </c>
    </row>
    <row r="30" customFormat="false" ht="15" hidden="false" customHeight="false" outlineLevel="0" collapsed="false">
      <c r="A30" s="6" t="s">
        <v>251</v>
      </c>
      <c r="B30" s="6" t="s">
        <v>266</v>
      </c>
      <c r="C30" s="6" t="s">
        <v>137</v>
      </c>
      <c r="D30" s="35" t="n">
        <f aca="false">'Sim Data'!$E$174</f>
        <v>5.36</v>
      </c>
      <c r="E30" s="41" t="n">
        <f aca="false">'Sim Data'!$G$174</f>
        <v>16.6088</v>
      </c>
      <c r="F30" s="38" t="n">
        <f aca="false">'Sim Data'!$I$174</f>
        <v>90.8448</v>
      </c>
      <c r="G30" s="33" t="n">
        <f aca="false">D30*E30</f>
        <v>89.023168</v>
      </c>
      <c r="H30" s="34" t="n">
        <f aca="false">IF(MAX(F30,G30)&lt;10,"≈ 0",IF(G30=0,"no new arrivals",F30/G30))</f>
        <v>1.02046244860664</v>
      </c>
      <c r="I30" s="40" t="str">
        <f aca="false">IF(D30=0,"",IF(ISNUMBER(H30),IF(ABS(H30-1)&lt;=0.15,"Steady: L = λW holds",IF(H30&lt;1,"Filling up: arrivals rising faster than people leave","Emptying: people from earlier slots still inside")),IF(G30=0,"Emptying: no new arrivals","Almost empty")))</f>
        <v>Steady: L = λW holds</v>
      </c>
    </row>
    <row r="31" customFormat="false" ht="15" hidden="false" customHeight="false" outlineLevel="0" collapsed="false">
      <c r="A31" s="6" t="s">
        <v>251</v>
      </c>
      <c r="B31" s="6" t="s">
        <v>266</v>
      </c>
      <c r="C31" s="6" t="s">
        <v>140</v>
      </c>
      <c r="D31" s="35" t="n">
        <f aca="false">'Sim Data'!$E$175</f>
        <v>4.375</v>
      </c>
      <c r="E31" s="41" t="n">
        <f aca="false">'Sim Data'!$G$175</f>
        <v>16.6053</v>
      </c>
      <c r="F31" s="38" t="n">
        <f aca="false">'Sim Data'!$I$175</f>
        <v>84.7293</v>
      </c>
      <c r="G31" s="33" t="n">
        <f aca="false">D31*E31</f>
        <v>72.6481875</v>
      </c>
      <c r="H31" s="34" t="n">
        <f aca="false">IF(MAX(F31,G31)&lt;10,"≈ 0",IF(G31=0,"no new arrivals",F31/G31))</f>
        <v>1.1662961309255</v>
      </c>
      <c r="I31" s="40" t="str">
        <f aca="false">IF(D31=0,"",IF(ISNUMBER(H31),IF(ABS(H31-1)&lt;=0.15,"Steady: L = λW holds",IF(H31&lt;1,"Filling up: arrivals rising faster than people leave","Emptying: people from earlier slots still inside")),IF(G31=0,"Emptying: no new arrivals","Almost empty")))</f>
        <v>Emptying: people from earlier slots still inside</v>
      </c>
    </row>
    <row r="32" customFormat="false" ht="15" hidden="false" customHeight="false" outlineLevel="0" collapsed="false">
      <c r="A32" s="6" t="s">
        <v>251</v>
      </c>
      <c r="B32" s="6" t="s">
        <v>266</v>
      </c>
      <c r="C32" s="6" t="s">
        <v>125</v>
      </c>
      <c r="D32" s="35" t="n">
        <f aca="false">'Sim Data'!$E$176</f>
        <v>5.67</v>
      </c>
      <c r="E32" s="41" t="n">
        <f aca="false">'Sim Data'!$G$176</f>
        <v>16.5894</v>
      </c>
      <c r="F32" s="38" t="n">
        <f aca="false">'Sim Data'!$I$176</f>
        <v>77.5733</v>
      </c>
      <c r="G32" s="33" t="n">
        <f aca="false">D32*E32</f>
        <v>94.061898</v>
      </c>
      <c r="H32" s="34" t="n">
        <f aca="false">IF(MAX(F32,G32)&lt;10,"≈ 0",IF(G32=0,"no new arrivals",F32/G32))</f>
        <v>0.824704812994524</v>
      </c>
      <c r="I32" s="40" t="str">
        <f aca="false">IF(D32=0,"",IF(ISNUMBER(H32),IF(ABS(H32-1)&lt;=0.15,"Steady: L = λW holds",IF(H32&lt;1,"Filling up: arrivals rising faster than people leave","Emptying: people from earlier slots still inside")),IF(G32=0,"Emptying: no new arrivals","Almost empty")))</f>
        <v>Filling up: arrivals rising faster than people leave</v>
      </c>
    </row>
    <row r="33" customFormat="false" ht="15" hidden="false" customHeight="false" outlineLevel="0" collapsed="false">
      <c r="A33" s="6" t="s">
        <v>251</v>
      </c>
      <c r="B33" s="6" t="s">
        <v>266</v>
      </c>
      <c r="C33" s="6" t="s">
        <v>259</v>
      </c>
      <c r="D33" s="35" t="n">
        <f aca="false">'Sim Data'!$E$177</f>
        <v>7.435</v>
      </c>
      <c r="E33" s="41" t="n">
        <f aca="false">'Sim Data'!$G$177</f>
        <v>16.5723</v>
      </c>
      <c r="F33" s="38" t="n">
        <f aca="false">'Sim Data'!$I$177</f>
        <v>100.2595</v>
      </c>
      <c r="G33" s="33" t="n">
        <f aca="false">D33*E33</f>
        <v>123.2150505</v>
      </c>
      <c r="H33" s="34" t="n">
        <f aca="false">IF(MAX(F33,G33)&lt;10,"≈ 0",IF(G33=0,"no new arrivals",F33/G33))</f>
        <v>0.813695239284101</v>
      </c>
      <c r="I33" s="40" t="str">
        <f aca="false">IF(D33=0,"",IF(ISNUMBER(H33),IF(ABS(H33-1)&lt;=0.15,"Steady: L = λW holds",IF(H33&lt;1,"Filling up: arrivals rising faster than people leave","Emptying: people from earlier slots still inside")),IF(G33=0,"Emptying: no new arrivals","Almost empty")))</f>
        <v>Filling up: arrivals rising faster than people leave</v>
      </c>
    </row>
    <row r="34" customFormat="false" ht="15" hidden="false" customHeight="false" outlineLevel="0" collapsed="false">
      <c r="A34" s="6" t="s">
        <v>251</v>
      </c>
      <c r="B34" s="6" t="s">
        <v>266</v>
      </c>
      <c r="C34" s="6" t="s">
        <v>260</v>
      </c>
      <c r="D34" s="35" t="n">
        <f aca="false">'Sim Data'!$E$178</f>
        <v>7.35</v>
      </c>
      <c r="E34" s="41" t="n">
        <f aca="false">'Sim Data'!$G$178</f>
        <v>16.5245</v>
      </c>
      <c r="F34" s="38" t="n">
        <f aca="false">'Sim Data'!$I$178</f>
        <v>123.1034</v>
      </c>
      <c r="G34" s="33" t="n">
        <f aca="false">D34*E34</f>
        <v>121.455075</v>
      </c>
      <c r="H34" s="34" t="n">
        <f aca="false">IF(MAX(F34,G34)&lt;10,"≈ 0",IF(G34=0,"no new arrivals",F34/G34))</f>
        <v>1.0135714790016</v>
      </c>
      <c r="I34" s="40" t="str">
        <f aca="false">IF(D34=0,"",IF(ISNUMBER(H34),IF(ABS(H34-1)&lt;=0.15,"Steady: L = λW holds",IF(H34&lt;1,"Filling up: arrivals rising faster than people leave","Emptying: people from earlier slots still inside")),IF(G34=0,"Emptying: no new arrivals","Almost empty")))</f>
        <v>Steady: L = λW holds</v>
      </c>
    </row>
    <row r="35" customFormat="false" ht="15" hidden="false" customHeight="false" outlineLevel="0" collapsed="false">
      <c r="A35" s="6" t="s">
        <v>251</v>
      </c>
      <c r="B35" s="6" t="s">
        <v>266</v>
      </c>
      <c r="C35" s="6" t="s">
        <v>134</v>
      </c>
      <c r="D35" s="35" t="n">
        <f aca="false">'Sim Data'!$E$179</f>
        <v>5.32</v>
      </c>
      <c r="E35" s="41" t="n">
        <f aca="false">'Sim Data'!$G$179</f>
        <v>16.5691</v>
      </c>
      <c r="F35" s="38" t="n">
        <f aca="false">'Sim Data'!$I$179</f>
        <v>112.6763</v>
      </c>
      <c r="G35" s="33" t="n">
        <f aca="false">D35*E35</f>
        <v>88.147612</v>
      </c>
      <c r="H35" s="34" t="n">
        <f aca="false">IF(MAX(F35,G35)&lt;10,"≈ 0",IF(G35=0,"no new arrivals",F35/G35))</f>
        <v>1.27826832109757</v>
      </c>
      <c r="I35" s="40" t="str">
        <f aca="false">IF(D35=0,"",IF(ISNUMBER(H35),IF(ABS(H35-1)&lt;=0.15,"Steady: L = λW holds",IF(H35&lt;1,"Filling up: arrivals rising faster than people leave","Emptying: people from earlier slots still inside")),IF(G35=0,"Emptying: no new arrivals","Almost empty")))</f>
        <v>Emptying: people from earlier slots still inside</v>
      </c>
    </row>
    <row r="36" customFormat="false" ht="15" hidden="false" customHeight="false" outlineLevel="0" collapsed="false">
      <c r="A36" s="6" t="s">
        <v>251</v>
      </c>
      <c r="B36" s="6" t="s">
        <v>266</v>
      </c>
      <c r="C36" s="6" t="s">
        <v>138</v>
      </c>
      <c r="D36" s="35" t="n">
        <f aca="false">'Sim Data'!$E$180</f>
        <v>3.5</v>
      </c>
      <c r="E36" s="41" t="n">
        <f aca="false">'Sim Data'!$G$180</f>
        <v>16.5559</v>
      </c>
      <c r="F36" s="38" t="n">
        <f aca="false">'Sim Data'!$I$180</f>
        <v>84.514</v>
      </c>
      <c r="G36" s="33" t="n">
        <f aca="false">D36*E36</f>
        <v>57.94565</v>
      </c>
      <c r="H36" s="34" t="n">
        <f aca="false">IF(MAX(F36,G36)&lt;10,"≈ 0",IF(G36=0,"no new arrivals",F36/G36))</f>
        <v>1.45850465047851</v>
      </c>
      <c r="I36" s="40" t="str">
        <f aca="false">IF(D36=0,"",IF(ISNUMBER(H36),IF(ABS(H36-1)&lt;=0.15,"Steady: L = λW holds",IF(H36&lt;1,"Filling up: arrivals rising faster than people leave","Emptying: people from earlier slots still inside")),IF(G36=0,"Emptying: no new arrivals","Almost empty")))</f>
        <v>Emptying: people from earlier slots still inside</v>
      </c>
    </row>
    <row r="37" customFormat="false" ht="15" hidden="false" customHeight="false" outlineLevel="0" collapsed="false">
      <c r="A37" s="6" t="s">
        <v>251</v>
      </c>
      <c r="B37" s="6" t="s">
        <v>266</v>
      </c>
      <c r="C37" s="6" t="s">
        <v>141</v>
      </c>
      <c r="D37" s="35" t="n">
        <f aca="false">'Sim Data'!$E$181</f>
        <v>1.825</v>
      </c>
      <c r="E37" s="41" t="n">
        <f aca="false">'Sim Data'!$G$181</f>
        <v>16.5829</v>
      </c>
      <c r="F37" s="38" t="n">
        <f aca="false">'Sim Data'!$I$181</f>
        <v>52.6985</v>
      </c>
      <c r="G37" s="33" t="n">
        <f aca="false">D37*E37</f>
        <v>30.2637925</v>
      </c>
      <c r="H37" s="34" t="n">
        <f aca="false">IF(MAX(F37,G37)&lt;10,"≈ 0",IF(G37=0,"no new arrivals",F37/G37))</f>
        <v>1.74130522471696</v>
      </c>
      <c r="I37" s="40" t="str">
        <f aca="false">IF(D37=0,"",IF(ISNUMBER(H37),IF(ABS(H37-1)&lt;=0.15,"Steady: L = λW holds",IF(H37&lt;1,"Filling up: arrivals rising faster than people leave","Emptying: people from earlier slots still inside")),IF(G37=0,"Emptying: no new arrivals","Almost empty")))</f>
        <v>Emptying: people from earlier slots still inside</v>
      </c>
    </row>
    <row r="38" customFormat="false" ht="15" hidden="false" customHeight="false" outlineLevel="0" collapsed="false">
      <c r="A38" s="6" t="s">
        <v>251</v>
      </c>
      <c r="B38" s="6" t="s">
        <v>266</v>
      </c>
      <c r="C38" s="6" t="s">
        <v>128</v>
      </c>
      <c r="D38" s="35" t="n">
        <f aca="false">'Sim Data'!$E$182</f>
        <v>0</v>
      </c>
      <c r="E38" s="41" t="n">
        <f aca="false">'Sim Data'!$G$182</f>
        <v>0</v>
      </c>
      <c r="F38" s="38" t="n">
        <f aca="false">'Sim Data'!$I$182</f>
        <v>23.1871</v>
      </c>
      <c r="G38" s="33" t="n">
        <f aca="false">D38*E38</f>
        <v>0</v>
      </c>
      <c r="H38" s="34" t="str">
        <f aca="false">IF(MAX(F38,G38)&lt;10,"≈ 0",IF(G38=0,"no new arrivals",F38/G38))</f>
        <v>no new arrivals</v>
      </c>
      <c r="I38" s="40" t="str">
        <f aca="false">IF(D38=0,"",IF(ISNUMBER(H38),IF(ABS(H38-1)&lt;=0.15,"Steady: L = λW holds",IF(H38&lt;1,"Filling up: arrivals rising faster than people leave","Emptying: people from earlier slots still inside")),IF(G38=0,"Emptying: no new arrivals","Almost empty")))</f>
        <v/>
      </c>
    </row>
    <row r="39" customFormat="false" ht="15" hidden="false" customHeight="false" outlineLevel="0" collapsed="false">
      <c r="A39" s="6" t="s">
        <v>251</v>
      </c>
      <c r="B39" s="6" t="s">
        <v>266</v>
      </c>
      <c r="C39" s="6" t="s">
        <v>261</v>
      </c>
      <c r="D39" s="35" t="n">
        <f aca="false">'Sim Data'!$E$183</f>
        <v>0</v>
      </c>
      <c r="E39" s="41" t="n">
        <f aca="false">'Sim Data'!$G$183</f>
        <v>0</v>
      </c>
      <c r="F39" s="38" t="n">
        <f aca="false">'Sim Data'!$I$183</f>
        <v>3.5613</v>
      </c>
      <c r="G39" s="33" t="n">
        <f aca="false">D39*E39</f>
        <v>0</v>
      </c>
      <c r="H39" s="34" t="str">
        <f aca="false">IF(MAX(F39,G39)&lt;10,"≈ 0",IF(G39=0,"no new arrivals",F39/G39))</f>
        <v>≈ 0</v>
      </c>
      <c r="I39" s="40" t="str">
        <f aca="false">IF(D39=0,"",IF(ISNUMBER(H39),IF(ABS(H39-1)&lt;=0.15,"Steady: L = λW holds",IF(H39&lt;1,"Filling up: arrivals rising faster than people leave","Emptying: people from earlier slots still inside")),IF(G39=0,"Emptying: no new arrivals","Almost empty")))</f>
        <v/>
      </c>
    </row>
    <row r="40" customFormat="false" ht="15" hidden="false" customHeight="false" outlineLevel="0" collapsed="false">
      <c r="A40" s="6" t="s">
        <v>251</v>
      </c>
      <c r="B40" s="6" t="s">
        <v>266</v>
      </c>
      <c r="C40" s="6" t="s">
        <v>262</v>
      </c>
      <c r="D40" s="35" t="n">
        <f aca="false">'Sim Data'!$E$184</f>
        <v>0</v>
      </c>
      <c r="E40" s="41" t="n">
        <f aca="false">'Sim Data'!$G$184</f>
        <v>0</v>
      </c>
      <c r="F40" s="38" t="n">
        <f aca="false">'Sim Data'!$I$184</f>
        <v>0</v>
      </c>
      <c r="G40" s="33" t="n">
        <f aca="false">D40*E40</f>
        <v>0</v>
      </c>
      <c r="H40" s="34" t="str">
        <f aca="false">IF(MAX(F40,G40)&lt;10,"≈ 0",IF(G40=0,"no new arrivals",F40/G40))</f>
        <v>≈ 0</v>
      </c>
      <c r="I40" s="40" t="str">
        <f aca="false">IF(D40=0,"",IF(ISNUMBER(H40),IF(ABS(H40-1)&lt;=0.15,"Steady: L = λW holds",IF(H40&lt;1,"Filling up: arrivals rising faster than people leave","Emptying: people from earlier slots still inside")),IF(G40=0,"Emptying: no new arrivals","Almost empty")))</f>
        <v/>
      </c>
    </row>
    <row r="41" customFormat="false" ht="15" hidden="false" customHeight="false" outlineLevel="0" collapsed="false">
      <c r="A41" s="6" t="s">
        <v>267</v>
      </c>
      <c r="B41" s="6" t="s">
        <v>252</v>
      </c>
      <c r="C41" s="6" t="s">
        <v>254</v>
      </c>
      <c r="D41" s="35" t="n">
        <f aca="false">'Sim Data'!$E$257</f>
        <v>0</v>
      </c>
      <c r="E41" s="41" t="n">
        <f aca="false">'Sim Data'!$G$257</f>
        <v>0</v>
      </c>
      <c r="F41" s="38" t="n">
        <f aca="false">'Sim Data'!$I$257</f>
        <v>0</v>
      </c>
      <c r="G41" s="33" t="n">
        <f aca="false">D41*E41</f>
        <v>0</v>
      </c>
      <c r="H41" s="34" t="str">
        <f aca="false">IF(MAX(F41,G41)&lt;10,"≈ 0",IF(G41=0,"no new arrivals",F41/G41))</f>
        <v>≈ 0</v>
      </c>
      <c r="I41" s="40" t="str">
        <f aca="false">IF(D41=0,"",IF(ISNUMBER(H41),IF(ABS(H41-1)&lt;=0.15,"Steady: L = λW holds",IF(H41&lt;1,"Filling up: arrivals rising faster than people leave","Emptying: people from earlier slots still inside")),IF(G41=0,"Emptying: no new arrivals","Almost empty")))</f>
        <v/>
      </c>
    </row>
    <row r="42" customFormat="false" ht="15" hidden="false" customHeight="false" outlineLevel="0" collapsed="false">
      <c r="A42" s="6" t="s">
        <v>267</v>
      </c>
      <c r="B42" s="6" t="s">
        <v>252</v>
      </c>
      <c r="C42" s="6" t="s">
        <v>255</v>
      </c>
      <c r="D42" s="35" t="n">
        <f aca="false">'Sim Data'!$E$258</f>
        <v>0</v>
      </c>
      <c r="E42" s="41" t="n">
        <f aca="false">'Sim Data'!$G$258</f>
        <v>0</v>
      </c>
      <c r="F42" s="38" t="n">
        <f aca="false">'Sim Data'!$I$258</f>
        <v>0</v>
      </c>
      <c r="G42" s="33" t="n">
        <f aca="false">D42*E42</f>
        <v>0</v>
      </c>
      <c r="H42" s="34" t="str">
        <f aca="false">IF(MAX(F42,G42)&lt;10,"≈ 0",IF(G42=0,"no new arrivals",F42/G42))</f>
        <v>≈ 0</v>
      </c>
      <c r="I42" s="40" t="str">
        <f aca="false">IF(D42=0,"",IF(ISNUMBER(H42),IF(ABS(H42-1)&lt;=0.15,"Steady: L = λW holds",IF(H42&lt;1,"Filling up: arrivals rising faster than people leave","Emptying: people from earlier slots still inside")),IF(G42=0,"Emptying: no new arrivals","Almost empty")))</f>
        <v/>
      </c>
    </row>
    <row r="43" customFormat="false" ht="15" hidden="false" customHeight="false" outlineLevel="0" collapsed="false">
      <c r="A43" s="6" t="s">
        <v>267</v>
      </c>
      <c r="B43" s="6" t="s">
        <v>252</v>
      </c>
      <c r="C43" s="6" t="s">
        <v>256</v>
      </c>
      <c r="D43" s="35" t="n">
        <f aca="false">'Sim Data'!$E$259</f>
        <v>0</v>
      </c>
      <c r="E43" s="41" t="n">
        <f aca="false">'Sim Data'!$G$259</f>
        <v>0</v>
      </c>
      <c r="F43" s="38" t="n">
        <f aca="false">'Sim Data'!$I$259</f>
        <v>0</v>
      </c>
      <c r="G43" s="33" t="n">
        <f aca="false">D43*E43</f>
        <v>0</v>
      </c>
      <c r="H43" s="34" t="str">
        <f aca="false">IF(MAX(F43,G43)&lt;10,"≈ 0",IF(G43=0,"no new arrivals",F43/G43))</f>
        <v>≈ 0</v>
      </c>
      <c r="I43" s="40" t="str">
        <f aca="false">IF(D43=0,"",IF(ISNUMBER(H43),IF(ABS(H43-1)&lt;=0.15,"Steady: L = λW holds",IF(H43&lt;1,"Filling up: arrivals rising faster than people leave","Emptying: people from earlier slots still inside")),IF(G43=0,"Emptying: no new arrivals","Almost empty")))</f>
        <v/>
      </c>
    </row>
    <row r="44" customFormat="false" ht="15" hidden="false" customHeight="false" outlineLevel="0" collapsed="false">
      <c r="A44" s="6" t="s">
        <v>267</v>
      </c>
      <c r="B44" s="6" t="s">
        <v>252</v>
      </c>
      <c r="C44" s="6" t="s">
        <v>124</v>
      </c>
      <c r="D44" s="35" t="n">
        <f aca="false">'Sim Data'!$E$260</f>
        <v>14.52</v>
      </c>
      <c r="E44" s="41" t="n">
        <f aca="false">'Sim Data'!$G$260</f>
        <v>16.6498</v>
      </c>
      <c r="F44" s="38" t="n">
        <f aca="false">'Sim Data'!$I$260</f>
        <v>66.9728</v>
      </c>
      <c r="G44" s="33" t="n">
        <f aca="false">D44*E44</f>
        <v>241.755096</v>
      </c>
      <c r="H44" s="34" t="n">
        <f aca="false">IF(MAX(F44,G44)&lt;10,"≈ 0",IF(G44=0,"no new arrivals",F44/G44))</f>
        <v>0.277027459226754</v>
      </c>
      <c r="I44" s="40" t="str">
        <f aca="false">IF(D44=0,"",IF(ISNUMBER(H44),IF(ABS(H44-1)&lt;=0.15,"Steady: L = λW holds",IF(H44&lt;1,"Filling up: arrivals rising faster than people leave","Emptying: people from earlier slots still inside")),IF(G44=0,"Emptying: no new arrivals","Almost empty")))</f>
        <v>Filling up: arrivals rising faster than people leave</v>
      </c>
    </row>
    <row r="45" customFormat="false" ht="15" hidden="false" customHeight="false" outlineLevel="0" collapsed="false">
      <c r="A45" s="6" t="s">
        <v>267</v>
      </c>
      <c r="B45" s="6" t="s">
        <v>252</v>
      </c>
      <c r="C45" s="6" t="s">
        <v>257</v>
      </c>
      <c r="D45" s="35" t="n">
        <f aca="false">'Sim Data'!$E$261</f>
        <v>18.77</v>
      </c>
      <c r="E45" s="41" t="n">
        <f aca="false">'Sim Data'!$G$261</f>
        <v>16.8224</v>
      </c>
      <c r="F45" s="38" t="n">
        <f aca="false">'Sim Data'!$I$261</f>
        <v>229.307</v>
      </c>
      <c r="G45" s="33" t="n">
        <f aca="false">D45*E45</f>
        <v>315.756448</v>
      </c>
      <c r="H45" s="34" t="n">
        <f aca="false">IF(MAX(F45,G45)&lt;10,"≈ 0",IF(G45=0,"no new arrivals",F45/G45))</f>
        <v>0.726214781843505</v>
      </c>
      <c r="I45" s="40" t="str">
        <f aca="false">IF(D45=0,"",IF(ISNUMBER(H45),IF(ABS(H45-1)&lt;=0.15,"Steady: L = λW holds",IF(H45&lt;1,"Filling up: arrivals rising faster than people leave","Emptying: people from earlier slots still inside")),IF(G45=0,"Emptying: no new arrivals","Almost empty")))</f>
        <v>Filling up: arrivals rising faster than people leave</v>
      </c>
    </row>
    <row r="46" customFormat="false" ht="15" hidden="false" customHeight="false" outlineLevel="0" collapsed="false">
      <c r="A46" s="6" t="s">
        <v>267</v>
      </c>
      <c r="B46" s="6" t="s">
        <v>252</v>
      </c>
      <c r="C46" s="6" t="s">
        <v>258</v>
      </c>
      <c r="D46" s="35" t="n">
        <f aca="false">'Sim Data'!$E$262</f>
        <v>18.615</v>
      </c>
      <c r="E46" s="41" t="n">
        <f aca="false">'Sim Data'!$G$262</f>
        <v>17.0443</v>
      </c>
      <c r="F46" s="38" t="n">
        <f aca="false">'Sim Data'!$I$262</f>
        <v>309.7027</v>
      </c>
      <c r="G46" s="33" t="n">
        <f aca="false">D46*E46</f>
        <v>317.2796445</v>
      </c>
      <c r="H46" s="34" t="n">
        <f aca="false">IF(MAX(F46,G46)&lt;10,"≈ 0",IF(G46=0,"no new arrivals",F46/G46))</f>
        <v>0.976119033693635</v>
      </c>
      <c r="I46" s="40" t="str">
        <f aca="false">IF(D46=0,"",IF(ISNUMBER(H46),IF(ABS(H46-1)&lt;=0.15,"Steady: L = λW holds",IF(H46&lt;1,"Filling up: arrivals rising faster than people leave","Emptying: people from earlier slots still inside")),IF(G46=0,"Emptying: no new arrivals","Almost empty")))</f>
        <v>Steady: L = λW holds</v>
      </c>
    </row>
    <row r="47" customFormat="false" ht="15" hidden="false" customHeight="false" outlineLevel="0" collapsed="false">
      <c r="A47" s="6" t="s">
        <v>267</v>
      </c>
      <c r="B47" s="6" t="s">
        <v>252</v>
      </c>
      <c r="C47" s="6" t="s">
        <v>133</v>
      </c>
      <c r="D47" s="35" t="n">
        <f aca="false">'Sim Data'!$E$263</f>
        <v>21.535</v>
      </c>
      <c r="E47" s="41" t="n">
        <f aca="false">'Sim Data'!$G$263</f>
        <v>17.5146</v>
      </c>
      <c r="F47" s="38" t="n">
        <f aca="false">'Sim Data'!$I$263</f>
        <v>334.275</v>
      </c>
      <c r="G47" s="33" t="n">
        <f aca="false">D47*E47</f>
        <v>377.176911</v>
      </c>
      <c r="H47" s="34" t="n">
        <f aca="false">IF(MAX(F47,G47)&lt;10,"≈ 0",IF(G47=0,"no new arrivals",F47/G47))</f>
        <v>0.886255203463395</v>
      </c>
      <c r="I47" s="40" t="str">
        <f aca="false">IF(D47=0,"",IF(ISNUMBER(H47),IF(ABS(H47-1)&lt;=0.15,"Steady: L = λW holds",IF(H47&lt;1,"Filling up: arrivals rising faster than people leave","Emptying: people from earlier slots still inside")),IF(G47=0,"Emptying: no new arrivals","Almost empty")))</f>
        <v>Steady: L = λW holds</v>
      </c>
    </row>
    <row r="48" customFormat="false" ht="15" hidden="false" customHeight="false" outlineLevel="0" collapsed="false">
      <c r="A48" s="6" t="s">
        <v>267</v>
      </c>
      <c r="B48" s="6" t="s">
        <v>252</v>
      </c>
      <c r="C48" s="6" t="s">
        <v>137</v>
      </c>
      <c r="D48" s="35" t="n">
        <f aca="false">'Sim Data'!$E$264</f>
        <v>18.48</v>
      </c>
      <c r="E48" s="41" t="n">
        <f aca="false">'Sim Data'!$G$264</f>
        <v>17.5289</v>
      </c>
      <c r="F48" s="38" t="n">
        <f aca="false">'Sim Data'!$I$264</f>
        <v>342.9346</v>
      </c>
      <c r="G48" s="33" t="n">
        <f aca="false">D48*E48</f>
        <v>323.934072</v>
      </c>
      <c r="H48" s="34" t="n">
        <f aca="false">IF(MAX(F48,G48)&lt;10,"≈ 0",IF(G48=0,"no new arrivals",F48/G48))</f>
        <v>1.0586555402545</v>
      </c>
      <c r="I48" s="40" t="str">
        <f aca="false">IF(D48=0,"",IF(ISNUMBER(H48),IF(ABS(H48-1)&lt;=0.15,"Steady: L = λW holds",IF(H48&lt;1,"Filling up: arrivals rising faster than people leave","Emptying: people from earlier slots still inside")),IF(G48=0,"Emptying: no new arrivals","Almost empty")))</f>
        <v>Steady: L = λW holds</v>
      </c>
    </row>
    <row r="49" customFormat="false" ht="15" hidden="false" customHeight="false" outlineLevel="0" collapsed="false">
      <c r="A49" s="6" t="s">
        <v>267</v>
      </c>
      <c r="B49" s="6" t="s">
        <v>252</v>
      </c>
      <c r="C49" s="6" t="s">
        <v>140</v>
      </c>
      <c r="D49" s="35" t="n">
        <f aca="false">'Sim Data'!$E$265</f>
        <v>15.44</v>
      </c>
      <c r="E49" s="41" t="n">
        <f aca="false">'Sim Data'!$G$265</f>
        <v>17.3505</v>
      </c>
      <c r="F49" s="38" t="n">
        <f aca="false">'Sim Data'!$I$265</f>
        <v>318.8024</v>
      </c>
      <c r="G49" s="33" t="n">
        <f aca="false">D49*E49</f>
        <v>267.89172</v>
      </c>
      <c r="H49" s="34" t="n">
        <f aca="false">IF(MAX(F49,G49)&lt;10,"≈ 0",IF(G49=0,"no new arrivals",F49/G49))</f>
        <v>1.19004200652413</v>
      </c>
      <c r="I49" s="40" t="str">
        <f aca="false">IF(D49=0,"",IF(ISNUMBER(H49),IF(ABS(H49-1)&lt;=0.15,"Steady: L = λW holds",IF(H49&lt;1,"Filling up: arrivals rising faster than people leave","Emptying: people from earlier slots still inside")),IF(G49=0,"Emptying: no new arrivals","Almost empty")))</f>
        <v>Emptying: people from earlier slots still inside</v>
      </c>
    </row>
    <row r="50" customFormat="false" ht="15" hidden="false" customHeight="false" outlineLevel="0" collapsed="false">
      <c r="A50" s="6" t="s">
        <v>267</v>
      </c>
      <c r="B50" s="6" t="s">
        <v>252</v>
      </c>
      <c r="C50" s="6" t="s">
        <v>125</v>
      </c>
      <c r="D50" s="35" t="n">
        <f aca="false">'Sim Data'!$E$266</f>
        <v>21.385</v>
      </c>
      <c r="E50" s="41" t="n">
        <f aca="false">'Sim Data'!$G$266</f>
        <v>17.3838</v>
      </c>
      <c r="F50" s="38" t="n">
        <f aca="false">'Sim Data'!$I$266</f>
        <v>299.6038</v>
      </c>
      <c r="G50" s="33" t="n">
        <f aca="false">D50*E50</f>
        <v>371.752563</v>
      </c>
      <c r="H50" s="34" t="n">
        <f aca="false">IF(MAX(F50,G50)&lt;10,"≈ 0",IF(G50=0,"no new arrivals",F50/G50))</f>
        <v>0.805922621171007</v>
      </c>
      <c r="I50" s="40" t="str">
        <f aca="false">IF(D50=0,"",IF(ISNUMBER(H50),IF(ABS(H50-1)&lt;=0.15,"Steady: L = λW holds",IF(H50&lt;1,"Filling up: arrivals rising faster than people leave","Emptying: people from earlier slots still inside")),IF(G50=0,"Emptying: no new arrivals","Almost empty")))</f>
        <v>Filling up: arrivals rising faster than people leave</v>
      </c>
    </row>
    <row r="51" customFormat="false" ht="15" hidden="false" customHeight="false" outlineLevel="0" collapsed="false">
      <c r="A51" s="6" t="s">
        <v>267</v>
      </c>
      <c r="B51" s="6" t="s">
        <v>252</v>
      </c>
      <c r="C51" s="6" t="s">
        <v>259</v>
      </c>
      <c r="D51" s="35" t="n">
        <f aca="false">'Sim Data'!$E$267</f>
        <v>21.26</v>
      </c>
      <c r="E51" s="41" t="n">
        <f aca="false">'Sim Data'!$G$267</f>
        <v>18.5442</v>
      </c>
      <c r="F51" s="38" t="n">
        <f aca="false">'Sim Data'!$I$267</f>
        <v>354.1081</v>
      </c>
      <c r="G51" s="33" t="n">
        <f aca="false">D51*E51</f>
        <v>394.249692</v>
      </c>
      <c r="H51" s="34" t="n">
        <f aca="false">IF(MAX(F51,G51)&lt;10,"≈ 0",IF(G51=0,"no new arrivals",F51/G51))</f>
        <v>0.898182312340272</v>
      </c>
      <c r="I51" s="40" t="str">
        <f aca="false">IF(D51=0,"",IF(ISNUMBER(H51),IF(ABS(H51-1)&lt;=0.15,"Steady: L = λW holds",IF(H51&lt;1,"Filling up: arrivals rising faster than people leave","Emptying: people from earlier slots still inside")),IF(G51=0,"Emptying: no new arrivals","Almost empty")))</f>
        <v>Steady: L = λW holds</v>
      </c>
    </row>
    <row r="52" customFormat="false" ht="15" hidden="false" customHeight="false" outlineLevel="0" collapsed="false">
      <c r="A52" s="6" t="s">
        <v>267</v>
      </c>
      <c r="B52" s="6" t="s">
        <v>252</v>
      </c>
      <c r="C52" s="6" t="s">
        <v>260</v>
      </c>
      <c r="D52" s="35" t="n">
        <f aca="false">'Sim Data'!$E$268</f>
        <v>19.735</v>
      </c>
      <c r="E52" s="41" t="n">
        <f aca="false">'Sim Data'!$G$268</f>
        <v>18.9445</v>
      </c>
      <c r="F52" s="38" t="n">
        <f aca="false">'Sim Data'!$I$268</f>
        <v>376.3418</v>
      </c>
      <c r="G52" s="33" t="n">
        <f aca="false">D52*E52</f>
        <v>373.8697075</v>
      </c>
      <c r="H52" s="34" t="n">
        <f aca="false">IF(MAX(F52,G52)&lt;10,"≈ 0",IF(G52=0,"no new arrivals",F52/G52))</f>
        <v>1.00661217651607</v>
      </c>
      <c r="I52" s="40" t="str">
        <f aca="false">IF(D52=0,"",IF(ISNUMBER(H52),IF(ABS(H52-1)&lt;=0.15,"Steady: L = λW holds",IF(H52&lt;1,"Filling up: arrivals rising faster than people leave","Emptying: people from earlier slots still inside")),IF(G52=0,"Emptying: no new arrivals","Almost empty")))</f>
        <v>Steady: L = λW holds</v>
      </c>
    </row>
    <row r="53" customFormat="false" ht="15" hidden="false" customHeight="false" outlineLevel="0" collapsed="false">
      <c r="A53" s="6" t="s">
        <v>267</v>
      </c>
      <c r="B53" s="6" t="s">
        <v>252</v>
      </c>
      <c r="C53" s="6" t="s">
        <v>134</v>
      </c>
      <c r="D53" s="35" t="n">
        <f aca="false">'Sim Data'!$E$269</f>
        <v>17.25</v>
      </c>
      <c r="E53" s="41" t="n">
        <f aca="false">'Sim Data'!$G$269</f>
        <v>18.6722</v>
      </c>
      <c r="F53" s="38" t="n">
        <f aca="false">'Sim Data'!$I$269</f>
        <v>360.4729</v>
      </c>
      <c r="G53" s="33" t="n">
        <f aca="false">D53*E53</f>
        <v>322.09545</v>
      </c>
      <c r="H53" s="34" t="n">
        <f aca="false">IF(MAX(F53,G53)&lt;10,"≈ 0",IF(G53=0,"no new arrivals",F53/G53))</f>
        <v>1.11914930807001</v>
      </c>
      <c r="I53" s="40" t="str">
        <f aca="false">IF(D53=0,"",IF(ISNUMBER(H53),IF(ABS(H53-1)&lt;=0.15,"Steady: L = λW holds",IF(H53&lt;1,"Filling up: arrivals rising faster than people leave","Emptying: people from earlier slots still inside")),IF(G53=0,"Emptying: no new arrivals","Almost empty")))</f>
        <v>Steady: L = λW holds</v>
      </c>
    </row>
    <row r="54" customFormat="false" ht="15" hidden="false" customHeight="false" outlineLevel="0" collapsed="false">
      <c r="A54" s="6" t="s">
        <v>267</v>
      </c>
      <c r="B54" s="6" t="s">
        <v>252</v>
      </c>
      <c r="C54" s="6" t="s">
        <v>138</v>
      </c>
      <c r="D54" s="35" t="n">
        <f aca="false">'Sim Data'!$E$270</f>
        <v>13.165</v>
      </c>
      <c r="E54" s="41" t="n">
        <f aca="false">'Sim Data'!$G$270</f>
        <v>18.1485</v>
      </c>
      <c r="F54" s="38" t="n">
        <f aca="false">'Sim Data'!$I$270</f>
        <v>318.2133</v>
      </c>
      <c r="G54" s="33" t="n">
        <f aca="false">D54*E54</f>
        <v>238.9250025</v>
      </c>
      <c r="H54" s="34" t="n">
        <f aca="false">IF(MAX(F54,G54)&lt;10,"≈ 0",IF(G54=0,"no new arrivals",F54/G54))</f>
        <v>1.33185433366272</v>
      </c>
      <c r="I54" s="40" t="str">
        <f aca="false">IF(D54=0,"",IF(ISNUMBER(H54),IF(ABS(H54-1)&lt;=0.15,"Steady: L = λW holds",IF(H54&lt;1,"Filling up: arrivals rising faster than people leave","Emptying: people from earlier slots still inside")),IF(G54=0,"Emptying: no new arrivals","Almost empty")))</f>
        <v>Emptying: people from earlier slots still inside</v>
      </c>
    </row>
    <row r="55" customFormat="false" ht="15" hidden="false" customHeight="false" outlineLevel="0" collapsed="false">
      <c r="A55" s="6" t="s">
        <v>267</v>
      </c>
      <c r="B55" s="6" t="s">
        <v>252</v>
      </c>
      <c r="C55" s="6" t="s">
        <v>141</v>
      </c>
      <c r="D55" s="35" t="n">
        <f aca="false">'Sim Data'!$E$271</f>
        <v>7.17</v>
      </c>
      <c r="E55" s="41" t="n">
        <f aca="false">'Sim Data'!$G$271</f>
        <v>16.7783</v>
      </c>
      <c r="F55" s="38" t="n">
        <f aca="false">'Sim Data'!$I$271</f>
        <v>233.7609</v>
      </c>
      <c r="G55" s="33" t="n">
        <f aca="false">D55*E55</f>
        <v>120.300411</v>
      </c>
      <c r="H55" s="34" t="n">
        <f aca="false">IF(MAX(F55,G55)&lt;10,"≈ 0",IF(G55=0,"no new arrivals",F55/G55))</f>
        <v>1.9431429872671</v>
      </c>
      <c r="I55" s="40" t="str">
        <f aca="false">IF(D55=0,"",IF(ISNUMBER(H55),IF(ABS(H55-1)&lt;=0.15,"Steady: L = λW holds",IF(H55&lt;1,"Filling up: arrivals rising faster than people leave","Emptying: people from earlier slots still inside")),IF(G55=0,"Emptying: no new arrivals","Almost empty")))</f>
        <v>Emptying: people from earlier slots still inside</v>
      </c>
    </row>
    <row r="56" customFormat="false" ht="15" hidden="false" customHeight="false" outlineLevel="0" collapsed="false">
      <c r="A56" s="6" t="s">
        <v>267</v>
      </c>
      <c r="B56" s="6" t="s">
        <v>252</v>
      </c>
      <c r="C56" s="6" t="s">
        <v>128</v>
      </c>
      <c r="D56" s="35" t="n">
        <f aca="false">'Sim Data'!$E$272</f>
        <v>0</v>
      </c>
      <c r="E56" s="41" t="n">
        <f aca="false">'Sim Data'!$G$272</f>
        <v>0</v>
      </c>
      <c r="F56" s="38" t="n">
        <f aca="false">'Sim Data'!$I$272</f>
        <v>107.544</v>
      </c>
      <c r="G56" s="33" t="n">
        <f aca="false">D56*E56</f>
        <v>0</v>
      </c>
      <c r="H56" s="34" t="str">
        <f aca="false">IF(MAX(F56,G56)&lt;10,"≈ 0",IF(G56=0,"no new arrivals",F56/G56))</f>
        <v>no new arrivals</v>
      </c>
      <c r="I56" s="40" t="str">
        <f aca="false">IF(D56=0,"",IF(ISNUMBER(H56),IF(ABS(H56-1)&lt;=0.15,"Steady: L = λW holds",IF(H56&lt;1,"Filling up: arrivals rising faster than people leave","Emptying: people from earlier slots still inside")),IF(G56=0,"Emptying: no new arrivals","Almost empty")))</f>
        <v/>
      </c>
    </row>
    <row r="57" customFormat="false" ht="15" hidden="false" customHeight="false" outlineLevel="0" collapsed="false">
      <c r="A57" s="6" t="s">
        <v>267</v>
      </c>
      <c r="B57" s="6" t="s">
        <v>252</v>
      </c>
      <c r="C57" s="6" t="s">
        <v>261</v>
      </c>
      <c r="D57" s="35" t="n">
        <f aca="false">'Sim Data'!$E$273</f>
        <v>0</v>
      </c>
      <c r="E57" s="41" t="n">
        <f aca="false">'Sim Data'!$G$273</f>
        <v>0</v>
      </c>
      <c r="F57" s="38" t="n">
        <f aca="false">'Sim Data'!$I$273</f>
        <v>12.9476</v>
      </c>
      <c r="G57" s="33" t="n">
        <f aca="false">D57*E57</f>
        <v>0</v>
      </c>
      <c r="H57" s="34" t="str">
        <f aca="false">IF(MAX(F57,G57)&lt;10,"≈ 0",IF(G57=0,"no new arrivals",F57/G57))</f>
        <v>no new arrivals</v>
      </c>
      <c r="I57" s="40" t="str">
        <f aca="false">IF(D57=0,"",IF(ISNUMBER(H57),IF(ABS(H57-1)&lt;=0.15,"Steady: L = λW holds",IF(H57&lt;1,"Filling up: arrivals rising faster than people leave","Emptying: people from earlier slots still inside")),IF(G57=0,"Emptying: no new arrivals","Almost empty")))</f>
        <v/>
      </c>
    </row>
    <row r="58" customFormat="false" ht="15" hidden="false" customHeight="false" outlineLevel="0" collapsed="false">
      <c r="A58" s="6" t="s">
        <v>267</v>
      </c>
      <c r="B58" s="6" t="s">
        <v>252</v>
      </c>
      <c r="C58" s="6" t="s">
        <v>262</v>
      </c>
      <c r="D58" s="35" t="n">
        <f aca="false">'Sim Data'!$E$274</f>
        <v>0</v>
      </c>
      <c r="E58" s="41" t="n">
        <f aca="false">'Sim Data'!$G$274</f>
        <v>0</v>
      </c>
      <c r="F58" s="38" t="n">
        <f aca="false">'Sim Data'!$I$274</f>
        <v>0</v>
      </c>
      <c r="G58" s="33" t="n">
        <f aca="false">D58*E58</f>
        <v>0</v>
      </c>
      <c r="H58" s="34" t="str">
        <f aca="false">IF(MAX(F58,G58)&lt;10,"≈ 0",IF(G58=0,"no new arrivals",F58/G58))</f>
        <v>≈ 0</v>
      </c>
      <c r="I58" s="40" t="str">
        <f aca="false">IF(D58=0,"",IF(ISNUMBER(H58),IF(ABS(H58-1)&lt;=0.15,"Steady: L = λW holds",IF(H58&lt;1,"Filling up: arrivals rising faster than people leave","Emptying: people from earlier slots still inside")),IF(G58=0,"Emptying: no new arrivals","Almost empty")))</f>
        <v/>
      </c>
    </row>
    <row r="59" customFormat="false" ht="15" hidden="false" customHeight="false" outlineLevel="0" collapsed="false">
      <c r="A59" s="6" t="s">
        <v>267</v>
      </c>
      <c r="B59" s="6" t="s">
        <v>266</v>
      </c>
      <c r="C59" s="6" t="s">
        <v>254</v>
      </c>
      <c r="D59" s="35" t="n">
        <f aca="false">'Sim Data'!$E$347</f>
        <v>0</v>
      </c>
      <c r="E59" s="41" t="n">
        <f aca="false">'Sim Data'!$G$347</f>
        <v>0</v>
      </c>
      <c r="F59" s="38" t="n">
        <f aca="false">'Sim Data'!$I$347</f>
        <v>0</v>
      </c>
      <c r="G59" s="33" t="n">
        <f aca="false">D59*E59</f>
        <v>0</v>
      </c>
      <c r="H59" s="34" t="str">
        <f aca="false">IF(MAX(F59,G59)&lt;10,"≈ 0",IF(G59=0,"no new arrivals",F59/G59))</f>
        <v>≈ 0</v>
      </c>
      <c r="I59" s="40" t="str">
        <f aca="false">IF(D59=0,"",IF(ISNUMBER(H59),IF(ABS(H59-1)&lt;=0.15,"Steady: L = λW holds",IF(H59&lt;1,"Filling up: arrivals rising faster than people leave","Emptying: people from earlier slots still inside")),IF(G59=0,"Emptying: no new arrivals","Almost empty")))</f>
        <v/>
      </c>
    </row>
    <row r="60" customFormat="false" ht="15" hidden="false" customHeight="false" outlineLevel="0" collapsed="false">
      <c r="A60" s="6" t="s">
        <v>267</v>
      </c>
      <c r="B60" s="6" t="s">
        <v>266</v>
      </c>
      <c r="C60" s="6" t="s">
        <v>255</v>
      </c>
      <c r="D60" s="35" t="n">
        <f aca="false">'Sim Data'!$E$348</f>
        <v>0</v>
      </c>
      <c r="E60" s="41" t="n">
        <f aca="false">'Sim Data'!$G$348</f>
        <v>0</v>
      </c>
      <c r="F60" s="38" t="n">
        <f aca="false">'Sim Data'!$I$348</f>
        <v>0</v>
      </c>
      <c r="G60" s="33" t="n">
        <f aca="false">D60*E60</f>
        <v>0</v>
      </c>
      <c r="H60" s="34" t="str">
        <f aca="false">IF(MAX(F60,G60)&lt;10,"≈ 0",IF(G60=0,"no new arrivals",F60/G60))</f>
        <v>≈ 0</v>
      </c>
      <c r="I60" s="40" t="str">
        <f aca="false">IF(D60=0,"",IF(ISNUMBER(H60),IF(ABS(H60-1)&lt;=0.15,"Steady: L = λW holds",IF(H60&lt;1,"Filling up: arrivals rising faster than people leave","Emptying: people from earlier slots still inside")),IF(G60=0,"Emptying: no new arrivals","Almost empty")))</f>
        <v/>
      </c>
    </row>
    <row r="61" customFormat="false" ht="15" hidden="false" customHeight="false" outlineLevel="0" collapsed="false">
      <c r="A61" s="6" t="s">
        <v>267</v>
      </c>
      <c r="B61" s="6" t="s">
        <v>266</v>
      </c>
      <c r="C61" s="6" t="s">
        <v>256</v>
      </c>
      <c r="D61" s="35" t="n">
        <f aca="false">'Sim Data'!$E$349</f>
        <v>0</v>
      </c>
      <c r="E61" s="41" t="n">
        <f aca="false">'Sim Data'!$G$349</f>
        <v>0</v>
      </c>
      <c r="F61" s="38" t="n">
        <f aca="false">'Sim Data'!$I$349</f>
        <v>0</v>
      </c>
      <c r="G61" s="33" t="n">
        <f aca="false">D61*E61</f>
        <v>0</v>
      </c>
      <c r="H61" s="34" t="str">
        <f aca="false">IF(MAX(F61,G61)&lt;10,"≈ 0",IF(G61=0,"no new arrivals",F61/G61))</f>
        <v>≈ 0</v>
      </c>
      <c r="I61" s="40" t="str">
        <f aca="false">IF(D61=0,"",IF(ISNUMBER(H61),IF(ABS(H61-1)&lt;=0.15,"Steady: L = λW holds",IF(H61&lt;1,"Filling up: arrivals rising faster than people leave","Emptying: people from earlier slots still inside")),IF(G61=0,"Emptying: no new arrivals","Almost empty")))</f>
        <v/>
      </c>
    </row>
    <row r="62" customFormat="false" ht="15" hidden="false" customHeight="false" outlineLevel="0" collapsed="false">
      <c r="A62" s="6" t="s">
        <v>267</v>
      </c>
      <c r="B62" s="6" t="s">
        <v>266</v>
      </c>
      <c r="C62" s="6" t="s">
        <v>124</v>
      </c>
      <c r="D62" s="35" t="n">
        <f aca="false">'Sim Data'!$E$350</f>
        <v>3.88</v>
      </c>
      <c r="E62" s="41" t="n">
        <f aca="false">'Sim Data'!$G$350</f>
        <v>16.5294</v>
      </c>
      <c r="F62" s="38" t="n">
        <f aca="false">'Sim Data'!$I$350</f>
        <v>18.9765</v>
      </c>
      <c r="G62" s="33" t="n">
        <f aca="false">D62*E62</f>
        <v>64.134072</v>
      </c>
      <c r="H62" s="34" t="n">
        <f aca="false">IF(MAX(F62,G62)&lt;10,"≈ 0",IF(G62=0,"no new arrivals",F62/G62))</f>
        <v>0.295887964200995</v>
      </c>
      <c r="I62" s="40" t="str">
        <f aca="false">IF(D62=0,"",IF(ISNUMBER(H62),IF(ABS(H62-1)&lt;=0.15,"Steady: L = λW holds",IF(H62&lt;1,"Filling up: arrivals rising faster than people leave","Emptying: people from earlier slots still inside")),IF(G62=0,"Emptying: no new arrivals","Almost empty")))</f>
        <v>Filling up: arrivals rising faster than people leave</v>
      </c>
    </row>
    <row r="63" customFormat="false" ht="15" hidden="false" customHeight="false" outlineLevel="0" collapsed="false">
      <c r="A63" s="6" t="s">
        <v>267</v>
      </c>
      <c r="B63" s="6" t="s">
        <v>266</v>
      </c>
      <c r="C63" s="6" t="s">
        <v>257</v>
      </c>
      <c r="D63" s="35" t="n">
        <f aca="false">'Sim Data'!$E$351</f>
        <v>4.64</v>
      </c>
      <c r="E63" s="41" t="n">
        <f aca="false">'Sim Data'!$G$351</f>
        <v>16.5845</v>
      </c>
      <c r="F63" s="38" t="n">
        <f aca="false">'Sim Data'!$I$351</f>
        <v>59.7213</v>
      </c>
      <c r="G63" s="33" t="n">
        <f aca="false">D63*E63</f>
        <v>76.95208</v>
      </c>
      <c r="H63" s="34" t="n">
        <f aca="false">IF(MAX(F63,G63)&lt;10,"≈ 0",IF(G63=0,"no new arrivals",F63/G63))</f>
        <v>0.776084285181116</v>
      </c>
      <c r="I63" s="40" t="str">
        <f aca="false">IF(D63=0,"",IF(ISNUMBER(H63),IF(ABS(H63-1)&lt;=0.15,"Steady: L = λW holds",IF(H63&lt;1,"Filling up: arrivals rising faster than people leave","Emptying: people from earlier slots still inside")),IF(G63=0,"Emptying: no new arrivals","Almost empty")))</f>
        <v>Filling up: arrivals rising faster than people leave</v>
      </c>
    </row>
    <row r="64" customFormat="false" ht="15" hidden="false" customHeight="false" outlineLevel="0" collapsed="false">
      <c r="A64" s="6" t="s">
        <v>267</v>
      </c>
      <c r="B64" s="6" t="s">
        <v>266</v>
      </c>
      <c r="C64" s="6" t="s">
        <v>258</v>
      </c>
      <c r="D64" s="35" t="n">
        <f aca="false">'Sim Data'!$E$352</f>
        <v>4.99</v>
      </c>
      <c r="E64" s="41" t="n">
        <f aca="false">'Sim Data'!$G$352</f>
        <v>16.5805</v>
      </c>
      <c r="F64" s="38" t="n">
        <f aca="false">'Sim Data'!$I$352</f>
        <v>77.4179</v>
      </c>
      <c r="G64" s="33" t="n">
        <f aca="false">D64*E64</f>
        <v>82.736695</v>
      </c>
      <c r="H64" s="34" t="n">
        <f aca="false">IF(MAX(F64,G64)&lt;10,"≈ 0",IF(G64=0,"no new arrivals",F64/G64))</f>
        <v>0.935714195496932</v>
      </c>
      <c r="I64" s="40" t="str">
        <f aca="false">IF(D64=0,"",IF(ISNUMBER(H64),IF(ABS(H64-1)&lt;=0.15,"Steady: L = λW holds",IF(H64&lt;1,"Filling up: arrivals rising faster than people leave","Emptying: people from earlier slots still inside")),IF(G64=0,"Emptying: no new arrivals","Almost empty")))</f>
        <v>Steady: L = λW holds</v>
      </c>
    </row>
    <row r="65" customFormat="false" ht="15" hidden="false" customHeight="false" outlineLevel="0" collapsed="false">
      <c r="A65" s="6" t="s">
        <v>267</v>
      </c>
      <c r="B65" s="6" t="s">
        <v>266</v>
      </c>
      <c r="C65" s="6" t="s">
        <v>133</v>
      </c>
      <c r="D65" s="35" t="n">
        <f aca="false">'Sim Data'!$E$353</f>
        <v>7.035</v>
      </c>
      <c r="E65" s="41" t="n">
        <f aca="false">'Sim Data'!$G$353</f>
        <v>16.6073</v>
      </c>
      <c r="F65" s="38" t="n">
        <f aca="false">'Sim Data'!$I$353</f>
        <v>91.5388</v>
      </c>
      <c r="G65" s="33" t="n">
        <f aca="false">D65*E65</f>
        <v>116.8323555</v>
      </c>
      <c r="H65" s="34" t="n">
        <f aca="false">IF(MAX(F65,G65)&lt;10,"≈ 0",IF(G65=0,"no new arrivals",F65/G65))</f>
        <v>0.783505558954514</v>
      </c>
      <c r="I65" s="40" t="str">
        <f aca="false">IF(D65=0,"",IF(ISNUMBER(H65),IF(ABS(H65-1)&lt;=0.15,"Steady: L = λW holds",IF(H65&lt;1,"Filling up: arrivals rising faster than people leave","Emptying: people from earlier slots still inside")),IF(G65=0,"Emptying: no new arrivals","Almost empty")))</f>
        <v>Filling up: arrivals rising faster than people leave</v>
      </c>
    </row>
    <row r="66" customFormat="false" ht="15" hidden="false" customHeight="false" outlineLevel="0" collapsed="false">
      <c r="A66" s="6" t="s">
        <v>267</v>
      </c>
      <c r="B66" s="6" t="s">
        <v>266</v>
      </c>
      <c r="C66" s="6" t="s">
        <v>137</v>
      </c>
      <c r="D66" s="35" t="n">
        <f aca="false">'Sim Data'!$E$354</f>
        <v>7.255</v>
      </c>
      <c r="E66" s="41" t="n">
        <f aca="false">'Sim Data'!$G$354</f>
        <v>16.5891</v>
      </c>
      <c r="F66" s="38" t="n">
        <f aca="false">'Sim Data'!$I$354</f>
        <v>115.9024</v>
      </c>
      <c r="G66" s="33" t="n">
        <f aca="false">D66*E66</f>
        <v>120.3539205</v>
      </c>
      <c r="H66" s="34" t="n">
        <f aca="false">IF(MAX(F66,G66)&lt;10,"≈ 0",IF(G66=0,"no new arrivals",F66/G66))</f>
        <v>0.963013082735431</v>
      </c>
      <c r="I66" s="40" t="str">
        <f aca="false">IF(D66=0,"",IF(ISNUMBER(H66),IF(ABS(H66-1)&lt;=0.15,"Steady: L = λW holds",IF(H66&lt;1,"Filling up: arrivals rising faster than people leave","Emptying: people from earlier slots still inside")),IF(G66=0,"Emptying: no new arrivals","Almost empty")))</f>
        <v>Steady: L = λW holds</v>
      </c>
    </row>
    <row r="67" customFormat="false" ht="15" hidden="false" customHeight="false" outlineLevel="0" collapsed="false">
      <c r="A67" s="6" t="s">
        <v>267</v>
      </c>
      <c r="B67" s="6" t="s">
        <v>266</v>
      </c>
      <c r="C67" s="6" t="s">
        <v>140</v>
      </c>
      <c r="D67" s="35" t="n">
        <f aca="false">'Sim Data'!$E$355</f>
        <v>5.845</v>
      </c>
      <c r="E67" s="41" t="n">
        <f aca="false">'Sim Data'!$G$355</f>
        <v>16.583</v>
      </c>
      <c r="F67" s="38" t="n">
        <f aca="false">'Sim Data'!$I$355</f>
        <v>115.0704</v>
      </c>
      <c r="G67" s="33" t="n">
        <f aca="false">D67*E67</f>
        <v>96.927635</v>
      </c>
      <c r="H67" s="34" t="n">
        <f aca="false">IF(MAX(F67,G67)&lt;10,"≈ 0",IF(G67=0,"no new arrivals",F67/G67))</f>
        <v>1.18717845534971</v>
      </c>
      <c r="I67" s="40" t="str">
        <f aca="false">IF(D67=0,"",IF(ISNUMBER(H67),IF(ABS(H67-1)&lt;=0.15,"Steady: L = λW holds",IF(H67&lt;1,"Filling up: arrivals rising faster than people leave","Emptying: people from earlier slots still inside")),IF(G67=0,"Emptying: no new arrivals","Almost empty")))</f>
        <v>Emptying: people from earlier slots still inside</v>
      </c>
    </row>
    <row r="68" customFormat="false" ht="15" hidden="false" customHeight="false" outlineLevel="0" collapsed="false">
      <c r="A68" s="6" t="s">
        <v>267</v>
      </c>
      <c r="B68" s="6" t="s">
        <v>266</v>
      </c>
      <c r="C68" s="6" t="s">
        <v>125</v>
      </c>
      <c r="D68" s="35" t="n">
        <f aca="false">'Sim Data'!$E$356</f>
        <v>6.595</v>
      </c>
      <c r="E68" s="41" t="n">
        <f aca="false">'Sim Data'!$G$356</f>
        <v>16.6047</v>
      </c>
      <c r="F68" s="38" t="n">
        <f aca="false">'Sim Data'!$I$356</f>
        <v>93.9624</v>
      </c>
      <c r="G68" s="33" t="n">
        <f aca="false">D68*E68</f>
        <v>109.5079965</v>
      </c>
      <c r="H68" s="34" t="n">
        <f aca="false">IF(MAX(F68,G68)&lt;10,"≈ 0",IF(G68=0,"no new arrivals",F68/G68))</f>
        <v>0.858041449055275</v>
      </c>
      <c r="I68" s="40" t="str">
        <f aca="false">IF(D68=0,"",IF(ISNUMBER(H68),IF(ABS(H68-1)&lt;=0.15,"Steady: L = λW holds",IF(H68&lt;1,"Filling up: arrivals rising faster than people leave","Emptying: people from earlier slots still inside")),IF(G68=0,"Emptying: no new arrivals","Almost empty")))</f>
        <v>Steady: L = λW holds</v>
      </c>
    </row>
    <row r="69" customFormat="false" ht="15" hidden="false" customHeight="false" outlineLevel="0" collapsed="false">
      <c r="A69" s="6" t="s">
        <v>267</v>
      </c>
      <c r="B69" s="6" t="s">
        <v>266</v>
      </c>
      <c r="C69" s="6" t="s">
        <v>259</v>
      </c>
      <c r="D69" s="35" t="n">
        <f aca="false">'Sim Data'!$E$357</f>
        <v>15.66</v>
      </c>
      <c r="E69" s="41" t="n">
        <f aca="false">'Sim Data'!$G$357</f>
        <v>16.6986</v>
      </c>
      <c r="F69" s="38" t="n">
        <f aca="false">'Sim Data'!$I$357</f>
        <v>152.59</v>
      </c>
      <c r="G69" s="33" t="n">
        <f aca="false">D69*E69</f>
        <v>261.500076</v>
      </c>
      <c r="H69" s="34" t="n">
        <f aca="false">IF(MAX(F69,G69)&lt;10,"≈ 0",IF(G69=0,"no new arrivals",F69/G69))</f>
        <v>0.583517994847543</v>
      </c>
      <c r="I69" s="40" t="str">
        <f aca="false">IF(D69=0,"",IF(ISNUMBER(H69),IF(ABS(H69-1)&lt;=0.15,"Steady: L = λW holds",IF(H69&lt;1,"Filling up: arrivals rising faster than people leave","Emptying: people from earlier slots still inside")),IF(G69=0,"Emptying: no new arrivals","Almost empty")))</f>
        <v>Filling up: arrivals rising faster than people leave</v>
      </c>
    </row>
    <row r="70" customFormat="false" ht="15" hidden="false" customHeight="false" outlineLevel="0" collapsed="false">
      <c r="A70" s="6" t="s">
        <v>267</v>
      </c>
      <c r="B70" s="6" t="s">
        <v>266</v>
      </c>
      <c r="C70" s="6" t="s">
        <v>260</v>
      </c>
      <c r="D70" s="35" t="n">
        <f aca="false">'Sim Data'!$E$358</f>
        <v>16.08</v>
      </c>
      <c r="E70" s="41" t="n">
        <f aca="false">'Sim Data'!$G$358</f>
        <v>16.7075</v>
      </c>
      <c r="F70" s="38" t="n">
        <f aca="false">'Sim Data'!$I$358</f>
        <v>250.2996</v>
      </c>
      <c r="G70" s="33" t="n">
        <f aca="false">D70*E70</f>
        <v>268.6566</v>
      </c>
      <c r="H70" s="34" t="n">
        <f aca="false">IF(MAX(F70,G70)&lt;10,"≈ 0",IF(G70=0,"no new arrivals",F70/G70))</f>
        <v>0.931671137057493</v>
      </c>
      <c r="I70" s="40" t="str">
        <f aca="false">IF(D70=0,"",IF(ISNUMBER(H70),IF(ABS(H70-1)&lt;=0.15,"Steady: L = λW holds",IF(H70&lt;1,"Filling up: arrivals rising faster than people leave","Emptying: people from earlier slots still inside")),IF(G70=0,"Emptying: no new arrivals","Almost empty")))</f>
        <v>Steady: L = λW holds</v>
      </c>
    </row>
    <row r="71" customFormat="false" ht="15" hidden="false" customHeight="false" outlineLevel="0" collapsed="false">
      <c r="A71" s="6" t="s">
        <v>267</v>
      </c>
      <c r="B71" s="6" t="s">
        <v>266</v>
      </c>
      <c r="C71" s="6" t="s">
        <v>134</v>
      </c>
      <c r="D71" s="35" t="n">
        <f aca="false">'Sim Data'!$E$359</f>
        <v>9.655</v>
      </c>
      <c r="E71" s="41" t="n">
        <f aca="false">'Sim Data'!$G$359</f>
        <v>16.6488</v>
      </c>
      <c r="F71" s="38" t="n">
        <f aca="false">'Sim Data'!$I$359</f>
        <v>241.2576</v>
      </c>
      <c r="G71" s="33" t="n">
        <f aca="false">D71*E71</f>
        <v>160.744164</v>
      </c>
      <c r="H71" s="34" t="n">
        <f aca="false">IF(MAX(F71,G71)&lt;10,"≈ 0",IF(G71=0,"no new arrivals",F71/G71))</f>
        <v>1.50087937251644</v>
      </c>
      <c r="I71" s="40" t="str">
        <f aca="false">IF(D71=0,"",IF(ISNUMBER(H71),IF(ABS(H71-1)&lt;=0.15,"Steady: L = λW holds",IF(H71&lt;1,"Filling up: arrivals rising faster than people leave","Emptying: people from earlier slots still inside")),IF(G71=0,"Emptying: no new arrivals","Almost empty")))</f>
        <v>Emptying: people from earlier slots still inside</v>
      </c>
    </row>
    <row r="72" customFormat="false" ht="15" hidden="false" customHeight="false" outlineLevel="0" collapsed="false">
      <c r="A72" s="6" t="s">
        <v>267</v>
      </c>
      <c r="B72" s="6" t="s">
        <v>266</v>
      </c>
      <c r="C72" s="6" t="s">
        <v>138</v>
      </c>
      <c r="D72" s="35" t="n">
        <f aca="false">'Sim Data'!$E$360</f>
        <v>5.01</v>
      </c>
      <c r="E72" s="41" t="n">
        <f aca="false">'Sim Data'!$G$360</f>
        <v>16.5904</v>
      </c>
      <c r="F72" s="38" t="n">
        <f aca="false">'Sim Data'!$I$360</f>
        <v>154.898</v>
      </c>
      <c r="G72" s="33" t="n">
        <f aca="false">D72*E72</f>
        <v>83.117904</v>
      </c>
      <c r="H72" s="34" t="n">
        <f aca="false">IF(MAX(F72,G72)&lt;10,"≈ 0",IF(G72=0,"no new arrivals",F72/G72))</f>
        <v>1.86359367291071</v>
      </c>
      <c r="I72" s="40" t="str">
        <f aca="false">IF(D72=0,"",IF(ISNUMBER(H72),IF(ABS(H72-1)&lt;=0.15,"Steady: L = λW holds",IF(H72&lt;1,"Filling up: arrivals rising faster than people leave","Emptying: people from earlier slots still inside")),IF(G72=0,"Emptying: no new arrivals","Almost empty")))</f>
        <v>Emptying: people from earlier slots still inside</v>
      </c>
    </row>
    <row r="73" customFormat="false" ht="15" hidden="false" customHeight="false" outlineLevel="0" collapsed="false">
      <c r="A73" s="6" t="s">
        <v>267</v>
      </c>
      <c r="B73" s="6" t="s">
        <v>266</v>
      </c>
      <c r="C73" s="6" t="s">
        <v>141</v>
      </c>
      <c r="D73" s="35" t="n">
        <f aca="false">'Sim Data'!$E$361</f>
        <v>1.825</v>
      </c>
      <c r="E73" s="41" t="n">
        <f aca="false">'Sim Data'!$G$361</f>
        <v>16.5626</v>
      </c>
      <c r="F73" s="38" t="n">
        <f aca="false">'Sim Data'!$I$361</f>
        <v>72.3543</v>
      </c>
      <c r="G73" s="33" t="n">
        <f aca="false">D73*E73</f>
        <v>30.226745</v>
      </c>
      <c r="H73" s="34" t="n">
        <f aca="false">IF(MAX(F73,G73)&lt;10,"≈ 0",IF(G73=0,"no new arrivals",F73/G73))</f>
        <v>2.39371788130015</v>
      </c>
      <c r="I73" s="40" t="str">
        <f aca="false">IF(D73=0,"",IF(ISNUMBER(H73),IF(ABS(H73-1)&lt;=0.15,"Steady: L = λW holds",IF(H73&lt;1,"Filling up: arrivals rising faster than people leave","Emptying: people from earlier slots still inside")),IF(G73=0,"Emptying: no new arrivals","Almost empty")))</f>
        <v>Emptying: people from earlier slots still inside</v>
      </c>
    </row>
    <row r="74" customFormat="false" ht="15" hidden="false" customHeight="false" outlineLevel="0" collapsed="false">
      <c r="A74" s="6" t="s">
        <v>267</v>
      </c>
      <c r="B74" s="6" t="s">
        <v>266</v>
      </c>
      <c r="C74" s="6" t="s">
        <v>128</v>
      </c>
      <c r="D74" s="35" t="n">
        <f aca="false">'Sim Data'!$E$362</f>
        <v>0</v>
      </c>
      <c r="E74" s="41" t="n">
        <f aca="false">'Sim Data'!$G$362</f>
        <v>0</v>
      </c>
      <c r="F74" s="38" t="n">
        <f aca="false">'Sim Data'!$I$362</f>
        <v>24.1343</v>
      </c>
      <c r="G74" s="33" t="n">
        <f aca="false">D74*E74</f>
        <v>0</v>
      </c>
      <c r="H74" s="34" t="str">
        <f aca="false">IF(MAX(F74,G74)&lt;10,"≈ 0",IF(G74=0,"no new arrivals",F74/G74))</f>
        <v>no new arrivals</v>
      </c>
      <c r="I74" s="40" t="str">
        <f aca="false">IF(D74=0,"",IF(ISNUMBER(H74),IF(ABS(H74-1)&lt;=0.15,"Steady: L = λW holds",IF(H74&lt;1,"Filling up: arrivals rising faster than people leave","Emptying: people from earlier slots still inside")),IF(G74=0,"Emptying: no new arrivals","Almost empty")))</f>
        <v/>
      </c>
    </row>
    <row r="75" customFormat="false" ht="15" hidden="false" customHeight="false" outlineLevel="0" collapsed="false">
      <c r="A75" s="6" t="s">
        <v>267</v>
      </c>
      <c r="B75" s="6" t="s">
        <v>266</v>
      </c>
      <c r="C75" s="6" t="s">
        <v>261</v>
      </c>
      <c r="D75" s="35" t="n">
        <f aca="false">'Sim Data'!$E$363</f>
        <v>0</v>
      </c>
      <c r="E75" s="41" t="n">
        <f aca="false">'Sim Data'!$G$363</f>
        <v>0</v>
      </c>
      <c r="F75" s="38" t="n">
        <f aca="false">'Sim Data'!$I$363</f>
        <v>3.5662</v>
      </c>
      <c r="G75" s="33" t="n">
        <f aca="false">D75*E75</f>
        <v>0</v>
      </c>
      <c r="H75" s="34" t="str">
        <f aca="false">IF(MAX(F75,G75)&lt;10,"≈ 0",IF(G75=0,"no new arrivals",F75/G75))</f>
        <v>≈ 0</v>
      </c>
      <c r="I75" s="40" t="str">
        <f aca="false">IF(D75=0,"",IF(ISNUMBER(H75),IF(ABS(H75-1)&lt;=0.15,"Steady: L = λW holds",IF(H75&lt;1,"Filling up: arrivals rising faster than people leave","Emptying: people from earlier slots still inside")),IF(G75=0,"Emptying: no new arrivals","Almost empty")))</f>
        <v/>
      </c>
    </row>
    <row r="76" customFormat="false" ht="15" hidden="false" customHeight="false" outlineLevel="0" collapsed="false">
      <c r="A76" s="6" t="s">
        <v>267</v>
      </c>
      <c r="B76" s="6" t="s">
        <v>266</v>
      </c>
      <c r="C76" s="6" t="s">
        <v>262</v>
      </c>
      <c r="D76" s="35" t="n">
        <f aca="false">'Sim Data'!$E$364</f>
        <v>0</v>
      </c>
      <c r="E76" s="41" t="n">
        <f aca="false">'Sim Data'!$G$364</f>
        <v>0</v>
      </c>
      <c r="F76" s="38" t="n">
        <f aca="false">'Sim Data'!$I$364</f>
        <v>0</v>
      </c>
      <c r="G76" s="33" t="n">
        <f aca="false">D76*E76</f>
        <v>0</v>
      </c>
      <c r="H76" s="34" t="str">
        <f aca="false">IF(MAX(F76,G76)&lt;10,"≈ 0",IF(G76=0,"no new arrivals",F76/G76))</f>
        <v>≈ 0</v>
      </c>
      <c r="I76" s="40" t="str">
        <f aca="false">IF(D76=0,"",IF(ISNUMBER(H76),IF(ABS(H76-1)&lt;=0.15,"Steady: L = λW holds",IF(H76&lt;1,"Filling up: arrivals rising faster than people leave","Emptying: people from earlier slots still inside")),IF(G76=0,"Emptying: no new arrivals","Almost empty")))</f>
        <v/>
      </c>
    </row>
    <row r="78" customFormat="false" ht="69.75" hidden="false" customHeight="true" outlineLevel="0" collapsed="false">
      <c r="A78" s="30" t="s">
        <v>317</v>
      </c>
      <c r="B78" s="30"/>
      <c r="C78" s="30"/>
      <c r="D78" s="30"/>
      <c r="E78" s="30"/>
      <c r="F78" s="30"/>
      <c r="G78" s="30"/>
      <c r="H78" s="30"/>
      <c r="I78" s="30"/>
    </row>
  </sheetData>
  <autoFilter ref="A4:I76"/>
  <mergeCells count="1">
    <mergeCell ref="A78:I7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3" min="2" style="0" width="16"/>
    <col collapsed="false" customWidth="true" hidden="false" outlineLevel="0" max="4" min="4" style="0" width="50"/>
  </cols>
  <sheetData>
    <row r="1" customFormat="false" ht="17.35" hidden="false" customHeight="false" outlineLevel="0" collapsed="false">
      <c r="A1" s="1" t="s">
        <v>318</v>
      </c>
      <c r="B1" s="2"/>
      <c r="C1" s="2"/>
      <c r="D1" s="2"/>
    </row>
    <row r="2" customFormat="false" ht="15" hidden="false" customHeight="false" outlineLevel="0" collapsed="false">
      <c r="A2" s="15" t="s">
        <v>319</v>
      </c>
    </row>
    <row r="4" customFormat="false" ht="30" hidden="false" customHeight="true" outlineLevel="0" collapsed="false">
      <c r="A4" s="16" t="s">
        <v>320</v>
      </c>
      <c r="B4" s="16" t="s">
        <v>252</v>
      </c>
      <c r="C4" s="16" t="s">
        <v>266</v>
      </c>
      <c r="D4" s="16" t="s">
        <v>321</v>
      </c>
    </row>
    <row r="5" customFormat="false" ht="15" hidden="false" customHeight="false" outlineLevel="0" collapsed="false">
      <c r="A5" s="17" t="s">
        <v>322</v>
      </c>
    </row>
    <row r="6" customFormat="false" ht="15" hidden="false" customHeight="false" outlineLevel="0" collapsed="false">
      <c r="A6" s="6" t="s">
        <v>323</v>
      </c>
      <c r="B6" s="41" t="n">
        <f aca="false">SUMPRODUCT('Sim Data'!$E$5:$E$22,'Sim Data'!$G$5:$G$22)/SUM('Sim Data'!$E$5:$E$22)*60</f>
        <v>1.99994460221252</v>
      </c>
      <c r="C6" s="41" t="n">
        <f aca="false">SUMPRODUCT('Sim Data'!$E$95:$E$112,'Sim Data'!$G$95:$G$112)/SUM('Sim Data'!$E$95:$E$112)*60</f>
        <v>2.00087797544475</v>
      </c>
      <c r="D6" s="12" t="s">
        <v>324</v>
      </c>
    </row>
    <row r="7" customFormat="false" ht="15" hidden="false" customHeight="false" outlineLevel="0" collapsed="false">
      <c r="A7" s="6" t="s">
        <v>325</v>
      </c>
      <c r="B7" s="35" t="n">
        <f aca="false">SUMPRODUCT('Sim Data'!$E$5:$E$22,'Sim Data'!$F$5:$F$22)/SUM('Sim Data'!$E$5:$E$22)</f>
        <v>0.11275418980206</v>
      </c>
      <c r="C7" s="35" t="n">
        <f aca="false">SUMPRODUCT('Sim Data'!$E$95:$E$112,'Sim Data'!$F$95:$F$112)/SUM('Sim Data'!$E$95:$E$112)</f>
        <v>0.00423592249227428</v>
      </c>
      <c r="D7" s="12" t="s">
        <v>326</v>
      </c>
    </row>
    <row r="8" customFormat="false" ht="15" hidden="false" customHeight="false" outlineLevel="0" collapsed="false">
      <c r="A8" s="6" t="s">
        <v>327</v>
      </c>
      <c r="B8" s="35" t="n">
        <f aca="false">SUMPRODUCT('Sim Data'!$E$23:$E$40,'Sim Data'!$F$23:$F$40)/SUM('Sim Data'!$E$23:$E$40)</f>
        <v>5.39055404781079</v>
      </c>
      <c r="C8" s="35" t="n">
        <f aca="false">SUMPRODUCT('Sim Data'!$E$113:$E$130,'Sim Data'!$F$113:$F$130)/SUM('Sim Data'!$E$113:$E$130)</f>
        <v>0.00651262841393135</v>
      </c>
      <c r="D8" s="12" t="s">
        <v>328</v>
      </c>
    </row>
    <row r="9" customFormat="false" ht="15" hidden="false" customHeight="false" outlineLevel="0" collapsed="false">
      <c r="A9" s="6" t="s">
        <v>329</v>
      </c>
      <c r="B9" s="35" t="n">
        <f aca="false">SUMPRODUCT('Sim Data'!$E$23:$E$40,'Sim Data'!$G$23:$G$40)/SUM('Sim Data'!$E$23:$E$40)</f>
        <v>0.0997319734667062</v>
      </c>
      <c r="C9" s="35" t="n">
        <f aca="false">SUMPRODUCT('Sim Data'!$E$113:$E$130,'Sim Data'!$G$113:$G$130)/SUM('Sim Data'!$E$113:$E$130)</f>
        <v>0.100084857596258</v>
      </c>
      <c r="D9" s="12" t="s">
        <v>330</v>
      </c>
    </row>
    <row r="10" customFormat="false" ht="15" hidden="false" customHeight="false" outlineLevel="0" collapsed="false">
      <c r="A10" s="6" t="s">
        <v>331</v>
      </c>
      <c r="B10" s="34" t="n">
        <f aca="false">B8+B9</f>
        <v>5.4902860212775</v>
      </c>
      <c r="C10" s="34" t="n">
        <f aca="false">C8+C9</f>
        <v>0.10659748601019</v>
      </c>
      <c r="D10" s="12" t="s">
        <v>191</v>
      </c>
    </row>
    <row r="11" customFormat="false" ht="15" hidden="false" customHeight="false" outlineLevel="0" collapsed="false">
      <c r="A11" s="6" t="s">
        <v>332</v>
      </c>
      <c r="B11" s="41" t="n">
        <f aca="false">SUMPRODUCT('Sim Data'!$E$41:$E$58,'Sim Data'!$G$41:$G$58)/SUM('Sim Data'!$E$41:$E$58)</f>
        <v>13.4945825922943</v>
      </c>
      <c r="C11" s="41" t="n">
        <f aca="false">SUMPRODUCT('Sim Data'!$E$131:$E$148,'Sim Data'!$G$131:$G$148)/SUM('Sim Data'!$E$131:$E$148)</f>
        <v>13.5152117932014</v>
      </c>
      <c r="D11" s="12" t="s">
        <v>333</v>
      </c>
    </row>
    <row r="12" customFormat="false" ht="15" hidden="false" customHeight="false" outlineLevel="0" collapsed="false">
      <c r="A12" s="6" t="s">
        <v>334</v>
      </c>
      <c r="B12" s="41" t="n">
        <f aca="false">SUMPRODUCT('Sim Data'!$E$77:$E$94,'Sim Data'!$G$77:$G$94)/SUM('Sim Data'!$E$77:$E$94)</f>
        <v>22.049532698258</v>
      </c>
      <c r="C12" s="41" t="n">
        <f aca="false">SUMPRODUCT('Sim Data'!$E$167:$E$184,'Sim Data'!$G$167:$G$184)/SUM('Sim Data'!$E$167:$E$184)</f>
        <v>16.5741194604527</v>
      </c>
      <c r="D12" s="12" t="s">
        <v>335</v>
      </c>
    </row>
    <row r="13" customFormat="false" ht="15" hidden="false" customHeight="false" outlineLevel="0" collapsed="false">
      <c r="A13" s="17" t="s">
        <v>336</v>
      </c>
    </row>
    <row r="14" customFormat="false" ht="15" hidden="false" customHeight="false" outlineLevel="0" collapsed="false">
      <c r="A14" s="6" t="s">
        <v>337</v>
      </c>
      <c r="B14" s="43" t="n">
        <f aca="false">Assumptions!$B$21</f>
        <v>900</v>
      </c>
      <c r="C14" s="43" t="n">
        <f aca="false">Assumptions!$B$22</f>
        <v>492</v>
      </c>
      <c r="D14" s="12" t="s">
        <v>338</v>
      </c>
    </row>
    <row r="15" customFormat="false" ht="15" hidden="false" customHeight="false" outlineLevel="0" collapsed="false">
      <c r="A15" s="6" t="s">
        <v>339</v>
      </c>
      <c r="B15" s="44" t="n">
        <f aca="false">B11+Assumptions!$B$25</f>
        <v>13.4945825922943</v>
      </c>
      <c r="C15" s="44" t="n">
        <f aca="false">C11+Assumptions!$B$25</f>
        <v>13.5152117932014</v>
      </c>
      <c r="D15" s="12" t="s">
        <v>340</v>
      </c>
    </row>
    <row r="16" customFormat="false" ht="15" hidden="false" customHeight="false" outlineLevel="0" collapsed="false">
      <c r="A16" s="6" t="s">
        <v>341</v>
      </c>
      <c r="B16" s="45" t="n">
        <f aca="false">60/B15</f>
        <v>4.4462286691447</v>
      </c>
      <c r="C16" s="45" t="n">
        <f aca="false">60/C15</f>
        <v>4.43944208334065</v>
      </c>
      <c r="D16" s="12" t="s">
        <v>220</v>
      </c>
    </row>
    <row r="17" customFormat="false" ht="15" hidden="false" customHeight="false" outlineLevel="0" collapsed="false">
      <c r="A17" s="6" t="s">
        <v>342</v>
      </c>
      <c r="B17" s="46" t="n">
        <f aca="false">B14/B15</f>
        <v>66.6934300371705</v>
      </c>
      <c r="C17" s="46" t="n">
        <f aca="false">C14/C15</f>
        <v>36.4034250833933</v>
      </c>
      <c r="D17" s="12" t="s">
        <v>343</v>
      </c>
    </row>
    <row r="18" customFormat="false" ht="15" hidden="false" customHeight="false" outlineLevel="0" collapsed="false">
      <c r="A18" s="6" t="s">
        <v>344</v>
      </c>
      <c r="B18" s="43" t="n">
        <f aca="false">B14*Assumptions!$B$8/B15</f>
        <v>12004.8174066907</v>
      </c>
      <c r="C18" s="43" t="n">
        <f aca="false">C14*Assumptions!$B$8/C15</f>
        <v>6552.6165150108</v>
      </c>
      <c r="D18" s="12" t="s">
        <v>345</v>
      </c>
    </row>
    <row r="19" customFormat="false" ht="15" hidden="false" customHeight="false" outlineLevel="0" collapsed="false">
      <c r="A19" s="6" t="s">
        <v>346</v>
      </c>
      <c r="B19" s="43" t="n">
        <f aca="false">'Sim Data'!$C$368</f>
        <v>2359.3</v>
      </c>
      <c r="C19" s="43" t="n">
        <f aca="false">'Sim Data'!$C$369</f>
        <v>598.6</v>
      </c>
      <c r="D19" s="12" t="s">
        <v>20</v>
      </c>
    </row>
    <row r="20" customFormat="false" ht="15" hidden="false" customHeight="false" outlineLevel="0" collapsed="false">
      <c r="A20" s="6" t="s">
        <v>347</v>
      </c>
      <c r="B20" s="34" t="n">
        <f aca="false">B19/B14</f>
        <v>2.62144444444444</v>
      </c>
      <c r="C20" s="34" t="n">
        <f aca="false">C19/C14</f>
        <v>1.21666666666667</v>
      </c>
      <c r="D20" s="12" t="s">
        <v>348</v>
      </c>
    </row>
    <row r="21" customFormat="false" ht="15" hidden="false" customHeight="false" outlineLevel="0" collapsed="false">
      <c r="A21" s="6" t="s">
        <v>349</v>
      </c>
      <c r="B21" s="43" t="n">
        <f aca="false">'Sim Data'!$D$368</f>
        <v>289.9</v>
      </c>
      <c r="C21" s="43" t="n">
        <f aca="false">'Sim Data'!$D$369</f>
        <v>110.5</v>
      </c>
      <c r="D21" s="12" t="s">
        <v>20</v>
      </c>
    </row>
    <row r="22" customFormat="false" ht="15" hidden="false" customHeight="false" outlineLevel="0" collapsed="false">
      <c r="A22" s="6" t="s">
        <v>350</v>
      </c>
      <c r="B22" s="31" t="n">
        <f aca="false">B21/B14</f>
        <v>0.322111111111111</v>
      </c>
      <c r="C22" s="31" t="n">
        <f aca="false">C21/C14</f>
        <v>0.224593495934959</v>
      </c>
      <c r="D22" s="12" t="s">
        <v>351</v>
      </c>
    </row>
    <row r="23" customFormat="false" ht="15" hidden="false" customHeight="false" outlineLevel="0" collapsed="false">
      <c r="A23" s="17" t="s">
        <v>352</v>
      </c>
    </row>
    <row r="24" customFormat="false" ht="15" hidden="false" customHeight="false" outlineLevel="0" collapsed="false">
      <c r="A24" s="6" t="s">
        <v>353</v>
      </c>
      <c r="B24" s="41" t="n">
        <f aca="false">Assumptions!$B$12*60/Assumptions!$B$13</f>
        <v>30</v>
      </c>
      <c r="C24" s="41" t="n">
        <f aca="false">Assumptions!$B$12*60/Assumptions!$B$13</f>
        <v>30</v>
      </c>
      <c r="D24" s="12" t="s">
        <v>354</v>
      </c>
    </row>
    <row r="25" customFormat="false" ht="15" hidden="false" customHeight="false" outlineLevel="0" collapsed="false">
      <c r="A25" s="6" t="s">
        <v>355</v>
      </c>
      <c r="B25" s="41" t="n">
        <f aca="false">Assumptions!$B$16*Assumptions!$B$17</f>
        <v>20</v>
      </c>
      <c r="C25" s="41" t="n">
        <f aca="false">Assumptions!$B$16*Assumptions!$B$17</f>
        <v>20</v>
      </c>
      <c r="D25" s="12" t="s">
        <v>356</v>
      </c>
    </row>
    <row r="26" customFormat="false" ht="15" hidden="false" customHeight="false" outlineLevel="0" collapsed="false">
      <c r="A26" s="6" t="s">
        <v>357</v>
      </c>
      <c r="B26" s="37" t="n">
        <f aca="false">B17</f>
        <v>66.6934300371705</v>
      </c>
      <c r="C26" s="37" t="n">
        <f aca="false">C17</f>
        <v>36.4034250833933</v>
      </c>
      <c r="D26" s="12" t="s">
        <v>358</v>
      </c>
    </row>
    <row r="27" customFormat="false" ht="15" hidden="false" customHeight="false" outlineLevel="0" collapsed="false">
      <c r="A27" s="6" t="s">
        <v>359</v>
      </c>
      <c r="B27" s="40" t="s">
        <v>360</v>
      </c>
      <c r="C27" s="40" t="s">
        <v>360</v>
      </c>
      <c r="D27" s="12" t="s">
        <v>361</v>
      </c>
    </row>
    <row r="28" customFormat="false" ht="15" hidden="false" customHeight="false" outlineLevel="0" collapsed="false">
      <c r="A28" s="6" t="s">
        <v>362</v>
      </c>
      <c r="B28" s="47" t="str">
        <f aca="false">IF(MIN(B24,B25,B26)=B25,"Serving stations",IF(MIN(B24,B25,B26)=B24,"Scanner","Seats"))</f>
        <v>Serving stations</v>
      </c>
      <c r="C28" s="47" t="str">
        <f aca="false">IF(MIN(C24,C25,C26)=C25,"Serving stations",IF(MIN(C24,C25,C26)=C24,"Scanner","Seats"))</f>
        <v>Serving stations</v>
      </c>
      <c r="D28" s="12" t="s">
        <v>363</v>
      </c>
    </row>
    <row r="29" customFormat="false" ht="15" hidden="false" customHeight="false" outlineLevel="0" collapsed="false">
      <c r="A29" s="6" t="s">
        <v>364</v>
      </c>
      <c r="B29" s="43" t="n">
        <f aca="false">MIN(B24,B25,B26)*Assumptions!$B$8</f>
        <v>3600</v>
      </c>
      <c r="C29" s="43" t="n">
        <f aca="false">MIN(C24,C25,C26)*Assumptions!$B$8</f>
        <v>3600</v>
      </c>
      <c r="D29" s="12" t="s">
        <v>365</v>
      </c>
    </row>
    <row r="30" customFormat="false" ht="15" hidden="false" customHeight="false" outlineLevel="0" collapsed="false">
      <c r="A30" s="6" t="s">
        <v>366</v>
      </c>
      <c r="B30" s="41" t="n">
        <f aca="false">'Sim Data'!$E$368</f>
        <v>2.27</v>
      </c>
      <c r="C30" s="41" t="n">
        <f aca="false">'Sim Data'!$E$369</f>
        <v>0</v>
      </c>
      <c r="D30" s="12" t="s">
        <v>367</v>
      </c>
    </row>
    <row r="31" customFormat="false" ht="15" hidden="false" customHeight="false" outlineLevel="0" collapsed="false">
      <c r="A31" s="6" t="s">
        <v>368</v>
      </c>
      <c r="B31" s="43" t="n">
        <f aca="false">B29*(1-B30/Assumptions!$B$8)</f>
        <v>3554.6</v>
      </c>
      <c r="C31" s="43" t="n">
        <f aca="false">C29*(1-C30/Assumptions!$B$8)</f>
        <v>3600</v>
      </c>
      <c r="D31" s="12" t="s">
        <v>369</v>
      </c>
    </row>
    <row r="32" customFormat="false" ht="15" hidden="false" customHeight="false" outlineLevel="0" collapsed="false">
      <c r="A32" s="6" t="s">
        <v>370</v>
      </c>
      <c r="B32" s="31" t="n">
        <f aca="false">B19/B29</f>
        <v>0.655361111111111</v>
      </c>
      <c r="C32" s="31" t="n">
        <f aca="false">C19/C29</f>
        <v>0.166277777777778</v>
      </c>
      <c r="D32" s="12" t="s">
        <v>371</v>
      </c>
    </row>
    <row r="33" customFormat="false" ht="15" hidden="false" customHeight="false" outlineLevel="0" collapsed="false">
      <c r="A33" s="6" t="s">
        <v>372</v>
      </c>
      <c r="B33" s="39" t="n">
        <f aca="false">B19/B31</f>
        <v>0.663731502841389</v>
      </c>
      <c r="C33" s="39" t="n">
        <f aca="false">C19/C31</f>
        <v>0.166277777777778</v>
      </c>
      <c r="D33" s="12" t="s">
        <v>371</v>
      </c>
    </row>
    <row r="34" customFormat="false" ht="15" hidden="false" customHeight="false" outlineLevel="0" collapsed="false">
      <c r="A34" s="6" t="s">
        <v>373</v>
      </c>
      <c r="B34" s="41" t="n">
        <f aca="false">MAX('Sim Data'!$E$23:$E$40)</f>
        <v>28.97</v>
      </c>
      <c r="C34" s="41" t="n">
        <f aca="false">MAX('Sim Data'!$E$113:$E$130)</f>
        <v>7.54</v>
      </c>
      <c r="D34" s="12" t="s">
        <v>20</v>
      </c>
    </row>
    <row r="35" customFormat="false" ht="15" hidden="false" customHeight="false" outlineLevel="0" collapsed="false">
      <c r="A35" s="6" t="s">
        <v>374</v>
      </c>
      <c r="B35" s="39" t="n">
        <f aca="false">B34/B25</f>
        <v>1.4485</v>
      </c>
      <c r="C35" s="39" t="n">
        <f aca="false">C34/C25</f>
        <v>0.377</v>
      </c>
      <c r="D35" s="12" t="s">
        <v>375</v>
      </c>
    </row>
    <row r="37" customFormat="false" ht="69.75" hidden="false" customHeight="true" outlineLevel="0" collapsed="false">
      <c r="A37" s="30" t="s">
        <v>376</v>
      </c>
      <c r="B37" s="30"/>
      <c r="C37" s="30"/>
      <c r="D37" s="30"/>
    </row>
  </sheetData>
  <mergeCells count="1">
    <mergeCell ref="A37:D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9" min="2" style="0" width="14"/>
  </cols>
  <sheetData>
    <row r="1" customFormat="false" ht="17.35" hidden="false" customHeight="false" outlineLevel="0" collapsed="false">
      <c r="A1" s="1" t="s">
        <v>377</v>
      </c>
      <c r="B1" s="2"/>
      <c r="C1" s="2"/>
      <c r="D1" s="2"/>
      <c r="E1" s="2"/>
      <c r="F1" s="2"/>
      <c r="G1" s="2"/>
      <c r="H1" s="2"/>
      <c r="I1" s="2"/>
    </row>
    <row r="2" customFormat="false" ht="15" hidden="false" customHeight="false" outlineLevel="0" collapsed="false">
      <c r="A2" s="15" t="s">
        <v>378</v>
      </c>
    </row>
    <row r="4" customFormat="false" ht="15" hidden="false" customHeight="false" outlineLevel="0" collapsed="false">
      <c r="A4" s="4" t="s">
        <v>379</v>
      </c>
    </row>
    <row r="5" customFormat="false" ht="27.75" hidden="false" customHeight="true" outlineLevel="0" collapsed="false">
      <c r="A5" s="48" t="s">
        <v>380</v>
      </c>
      <c r="B5" s="48"/>
      <c r="C5" s="48"/>
      <c r="D5" s="48"/>
      <c r="E5" s="48"/>
      <c r="F5" s="48"/>
      <c r="G5" s="48"/>
      <c r="H5" s="48"/>
      <c r="I5" s="48"/>
    </row>
    <row r="6" customFormat="false" ht="27.75" hidden="false" customHeight="true" outlineLevel="0" collapsed="false">
      <c r="A6" s="48" t="s">
        <v>381</v>
      </c>
      <c r="B6" s="48"/>
      <c r="C6" s="48"/>
      <c r="D6" s="48"/>
      <c r="E6" s="48"/>
      <c r="F6" s="48"/>
      <c r="G6" s="48"/>
      <c r="H6" s="48"/>
      <c r="I6" s="48"/>
    </row>
    <row r="7" customFormat="false" ht="27.75" hidden="false" customHeight="true" outlineLevel="0" collapsed="false">
      <c r="A7" s="48" t="s">
        <v>382</v>
      </c>
      <c r="B7" s="48"/>
      <c r="C7" s="48"/>
      <c r="D7" s="48"/>
      <c r="E7" s="48"/>
      <c r="F7" s="48"/>
      <c r="G7" s="48"/>
      <c r="H7" s="48"/>
      <c r="I7" s="48"/>
    </row>
    <row r="8" customFormat="false" ht="27.75" hidden="false" customHeight="true" outlineLevel="0" collapsed="false">
      <c r="A8" s="48" t="s">
        <v>383</v>
      </c>
      <c r="B8" s="48"/>
      <c r="C8" s="48"/>
      <c r="D8" s="48"/>
      <c r="E8" s="48"/>
      <c r="F8" s="48"/>
      <c r="G8" s="48"/>
      <c r="H8" s="48"/>
      <c r="I8" s="48"/>
    </row>
    <row r="9" customFormat="false" ht="27.75" hidden="false" customHeight="true" outlineLevel="0" collapsed="false">
      <c r="A9" s="48" t="s">
        <v>384</v>
      </c>
      <c r="B9" s="48"/>
      <c r="C9" s="48"/>
      <c r="D9" s="48"/>
      <c r="E9" s="48"/>
      <c r="F9" s="48"/>
      <c r="G9" s="48"/>
      <c r="H9" s="48"/>
      <c r="I9" s="48"/>
    </row>
    <row r="10" customFormat="false" ht="27.75" hidden="false" customHeight="true" outlineLevel="0" collapsed="false">
      <c r="A10" s="48" t="s">
        <v>385</v>
      </c>
      <c r="B10" s="48"/>
      <c r="C10" s="48"/>
      <c r="D10" s="48"/>
      <c r="E10" s="48"/>
      <c r="F10" s="48"/>
      <c r="G10" s="48"/>
      <c r="H10" s="48"/>
      <c r="I10" s="48"/>
    </row>
    <row r="11" customFormat="false" ht="27.75" hidden="false" customHeight="true" outlineLevel="0" collapsed="false">
      <c r="A11" s="48" t="s">
        <v>386</v>
      </c>
      <c r="B11" s="48"/>
      <c r="C11" s="48"/>
      <c r="D11" s="48"/>
      <c r="E11" s="48"/>
      <c r="F11" s="48"/>
      <c r="G11" s="48"/>
      <c r="H11" s="48"/>
      <c r="I11" s="48"/>
    </row>
    <row r="12" customFormat="false" ht="27.75" hidden="false" customHeight="true" outlineLevel="0" collapsed="false">
      <c r="A12" s="48" t="s">
        <v>387</v>
      </c>
      <c r="B12" s="48"/>
      <c r="C12" s="48"/>
      <c r="D12" s="48"/>
      <c r="E12" s="48"/>
      <c r="F12" s="48"/>
      <c r="G12" s="48"/>
      <c r="H12" s="48"/>
      <c r="I12" s="48"/>
    </row>
    <row r="14" customFormat="false" ht="15" hidden="false" customHeight="false" outlineLevel="0" collapsed="false">
      <c r="A14" s="4" t="s">
        <v>388</v>
      </c>
    </row>
    <row r="15" customFormat="false" ht="15" hidden="false" customHeight="false" outlineLevel="0" collapsed="false">
      <c r="A15" s="6" t="s">
        <v>389</v>
      </c>
      <c r="B15" s="24" t="n">
        <v>6</v>
      </c>
    </row>
    <row r="16" customFormat="false" ht="15" hidden="false" customHeight="false" outlineLevel="0" collapsed="false">
      <c r="A16" s="6" t="s">
        <v>390</v>
      </c>
      <c r="B16" s="24" t="n">
        <v>1</v>
      </c>
    </row>
    <row r="17" customFormat="false" ht="15" hidden="false" customHeight="false" outlineLevel="0" collapsed="false">
      <c r="A17" s="6" t="s">
        <v>391</v>
      </c>
      <c r="B17" s="41" t="n">
        <f aca="false">Assumptions!$B$31</f>
        <v>0.5</v>
      </c>
    </row>
    <row r="18" customFormat="false" ht="15" hidden="false" customHeight="false" outlineLevel="0" collapsed="false">
      <c r="A18" s="6" t="s">
        <v>392</v>
      </c>
      <c r="B18" s="41" t="n">
        <f aca="false">Assumptions!$B$32</f>
        <v>2</v>
      </c>
    </row>
    <row r="19" customFormat="false" ht="15" hidden="false" customHeight="false" outlineLevel="0" collapsed="false">
      <c r="A19" s="6" t="s">
        <v>393</v>
      </c>
      <c r="B19" s="49" t="n">
        <f aca="false">Assumptions!$B$7</f>
        <v>0.797</v>
      </c>
    </row>
    <row r="20" customFormat="false" ht="15" hidden="false" customHeight="false" outlineLevel="0" collapsed="false">
      <c r="A20" s="6" t="s">
        <v>394</v>
      </c>
      <c r="B20" s="50" t="n">
        <v>0.6</v>
      </c>
    </row>
    <row r="21" customFormat="false" ht="15" hidden="false" customHeight="false" outlineLevel="0" collapsed="false">
      <c r="A21" s="6" t="s">
        <v>395</v>
      </c>
      <c r="B21" s="49" t="n">
        <f aca="false">Assumptions!$B$30</f>
        <v>0.6</v>
      </c>
    </row>
    <row r="23" customFormat="false" ht="15" hidden="false" customHeight="false" outlineLevel="0" collapsed="false">
      <c r="A23" s="6" t="s">
        <v>396</v>
      </c>
      <c r="B23" s="46" t="n">
        <f aca="false">B15-B16-B17</f>
        <v>4.5</v>
      </c>
    </row>
    <row r="24" customFormat="false" ht="15" hidden="false" customHeight="false" outlineLevel="0" collapsed="false">
      <c r="A24" s="6" t="s">
        <v>397</v>
      </c>
      <c r="B24" s="31" t="n">
        <f aca="false">IF(B23&gt;=B18,MIN(1,MAX(0,(B19-B20)/(B19*B21))),0)</f>
        <v>0.411961522375575</v>
      </c>
    </row>
    <row r="25" customFormat="false" ht="15" hidden="false" customHeight="false" outlineLevel="0" collapsed="false">
      <c r="A25" s="6" t="s">
        <v>398</v>
      </c>
      <c r="B25" s="47" t="str">
        <f aca="false">IF(B24&gt;=0.5,"Munch is faster right now →",IF(B24&gt;=0.15,"In a hurry? Munch is "&amp;TEXT(B23,"0")&amp;" min faster →","Come on in"))</f>
        <v>In a hurry? Munch is 5 min faster →</v>
      </c>
      <c r="C25" s="47"/>
      <c r="D25" s="47"/>
      <c r="E25" s="47"/>
    </row>
    <row r="27" customFormat="false" ht="15" hidden="false" customHeight="false" outlineLevel="0" collapsed="false">
      <c r="A27" s="4" t="s">
        <v>399</v>
      </c>
    </row>
    <row r="28" customFormat="false" ht="43.5" hidden="false" customHeight="true" outlineLevel="0" collapsed="false">
      <c r="A28" s="16" t="s">
        <v>400</v>
      </c>
      <c r="B28" s="16" t="s">
        <v>401</v>
      </c>
      <c r="C28" s="16" t="s">
        <v>402</v>
      </c>
      <c r="D28" s="16" t="s">
        <v>403</v>
      </c>
      <c r="E28" s="16" t="s">
        <v>404</v>
      </c>
      <c r="F28" s="16" t="s">
        <v>405</v>
      </c>
      <c r="G28" s="16" t="s">
        <v>406</v>
      </c>
      <c r="H28" s="16" t="s">
        <v>407</v>
      </c>
      <c r="I28" s="16" t="s">
        <v>408</v>
      </c>
    </row>
    <row r="29" customFormat="false" ht="15" hidden="false" customHeight="false" outlineLevel="0" collapsed="false">
      <c r="A29" s="51" t="s">
        <v>257</v>
      </c>
      <c r="B29" s="29" t="n">
        <v>17.8</v>
      </c>
      <c r="C29" s="29" t="n">
        <v>0.5</v>
      </c>
      <c r="D29" s="29" t="n">
        <v>2</v>
      </c>
      <c r="E29" s="29" t="n">
        <v>0.1</v>
      </c>
      <c r="F29" s="52" t="n">
        <v>0.452</v>
      </c>
      <c r="G29" s="52" t="n">
        <v>0</v>
      </c>
      <c r="H29" s="29" t="n">
        <v>0</v>
      </c>
      <c r="I29" s="51" t="s">
        <v>409</v>
      </c>
    </row>
    <row r="30" customFormat="false" ht="15" hidden="false" customHeight="false" outlineLevel="0" collapsed="false">
      <c r="A30" s="51" t="s">
        <v>137</v>
      </c>
      <c r="B30" s="29" t="n">
        <v>20.2</v>
      </c>
      <c r="C30" s="29" t="n">
        <v>2.2</v>
      </c>
      <c r="D30" s="29" t="n">
        <v>6.6</v>
      </c>
      <c r="E30" s="29" t="n">
        <v>0.1</v>
      </c>
      <c r="F30" s="52" t="n">
        <v>0.195</v>
      </c>
      <c r="G30" s="52" t="n">
        <v>0</v>
      </c>
      <c r="H30" s="29" t="n">
        <v>0</v>
      </c>
      <c r="I30" s="51" t="s">
        <v>409</v>
      </c>
    </row>
    <row r="31" customFormat="false" ht="15" hidden="false" customHeight="false" outlineLevel="0" collapsed="false">
      <c r="A31" s="51" t="s">
        <v>259</v>
      </c>
      <c r="B31" s="29" t="n">
        <v>22.6</v>
      </c>
      <c r="C31" s="29" t="n">
        <v>2.4</v>
      </c>
      <c r="D31" s="29" t="n">
        <v>8.8</v>
      </c>
      <c r="E31" s="29" t="n">
        <v>0.3</v>
      </c>
      <c r="F31" s="52" t="n">
        <v>0.346</v>
      </c>
      <c r="G31" s="52" t="n">
        <v>0</v>
      </c>
      <c r="H31" s="29" t="n">
        <v>0</v>
      </c>
      <c r="I31" s="51" t="s">
        <v>409</v>
      </c>
    </row>
    <row r="32" customFormat="false" ht="15" hidden="false" customHeight="false" outlineLevel="0" collapsed="false">
      <c r="A32" s="51" t="s">
        <v>410</v>
      </c>
      <c r="B32" s="29" t="n">
        <v>23.8</v>
      </c>
      <c r="C32" s="29" t="n">
        <v>3.5</v>
      </c>
      <c r="D32" s="29" t="n">
        <v>13.2</v>
      </c>
      <c r="E32" s="29" t="n">
        <v>0.5</v>
      </c>
      <c r="F32" s="52" t="n">
        <v>0.293</v>
      </c>
      <c r="G32" s="52" t="n">
        <v>0.632</v>
      </c>
      <c r="H32" s="29" t="n">
        <v>2.5</v>
      </c>
      <c r="I32" s="51" t="s">
        <v>411</v>
      </c>
    </row>
    <row r="33" customFormat="false" ht="15" hidden="false" customHeight="false" outlineLevel="0" collapsed="false">
      <c r="A33" s="51" t="s">
        <v>260</v>
      </c>
      <c r="B33" s="29" t="n">
        <v>20.2</v>
      </c>
      <c r="C33" s="29" t="n">
        <v>3.1</v>
      </c>
      <c r="D33" s="29" t="n">
        <v>17.2</v>
      </c>
      <c r="E33" s="29" t="n">
        <v>0.4</v>
      </c>
      <c r="F33" s="52" t="n">
        <v>0.204</v>
      </c>
      <c r="G33" s="52" t="n">
        <v>0.745</v>
      </c>
      <c r="H33" s="29" t="n">
        <v>2.2</v>
      </c>
      <c r="I33" s="51" t="s">
        <v>411</v>
      </c>
    </row>
    <row r="34" customFormat="false" ht="15" hidden="false" customHeight="false" outlineLevel="0" collapsed="false">
      <c r="A34" s="51" t="s">
        <v>412</v>
      </c>
      <c r="B34" s="29" t="n">
        <v>18.2</v>
      </c>
      <c r="C34" s="29" t="n">
        <v>2.1</v>
      </c>
      <c r="D34" s="29" t="n">
        <v>12.8</v>
      </c>
      <c r="E34" s="29" t="n">
        <v>0.2</v>
      </c>
      <c r="F34" s="52" t="n">
        <v>0.184</v>
      </c>
      <c r="G34" s="52" t="n">
        <v>0</v>
      </c>
      <c r="H34" s="29" t="n">
        <v>0</v>
      </c>
      <c r="I34" s="51" t="s">
        <v>409</v>
      </c>
    </row>
    <row r="36" customFormat="false" ht="15" hidden="false" customHeight="false" outlineLevel="0" collapsed="false">
      <c r="A36" s="4" t="s">
        <v>413</v>
      </c>
    </row>
    <row r="37" customFormat="false" ht="30" hidden="false" customHeight="true" outlineLevel="0" collapsed="false">
      <c r="A37" s="16" t="s">
        <v>245</v>
      </c>
      <c r="B37" s="16" t="s">
        <v>414</v>
      </c>
      <c r="C37" s="16" t="s">
        <v>415</v>
      </c>
      <c r="D37" s="16" t="s">
        <v>416</v>
      </c>
      <c r="E37" s="16" t="s">
        <v>417</v>
      </c>
      <c r="F37" s="16" t="s">
        <v>418</v>
      </c>
    </row>
    <row r="38" customFormat="false" ht="15" hidden="false" customHeight="true" outlineLevel="0" collapsed="false">
      <c r="A38" s="6" t="s">
        <v>254</v>
      </c>
      <c r="B38" s="53" t="n">
        <v>0</v>
      </c>
      <c r="C38" s="53" t="n">
        <v>0</v>
      </c>
      <c r="D38" s="53" t="n">
        <v>0</v>
      </c>
      <c r="E38" s="39" t="n">
        <f aca="false">IF(B38&gt;0,C38/B38,0)</f>
        <v>0</v>
      </c>
      <c r="F38" s="6"/>
      <c r="G38" s="30" t="s">
        <v>419</v>
      </c>
      <c r="H38" s="30"/>
      <c r="I38" s="30"/>
    </row>
    <row r="39" customFormat="false" ht="15" hidden="false" customHeight="false" outlineLevel="0" collapsed="false">
      <c r="A39" s="6" t="s">
        <v>255</v>
      </c>
      <c r="B39" s="53" t="n">
        <v>0</v>
      </c>
      <c r="C39" s="53" t="n">
        <v>0</v>
      </c>
      <c r="D39" s="53" t="n">
        <v>0</v>
      </c>
      <c r="E39" s="39" t="n">
        <f aca="false">IF(B39&gt;0,C39/B39,0)</f>
        <v>0</v>
      </c>
      <c r="F39" s="6"/>
      <c r="G39" s="30"/>
      <c r="H39" s="30"/>
      <c r="I39" s="30"/>
    </row>
    <row r="40" customFormat="false" ht="15" hidden="false" customHeight="false" outlineLevel="0" collapsed="false">
      <c r="A40" s="6" t="s">
        <v>256</v>
      </c>
      <c r="B40" s="53" t="n">
        <v>0</v>
      </c>
      <c r="C40" s="53" t="n">
        <v>0</v>
      </c>
      <c r="D40" s="53" t="n">
        <v>0</v>
      </c>
      <c r="E40" s="39" t="n">
        <f aca="false">IF(B40&gt;0,C40/B40,0)</f>
        <v>0</v>
      </c>
      <c r="F40" s="6"/>
      <c r="G40" s="30"/>
      <c r="H40" s="30"/>
      <c r="I40" s="30"/>
    </row>
    <row r="41" customFormat="false" ht="15" hidden="false" customHeight="false" outlineLevel="0" collapsed="false">
      <c r="A41" s="6" t="s">
        <v>124</v>
      </c>
      <c r="B41" s="53" t="n">
        <v>184</v>
      </c>
      <c r="C41" s="53" t="n">
        <v>0</v>
      </c>
      <c r="D41" s="53" t="n">
        <v>0</v>
      </c>
      <c r="E41" s="39" t="n">
        <f aca="false">IF(B41&gt;0,C41/B41,0)</f>
        <v>0</v>
      </c>
      <c r="F41" s="6" t="s">
        <v>420</v>
      </c>
      <c r="G41" s="30"/>
      <c r="H41" s="30"/>
      <c r="I41" s="30"/>
    </row>
    <row r="42" customFormat="false" ht="15" hidden="false" customHeight="false" outlineLevel="0" collapsed="false">
      <c r="A42" s="6" t="s">
        <v>257</v>
      </c>
      <c r="B42" s="53" t="n">
        <v>234.1</v>
      </c>
      <c r="C42" s="53" t="n">
        <v>0</v>
      </c>
      <c r="D42" s="53" t="n">
        <v>0</v>
      </c>
      <c r="E42" s="39" t="n">
        <f aca="false">IF(B42&gt;0,C42/B42,0)</f>
        <v>0</v>
      </c>
      <c r="F42" s="6" t="s">
        <v>420</v>
      </c>
      <c r="G42" s="30"/>
      <c r="H42" s="30"/>
      <c r="I42" s="30"/>
    </row>
    <row r="43" customFormat="false" ht="15" hidden="false" customHeight="false" outlineLevel="0" collapsed="false">
      <c r="A43" s="6" t="s">
        <v>258</v>
      </c>
      <c r="B43" s="53" t="n">
        <v>236.1</v>
      </c>
      <c r="C43" s="53" t="n">
        <v>4</v>
      </c>
      <c r="D43" s="53" t="n">
        <v>2.1</v>
      </c>
      <c r="E43" s="39" t="n">
        <f aca="false">IF(B43&gt;0,C43/B43,0)</f>
        <v>0.0169419737399407</v>
      </c>
      <c r="F43" s="6" t="s">
        <v>420</v>
      </c>
      <c r="G43" s="30"/>
      <c r="H43" s="30"/>
      <c r="I43" s="30"/>
    </row>
    <row r="44" customFormat="false" ht="15" hidden="false" customHeight="false" outlineLevel="0" collapsed="false">
      <c r="A44" s="6" t="s">
        <v>133</v>
      </c>
      <c r="B44" s="53" t="n">
        <v>286.4</v>
      </c>
      <c r="C44" s="53" t="n">
        <v>23.8</v>
      </c>
      <c r="D44" s="53" t="n">
        <v>13.8</v>
      </c>
      <c r="E44" s="39" t="n">
        <f aca="false">IF(B44&gt;0,C44/B44,0)</f>
        <v>0.0831005586592179</v>
      </c>
      <c r="F44" s="6" t="s">
        <v>421</v>
      </c>
      <c r="G44" s="30"/>
      <c r="H44" s="30"/>
      <c r="I44" s="30"/>
    </row>
    <row r="45" customFormat="false" ht="15" hidden="false" customHeight="false" outlineLevel="0" collapsed="false">
      <c r="A45" s="6" t="s">
        <v>137</v>
      </c>
      <c r="B45" s="53" t="n">
        <v>257.1</v>
      </c>
      <c r="C45" s="53" t="n">
        <v>30.8</v>
      </c>
      <c r="D45" s="53" t="n">
        <v>18.7</v>
      </c>
      <c r="E45" s="39" t="n">
        <f aca="false">IF(B45&gt;0,C45/B45,0)</f>
        <v>0.119797744068456</v>
      </c>
      <c r="F45" s="6" t="s">
        <v>422</v>
      </c>
      <c r="G45" s="30"/>
      <c r="H45" s="30"/>
      <c r="I45" s="30"/>
    </row>
    <row r="46" customFormat="false" ht="15" hidden="false" customHeight="false" outlineLevel="0" collapsed="false">
      <c r="A46" s="6" t="s">
        <v>140</v>
      </c>
      <c r="B46" s="53" t="n">
        <v>212.3</v>
      </c>
      <c r="C46" s="53" t="n">
        <v>24.8</v>
      </c>
      <c r="D46" s="53" t="n">
        <v>14.2</v>
      </c>
      <c r="E46" s="39" t="n">
        <f aca="false">IF(B46&gt;0,C46/B46,0)</f>
        <v>0.116815826660386</v>
      </c>
      <c r="F46" s="6" t="s">
        <v>423</v>
      </c>
      <c r="G46" s="30"/>
      <c r="H46" s="30"/>
      <c r="I46" s="30"/>
    </row>
    <row r="47" customFormat="false" ht="15" hidden="false" customHeight="false" outlineLevel="0" collapsed="false">
      <c r="A47" s="6" t="s">
        <v>125</v>
      </c>
      <c r="B47" s="53" t="n">
        <v>283.8</v>
      </c>
      <c r="C47" s="53" t="n">
        <v>22.2</v>
      </c>
      <c r="D47" s="53" t="n">
        <v>13.2</v>
      </c>
      <c r="E47" s="39" t="n">
        <f aca="false">IF(B47&gt;0,C47/B47,0)</f>
        <v>0.0782241014799154</v>
      </c>
      <c r="F47" s="6" t="s">
        <v>424</v>
      </c>
    </row>
    <row r="48" customFormat="false" ht="15" hidden="false" customHeight="false" outlineLevel="0" collapsed="false">
      <c r="A48" s="6" t="s">
        <v>259</v>
      </c>
      <c r="B48" s="53" t="n">
        <v>369.9</v>
      </c>
      <c r="C48" s="53" t="n">
        <v>131.8</v>
      </c>
      <c r="D48" s="53" t="n">
        <v>83</v>
      </c>
      <c r="E48" s="39" t="n">
        <f aca="false">IF(B48&gt;0,C48/B48,0)</f>
        <v>0.356312516896459</v>
      </c>
      <c r="F48" s="6" t="s">
        <v>424</v>
      </c>
    </row>
    <row r="49" customFormat="false" ht="15" hidden="false" customHeight="false" outlineLevel="0" collapsed="false">
      <c r="A49" s="6" t="s">
        <v>260</v>
      </c>
      <c r="B49" s="53" t="n">
        <v>356.8</v>
      </c>
      <c r="C49" s="53" t="n">
        <v>140.4</v>
      </c>
      <c r="D49" s="53" t="n">
        <v>86</v>
      </c>
      <c r="E49" s="39" t="n">
        <f aca="false">IF(B49&gt;0,C49/B49,0)</f>
        <v>0.393497757847534</v>
      </c>
      <c r="F49" s="6" t="s">
        <v>424</v>
      </c>
    </row>
    <row r="50" customFormat="false" ht="15" hidden="false" customHeight="false" outlineLevel="0" collapsed="false">
      <c r="A50" s="6" t="s">
        <v>134</v>
      </c>
      <c r="B50" s="53" t="n">
        <v>266.7</v>
      </c>
      <c r="C50" s="53" t="n">
        <v>68.8</v>
      </c>
      <c r="D50" s="53" t="n">
        <v>41</v>
      </c>
      <c r="E50" s="39" t="n">
        <f aca="false">IF(B50&gt;0,C50/B50,0)</f>
        <v>0.257967754030746</v>
      </c>
      <c r="F50" s="6" t="s">
        <v>425</v>
      </c>
    </row>
    <row r="51" customFormat="false" ht="15" hidden="false" customHeight="false" outlineLevel="0" collapsed="false">
      <c r="A51" s="6" t="s">
        <v>138</v>
      </c>
      <c r="B51" s="53" t="n">
        <v>180.8</v>
      </c>
      <c r="C51" s="53" t="n">
        <v>24.2</v>
      </c>
      <c r="D51" s="53" t="n">
        <v>14.1</v>
      </c>
      <c r="E51" s="39" t="n">
        <f aca="false">IF(B51&gt;0,C51/B51,0)</f>
        <v>0.133849557522124</v>
      </c>
      <c r="F51" s="6" t="s">
        <v>426</v>
      </c>
    </row>
    <row r="52" customFormat="false" ht="15" hidden="false" customHeight="false" outlineLevel="0" collapsed="false">
      <c r="A52" s="6" t="s">
        <v>141</v>
      </c>
      <c r="B52" s="53" t="n">
        <v>90</v>
      </c>
      <c r="C52" s="53" t="n">
        <v>0</v>
      </c>
      <c r="D52" s="53" t="n">
        <v>0</v>
      </c>
      <c r="E52" s="39" t="n">
        <f aca="false">IF(B52&gt;0,C52/B52,0)</f>
        <v>0</v>
      </c>
      <c r="F52" s="6" t="s">
        <v>427</v>
      </c>
    </row>
    <row r="53" customFormat="false" ht="15" hidden="false" customHeight="false" outlineLevel="0" collapsed="false">
      <c r="A53" s="6" t="s">
        <v>128</v>
      </c>
      <c r="B53" s="53" t="n">
        <v>0</v>
      </c>
      <c r="C53" s="53" t="n">
        <v>0</v>
      </c>
      <c r="D53" s="53" t="n">
        <v>0</v>
      </c>
      <c r="E53" s="39" t="n">
        <f aca="false">IF(B53&gt;0,C53/B53,0)</f>
        <v>0</v>
      </c>
      <c r="F53" s="6"/>
    </row>
    <row r="54" customFormat="false" ht="15" hidden="false" customHeight="false" outlineLevel="0" collapsed="false">
      <c r="A54" s="6" t="s">
        <v>261</v>
      </c>
      <c r="B54" s="53" t="n">
        <v>0</v>
      </c>
      <c r="C54" s="53" t="n">
        <v>0</v>
      </c>
      <c r="D54" s="53" t="n">
        <v>0</v>
      </c>
      <c r="E54" s="39" t="n">
        <f aca="false">IF(B54&gt;0,C54/B54,0)</f>
        <v>0</v>
      </c>
      <c r="F54" s="6"/>
    </row>
    <row r="55" customFormat="false" ht="15" hidden="false" customHeight="false" outlineLevel="0" collapsed="false">
      <c r="A55" s="6" t="s">
        <v>262</v>
      </c>
      <c r="B55" s="53" t="n">
        <v>0</v>
      </c>
      <c r="C55" s="53" t="n">
        <v>0</v>
      </c>
      <c r="D55" s="53" t="n">
        <v>0</v>
      </c>
      <c r="E55" s="39" t="n">
        <f aca="false">IF(B55&gt;0,C55/B55,0)</f>
        <v>0</v>
      </c>
      <c r="F55" s="6"/>
    </row>
    <row r="56" customFormat="false" ht="15" hidden="false" customHeight="false" outlineLevel="0" collapsed="false">
      <c r="A56" s="6" t="s">
        <v>428</v>
      </c>
      <c r="B56" s="54" t="n">
        <f aca="false">SUM(B38:B55)</f>
        <v>2958</v>
      </c>
      <c r="C56" s="54" t="n">
        <f aca="false">SUM(C38:C55)</f>
        <v>470.8</v>
      </c>
      <c r="D56" s="54" t="n">
        <f aca="false">SUM(D38:D55)</f>
        <v>286.1</v>
      </c>
    </row>
    <row r="59" customFormat="false" ht="15" hidden="false" customHeight="false" outlineLevel="0" collapsed="false">
      <c r="A59" s="4" t="s">
        <v>429</v>
      </c>
    </row>
    <row r="60" customFormat="false" ht="43.5" hidden="false" customHeight="true" outlineLevel="0" collapsed="false">
      <c r="A60" s="16" t="s">
        <v>430</v>
      </c>
      <c r="B60" s="16" t="s">
        <v>431</v>
      </c>
      <c r="C60" s="16" t="s">
        <v>432</v>
      </c>
      <c r="D60" s="16" t="s">
        <v>433</v>
      </c>
      <c r="E60" s="16" t="s">
        <v>434</v>
      </c>
      <c r="F60" s="16" t="s">
        <v>435</v>
      </c>
      <c r="G60" s="16" t="s">
        <v>436</v>
      </c>
      <c r="H60" s="16" t="s">
        <v>437</v>
      </c>
      <c r="I60" s="16" t="s">
        <v>438</v>
      </c>
    </row>
    <row r="61" customFormat="false" ht="27.75" hidden="false" customHeight="true" outlineLevel="0" collapsed="false">
      <c r="A61" s="12" t="s">
        <v>439</v>
      </c>
      <c r="B61" s="27" t="n">
        <v>4.39</v>
      </c>
      <c r="C61" s="29" t="n">
        <v>13.5</v>
      </c>
      <c r="D61" s="28" t="n">
        <v>590</v>
      </c>
      <c r="E61" s="52" t="n">
        <v>0.202</v>
      </c>
      <c r="F61" s="55" t="n">
        <f aca="false">MAX(0,E61-(1-Assumptions!$B$7))*Assumptions!$B$6</f>
        <v>0</v>
      </c>
      <c r="G61" s="29" t="n">
        <v>0</v>
      </c>
      <c r="H61" s="53" t="n">
        <v>292</v>
      </c>
      <c r="I61" s="53" t="n">
        <v>3</v>
      </c>
    </row>
    <row r="62" customFormat="false" ht="27.75" hidden="false" customHeight="true" outlineLevel="0" collapsed="false">
      <c r="A62" s="12" t="s">
        <v>440</v>
      </c>
      <c r="B62" s="27" t="n">
        <v>2.8</v>
      </c>
      <c r="C62" s="29" t="n">
        <v>9.9</v>
      </c>
      <c r="D62" s="28" t="n">
        <v>202</v>
      </c>
      <c r="E62" s="52" t="n">
        <v>0.249</v>
      </c>
      <c r="F62" s="55" t="n">
        <f aca="false">MAX(0,E62-(1-Assumptions!$B$7))*Assumptions!$B$6</f>
        <v>136.16</v>
      </c>
      <c r="G62" s="29" t="n">
        <v>0</v>
      </c>
      <c r="H62" s="53" t="n">
        <v>220</v>
      </c>
      <c r="I62" s="53" t="n">
        <v>4</v>
      </c>
    </row>
    <row r="63" customFormat="false" ht="27.75" hidden="false" customHeight="true" outlineLevel="0" collapsed="false">
      <c r="A63" s="12" t="s">
        <v>441</v>
      </c>
      <c r="B63" s="27" t="n">
        <v>0.52</v>
      </c>
      <c r="C63" s="29" t="n">
        <v>2.1</v>
      </c>
      <c r="D63" s="28" t="n">
        <v>2</v>
      </c>
      <c r="E63" s="52" t="n">
        <v>0.398</v>
      </c>
      <c r="F63" s="55" t="n">
        <f aca="false">MAX(0,E63-(1-Assumptions!$B$7))*Assumptions!$B$6</f>
        <v>577.2</v>
      </c>
      <c r="G63" s="29" t="n">
        <v>0.5</v>
      </c>
      <c r="H63" s="53" t="n">
        <v>61</v>
      </c>
      <c r="I63" s="53" t="n">
        <v>33</v>
      </c>
    </row>
    <row r="64" customFormat="false" ht="27.75" hidden="false" customHeight="true" outlineLevel="0" collapsed="false">
      <c r="A64" s="12" t="s">
        <v>442</v>
      </c>
      <c r="B64" s="27" t="n">
        <v>0.53</v>
      </c>
      <c r="C64" s="29" t="n">
        <v>2.8</v>
      </c>
      <c r="D64" s="28" t="n">
        <v>63</v>
      </c>
      <c r="E64" s="52" t="n">
        <v>0.498</v>
      </c>
      <c r="F64" s="55" t="n">
        <f aca="false">MAX(0,E64-(1-Assumptions!$B$7))*Assumptions!$B$6</f>
        <v>873.2</v>
      </c>
      <c r="G64" s="29" t="n">
        <v>0.55</v>
      </c>
      <c r="H64" s="53" t="n">
        <v>16</v>
      </c>
      <c r="I64" s="53" t="n">
        <v>73</v>
      </c>
    </row>
    <row r="65" customFormat="false" ht="27.75" hidden="false" customHeight="true" outlineLevel="0" collapsed="false">
      <c r="A65" s="12" t="s">
        <v>443</v>
      </c>
      <c r="B65" s="27" t="n">
        <v>1.43</v>
      </c>
      <c r="C65" s="29" t="n">
        <v>5.5</v>
      </c>
      <c r="D65" s="28" t="n">
        <v>16</v>
      </c>
      <c r="E65" s="52" t="n">
        <v>0.319</v>
      </c>
      <c r="F65" s="55" t="n">
        <f aca="false">MAX(0,E65-(1-Assumptions!$B$7))*Assumptions!$B$6</f>
        <v>343.36</v>
      </c>
      <c r="G65" s="29" t="n">
        <v>0</v>
      </c>
      <c r="H65" s="53" t="n">
        <v>135</v>
      </c>
      <c r="I65" s="53" t="n">
        <v>6</v>
      </c>
    </row>
    <row r="66" customFormat="false" ht="27.75" hidden="false" customHeight="true" outlineLevel="0" collapsed="false">
      <c r="A66" s="12" t="s">
        <v>444</v>
      </c>
      <c r="B66" s="27" t="n">
        <v>1.97</v>
      </c>
      <c r="C66" s="29" t="n">
        <v>6</v>
      </c>
      <c r="D66" s="28" t="n">
        <v>80</v>
      </c>
      <c r="E66" s="52" t="n">
        <v>0.441</v>
      </c>
      <c r="F66" s="55" t="n">
        <f aca="false">MAX(0,E66-(1-Assumptions!$B$7))*Assumptions!$B$6</f>
        <v>704.48</v>
      </c>
      <c r="G66" s="29" t="n">
        <v>0.3</v>
      </c>
      <c r="H66" s="53" t="n">
        <v>100</v>
      </c>
      <c r="I66" s="53" t="n">
        <v>122</v>
      </c>
    </row>
    <row r="67" customFormat="false" ht="27.75" hidden="false" customHeight="true" outlineLevel="0" collapsed="false">
      <c r="A67" s="12" t="s">
        <v>445</v>
      </c>
      <c r="B67" s="27" t="n">
        <v>1.72</v>
      </c>
      <c r="C67" s="29" t="n">
        <v>6.5</v>
      </c>
      <c r="D67" s="28" t="n">
        <v>5</v>
      </c>
      <c r="E67" s="52" t="n">
        <v>0.352</v>
      </c>
      <c r="F67" s="55" t="n">
        <f aca="false">MAX(0,E67-(1-Assumptions!$B$7))*Assumptions!$B$6</f>
        <v>441.04</v>
      </c>
      <c r="G67" s="29" t="n">
        <v>0.3</v>
      </c>
      <c r="H67" s="53" t="n">
        <v>156</v>
      </c>
      <c r="I67" s="53" t="n">
        <v>14</v>
      </c>
    </row>
    <row r="68" customFormat="false" ht="27.75" hidden="false" customHeight="true" outlineLevel="0" collapsed="false">
      <c r="A68" s="12" t="s">
        <v>446</v>
      </c>
      <c r="B68" s="27" t="n">
        <v>0.81</v>
      </c>
      <c r="C68" s="29" t="n">
        <v>2.2</v>
      </c>
      <c r="D68" s="28" t="n">
        <v>0</v>
      </c>
      <c r="E68" s="52" t="n">
        <v>0.299</v>
      </c>
      <c r="F68" s="55" t="n">
        <f aca="false">MAX(0,E68-(1-Assumptions!$B$7))*Assumptions!$B$6</f>
        <v>284.16</v>
      </c>
      <c r="G68" s="29" t="n">
        <v>0</v>
      </c>
      <c r="H68" s="53" t="n">
        <v>65</v>
      </c>
      <c r="I68" s="53" t="n">
        <v>12</v>
      </c>
    </row>
    <row r="69" customFormat="false" ht="27.75" hidden="false" customHeight="true" outlineLevel="0" collapsed="false">
      <c r="A69" s="12" t="s">
        <v>447</v>
      </c>
      <c r="B69" s="27" t="n">
        <v>0.7</v>
      </c>
      <c r="C69" s="29" t="n">
        <v>1.9</v>
      </c>
      <c r="D69" s="28" t="n">
        <v>0</v>
      </c>
      <c r="E69" s="52" t="n">
        <v>0.298</v>
      </c>
      <c r="F69" s="55" t="n">
        <f aca="false">MAX(0,E69-(1-Assumptions!$B$7))*Assumptions!$B$6</f>
        <v>281.2</v>
      </c>
      <c r="G69" s="29" t="n">
        <v>0.05</v>
      </c>
      <c r="H69" s="53" t="n">
        <v>52</v>
      </c>
      <c r="I69" s="53" t="n">
        <v>17</v>
      </c>
    </row>
    <row r="72" customFormat="false" ht="15" hidden="false" customHeight="false" outlineLevel="0" collapsed="false">
      <c r="A72" s="4" t="s">
        <v>448</v>
      </c>
    </row>
    <row r="73" customFormat="false" ht="43.5" hidden="false" customHeight="true" outlineLevel="0" collapsed="false">
      <c r="A73" s="16" t="s">
        <v>430</v>
      </c>
      <c r="B73" s="16" t="s">
        <v>449</v>
      </c>
      <c r="C73" s="16" t="s">
        <v>450</v>
      </c>
      <c r="D73" s="16" t="s">
        <v>451</v>
      </c>
      <c r="E73" s="16" t="s">
        <v>452</v>
      </c>
      <c r="F73" s="16" t="s">
        <v>453</v>
      </c>
      <c r="G73" s="16" t="s">
        <v>454</v>
      </c>
    </row>
    <row r="74" customFormat="false" ht="27.75" hidden="false" customHeight="true" outlineLevel="0" collapsed="false">
      <c r="A74" s="12" t="s">
        <v>439</v>
      </c>
      <c r="B74" s="27" t="n">
        <v>4.39</v>
      </c>
      <c r="C74" s="27" t="n">
        <v>0.84</v>
      </c>
      <c r="D74" s="27" t="n">
        <v>11.41</v>
      </c>
      <c r="E74" s="27" t="n">
        <v>8.86</v>
      </c>
      <c r="F74" s="27" t="n">
        <v>6</v>
      </c>
      <c r="G74" s="27" t="n">
        <v>6.4</v>
      </c>
    </row>
    <row r="75" customFormat="false" ht="27.75" hidden="false" customHeight="true" outlineLevel="0" collapsed="false">
      <c r="A75" s="12" t="s">
        <v>440</v>
      </c>
      <c r="B75" s="27" t="n">
        <v>2.8</v>
      </c>
      <c r="C75" s="27" t="n">
        <v>0.44</v>
      </c>
      <c r="D75" s="27" t="n">
        <v>8.08</v>
      </c>
      <c r="E75" s="27" t="n">
        <v>6.04</v>
      </c>
      <c r="F75" s="27" t="n">
        <v>4.45</v>
      </c>
      <c r="G75" s="27" t="n">
        <v>4.06</v>
      </c>
    </row>
    <row r="76" customFormat="false" ht="27.75" hidden="false" customHeight="true" outlineLevel="0" collapsed="false">
      <c r="A76" s="12" t="s">
        <v>441</v>
      </c>
      <c r="B76" s="27" t="n">
        <v>0.52</v>
      </c>
      <c r="C76" s="27" t="n">
        <v>0.07</v>
      </c>
      <c r="D76" s="27" t="n">
        <v>1.91</v>
      </c>
      <c r="E76" s="27" t="n">
        <v>0.96</v>
      </c>
      <c r="F76" s="27" t="n">
        <v>1.4</v>
      </c>
      <c r="G76" s="27" t="n">
        <v>0.67</v>
      </c>
    </row>
    <row r="77" customFormat="false" ht="27.75" hidden="false" customHeight="true" outlineLevel="0" collapsed="false">
      <c r="A77" s="12" t="s">
        <v>442</v>
      </c>
      <c r="B77" s="27" t="n">
        <v>0.53</v>
      </c>
      <c r="C77" s="27" t="n">
        <v>0.19</v>
      </c>
      <c r="D77" s="27" t="n">
        <v>1.9</v>
      </c>
      <c r="E77" s="27" t="n">
        <v>1.06</v>
      </c>
      <c r="F77" s="27" t="n">
        <v>1.09</v>
      </c>
      <c r="G77" s="27" t="n">
        <v>1.77</v>
      </c>
    </row>
    <row r="78" customFormat="false" ht="27.75" hidden="false" customHeight="true" outlineLevel="0" collapsed="false">
      <c r="A78" s="12" t="s">
        <v>443</v>
      </c>
      <c r="B78" s="27" t="n">
        <v>1.43</v>
      </c>
      <c r="C78" s="27" t="n">
        <v>0.17</v>
      </c>
      <c r="D78" s="27" t="n">
        <v>4.11</v>
      </c>
      <c r="E78" s="27" t="n">
        <v>3</v>
      </c>
      <c r="F78" s="27" t="n">
        <v>2.78</v>
      </c>
      <c r="G78" s="27" t="n">
        <v>1.65</v>
      </c>
    </row>
    <row r="79" customFormat="false" ht="27.75" hidden="false" customHeight="true" outlineLevel="0" collapsed="false">
      <c r="A79" s="12" t="s">
        <v>444</v>
      </c>
      <c r="B79" s="27" t="n">
        <v>1.97</v>
      </c>
      <c r="C79" s="27" t="n">
        <v>0.37</v>
      </c>
      <c r="D79" s="27" t="n">
        <v>7.1</v>
      </c>
      <c r="E79" s="27" t="n">
        <v>9.29</v>
      </c>
      <c r="F79" s="27" t="n">
        <v>1.82</v>
      </c>
      <c r="G79" s="27" t="n">
        <v>5.1</v>
      </c>
    </row>
    <row r="80" customFormat="false" ht="27.75" hidden="false" customHeight="true" outlineLevel="0" collapsed="false">
      <c r="A80" s="12" t="s">
        <v>446</v>
      </c>
      <c r="B80" s="27" t="n">
        <v>0.81</v>
      </c>
      <c r="C80" s="27" t="n">
        <v>0.36</v>
      </c>
      <c r="D80" s="27" t="n">
        <v>2.04</v>
      </c>
      <c r="E80" s="27" t="n">
        <v>1.29</v>
      </c>
      <c r="F80" s="27" t="n">
        <v>1.13</v>
      </c>
      <c r="G80" s="27" t="n">
        <v>0.9</v>
      </c>
    </row>
    <row r="81" customFormat="false" ht="27.75" hidden="false" customHeight="true" outlineLevel="0" collapsed="false">
      <c r="A81" s="12" t="s">
        <v>447</v>
      </c>
      <c r="B81" s="27" t="n">
        <v>0.7</v>
      </c>
      <c r="C81" s="27" t="n">
        <v>0.36</v>
      </c>
      <c r="D81" s="27" t="n">
        <v>2.33</v>
      </c>
      <c r="E81" s="27" t="n">
        <v>1.02</v>
      </c>
      <c r="F81" s="27" t="n">
        <v>1.1</v>
      </c>
      <c r="G81" s="27" t="n">
        <v>0.87</v>
      </c>
    </row>
    <row r="82" customFormat="false" ht="55.5" hidden="false" customHeight="true" outlineLevel="0" collapsed="false">
      <c r="A82" s="4" t="s">
        <v>455</v>
      </c>
      <c r="B82" s="56" t="str">
        <f aca="false">INDEX($A$74:$A$81,MATCH(MIN(B74:B81),B74:B81,0))</f>
        <v>Static: fixed 40% to Munch (enforced: all obey)</v>
      </c>
      <c r="C82" s="56" t="str">
        <f aca="false">INDEX($A$74:$A$81,MATCH(MIN(C74:C81),C74:C81,0))</f>
        <v>Static: fixed 40% to Munch (enforced: all obey)</v>
      </c>
      <c r="D82" s="56" t="str">
        <f aca="false">INDEX($A$74:$A$81,MATCH(MIN(D74:D81),D74:D81,0))</f>
        <v>Static: fixed 50/50 split (equal stations) (enforced: all obey)</v>
      </c>
      <c r="E82" s="56" t="str">
        <f aca="false">INDEX($A$74:$A$81,MATCH(MIN(E74:E81),E74:E81,0))</f>
        <v>Static: fixed 40% to Munch (enforced: all obey)</v>
      </c>
      <c r="F82" s="56" t="str">
        <f aca="false">INDEX($A$74:$A$81,MATCH(MIN(F74:F81),F74:F81,0))</f>
        <v>Static: fixed 50/50 split (equal stations) (enforced: all obey)</v>
      </c>
      <c r="G82" s="56" t="str">
        <f aca="false">INDEX($A$74:$A$81,MATCH(MIN(G74:G81),G74:G81,0))</f>
        <v>Static: fixed 40% to Munch (enforced: all obey)</v>
      </c>
    </row>
    <row r="83" customFormat="false" ht="15" hidden="false" customHeight="false" outlineLevel="0" collapsed="false">
      <c r="A83" s="4" t="s">
        <v>456</v>
      </c>
      <c r="B83" s="57" t="n">
        <f aca="false">B78-B80</f>
        <v>0.62</v>
      </c>
      <c r="C83" s="57" t="n">
        <f aca="false">C78-C80</f>
        <v>-0.19</v>
      </c>
      <c r="D83" s="57" t="n">
        <f aca="false">D78-D80</f>
        <v>2.07</v>
      </c>
      <c r="E83" s="57" t="n">
        <f aca="false">E78-E80</f>
        <v>1.71</v>
      </c>
      <c r="F83" s="57" t="n">
        <f aca="false">F78-F80</f>
        <v>1.65</v>
      </c>
      <c r="G83" s="57" t="n">
        <f aca="false">G78-G80</f>
        <v>0.75</v>
      </c>
    </row>
    <row r="85" customFormat="false" ht="15" hidden="false" customHeight="false" outlineLevel="0" collapsed="false">
      <c r="A85" s="4" t="s">
        <v>457</v>
      </c>
    </row>
    <row r="86" customFormat="false" ht="57.75" hidden="false" customHeight="true" outlineLevel="0" collapsed="false">
      <c r="A86" s="48" t="s">
        <v>458</v>
      </c>
      <c r="B86" s="48"/>
      <c r="C86" s="48"/>
      <c r="D86" s="48"/>
      <c r="E86" s="48"/>
      <c r="F86" s="48"/>
      <c r="G86" s="48"/>
      <c r="H86" s="48"/>
      <c r="I86" s="48"/>
    </row>
    <row r="87" customFormat="false" ht="57.75" hidden="false" customHeight="true" outlineLevel="0" collapsed="false">
      <c r="A87" s="48" t="s">
        <v>459</v>
      </c>
      <c r="B87" s="48"/>
      <c r="C87" s="48"/>
      <c r="D87" s="48"/>
      <c r="E87" s="48"/>
      <c r="F87" s="48"/>
      <c r="G87" s="48"/>
      <c r="H87" s="48"/>
      <c r="I87" s="48"/>
    </row>
    <row r="88" customFormat="false" ht="57.75" hidden="false" customHeight="true" outlineLevel="0" collapsed="false">
      <c r="A88" s="48" t="s">
        <v>460</v>
      </c>
      <c r="B88" s="48"/>
      <c r="C88" s="48"/>
      <c r="D88" s="48"/>
      <c r="E88" s="48"/>
      <c r="F88" s="48"/>
      <c r="G88" s="48"/>
      <c r="H88" s="48"/>
      <c r="I88" s="48"/>
    </row>
    <row r="89" customFormat="false" ht="57.75" hidden="false" customHeight="true" outlineLevel="0" collapsed="false">
      <c r="A89" s="48" t="s">
        <v>461</v>
      </c>
      <c r="B89" s="48"/>
      <c r="C89" s="48"/>
      <c r="D89" s="48"/>
      <c r="E89" s="48"/>
      <c r="F89" s="48"/>
      <c r="G89" s="48"/>
      <c r="H89" s="48"/>
      <c r="I89" s="48"/>
    </row>
    <row r="90" customFormat="false" ht="57.75" hidden="false" customHeight="true" outlineLevel="0" collapsed="false">
      <c r="A90" s="48" t="s">
        <v>462</v>
      </c>
      <c r="B90" s="48"/>
      <c r="C90" s="48"/>
      <c r="D90" s="48"/>
      <c r="E90" s="48"/>
      <c r="F90" s="48"/>
      <c r="G90" s="48"/>
      <c r="H90" s="48"/>
      <c r="I90" s="48"/>
    </row>
    <row r="91" customFormat="false" ht="57.75" hidden="false" customHeight="true" outlineLevel="0" collapsed="false">
      <c r="A91" s="48" t="s">
        <v>463</v>
      </c>
      <c r="B91" s="48"/>
      <c r="C91" s="48"/>
      <c r="D91" s="48"/>
      <c r="E91" s="48"/>
      <c r="F91" s="48"/>
      <c r="G91" s="48"/>
      <c r="H91" s="48"/>
      <c r="I91" s="48"/>
    </row>
    <row r="94" customFormat="false" ht="15" hidden="false" customHeight="false" outlineLevel="0" collapsed="false">
      <c r="A94" s="4" t="s">
        <v>464</v>
      </c>
    </row>
    <row r="95" customFormat="false" ht="55.5" hidden="false" customHeight="true" outlineLevel="0" collapsed="false">
      <c r="A95" s="16" t="s">
        <v>245</v>
      </c>
      <c r="B95" s="16" t="s">
        <v>439</v>
      </c>
      <c r="C95" s="16" t="s">
        <v>440</v>
      </c>
      <c r="D95" s="16" t="s">
        <v>444</v>
      </c>
      <c r="E95" s="16" t="s">
        <v>443</v>
      </c>
      <c r="F95" s="16" t="s">
        <v>446</v>
      </c>
    </row>
    <row r="96" customFormat="false" ht="15" hidden="false" customHeight="false" outlineLevel="0" collapsed="false">
      <c r="A96" s="6" t="s">
        <v>254</v>
      </c>
      <c r="B96" s="29" t="n">
        <v>0</v>
      </c>
      <c r="C96" s="29" t="n">
        <v>0</v>
      </c>
      <c r="D96" s="29" t="n">
        <v>0</v>
      </c>
      <c r="E96" s="29" t="n">
        <v>0</v>
      </c>
      <c r="F96" s="29" t="n">
        <v>0</v>
      </c>
    </row>
    <row r="97" customFormat="false" ht="15" hidden="false" customHeight="false" outlineLevel="0" collapsed="false">
      <c r="A97" s="6" t="s">
        <v>255</v>
      </c>
      <c r="B97" s="29" t="n">
        <v>0</v>
      </c>
      <c r="C97" s="29" t="n">
        <v>0</v>
      </c>
      <c r="D97" s="29" t="n">
        <v>0</v>
      </c>
      <c r="E97" s="29" t="n">
        <v>0</v>
      </c>
      <c r="F97" s="29" t="n">
        <v>0</v>
      </c>
    </row>
    <row r="98" customFormat="false" ht="15" hidden="false" customHeight="false" outlineLevel="0" collapsed="false">
      <c r="A98" s="6" t="s">
        <v>256</v>
      </c>
      <c r="B98" s="29" t="n">
        <v>0</v>
      </c>
      <c r="C98" s="29" t="n">
        <v>0</v>
      </c>
      <c r="D98" s="29" t="n">
        <v>0</v>
      </c>
      <c r="E98" s="29" t="n">
        <v>0</v>
      </c>
      <c r="F98" s="29" t="n">
        <v>0</v>
      </c>
    </row>
    <row r="99" customFormat="false" ht="15" hidden="false" customHeight="false" outlineLevel="0" collapsed="false">
      <c r="A99" s="6" t="s">
        <v>124</v>
      </c>
      <c r="B99" s="29" t="n">
        <v>0.08</v>
      </c>
      <c r="C99" s="29" t="n">
        <v>0.06</v>
      </c>
      <c r="D99" s="29" t="n">
        <v>0.3</v>
      </c>
      <c r="E99" s="29" t="n">
        <v>0.05</v>
      </c>
      <c r="F99" s="29" t="n">
        <v>0.08</v>
      </c>
    </row>
    <row r="100" customFormat="false" ht="15" hidden="false" customHeight="false" outlineLevel="0" collapsed="false">
      <c r="A100" s="6" t="s">
        <v>257</v>
      </c>
      <c r="B100" s="29" t="n">
        <v>0.21</v>
      </c>
      <c r="C100" s="29" t="n">
        <v>0.15</v>
      </c>
      <c r="D100" s="29" t="n">
        <v>1.32</v>
      </c>
      <c r="E100" s="29" t="n">
        <v>0.1</v>
      </c>
      <c r="F100" s="29" t="n">
        <v>0.21</v>
      </c>
    </row>
    <row r="101" customFormat="false" ht="15" hidden="false" customHeight="false" outlineLevel="0" collapsed="false">
      <c r="A101" s="6" t="s">
        <v>258</v>
      </c>
      <c r="B101" s="29" t="n">
        <v>0.44</v>
      </c>
      <c r="C101" s="29" t="n">
        <v>0.25</v>
      </c>
      <c r="D101" s="29" t="n">
        <v>3.29</v>
      </c>
      <c r="E101" s="29" t="n">
        <v>0.13</v>
      </c>
      <c r="F101" s="29" t="n">
        <v>0.39</v>
      </c>
    </row>
    <row r="102" customFormat="false" ht="15" hidden="false" customHeight="false" outlineLevel="0" collapsed="false">
      <c r="A102" s="6" t="s">
        <v>133</v>
      </c>
      <c r="B102" s="29" t="n">
        <v>1.05</v>
      </c>
      <c r="C102" s="29" t="n">
        <v>0.77</v>
      </c>
      <c r="D102" s="29" t="n">
        <v>2.8</v>
      </c>
      <c r="E102" s="29" t="n">
        <v>0.3</v>
      </c>
      <c r="F102" s="29" t="n">
        <v>0.75</v>
      </c>
    </row>
    <row r="103" customFormat="false" ht="15" hidden="false" customHeight="false" outlineLevel="0" collapsed="false">
      <c r="A103" s="6" t="s">
        <v>137</v>
      </c>
      <c r="B103" s="29" t="n">
        <v>2.1</v>
      </c>
      <c r="C103" s="29" t="n">
        <v>1.23</v>
      </c>
      <c r="D103" s="29" t="n">
        <v>1.98</v>
      </c>
      <c r="E103" s="29" t="n">
        <v>0.28</v>
      </c>
      <c r="F103" s="29" t="n">
        <v>0.71</v>
      </c>
    </row>
    <row r="104" customFormat="false" ht="15" hidden="false" customHeight="false" outlineLevel="0" collapsed="false">
      <c r="A104" s="6" t="s">
        <v>140</v>
      </c>
      <c r="B104" s="29" t="n">
        <v>2.73</v>
      </c>
      <c r="C104" s="29" t="n">
        <v>1.22</v>
      </c>
      <c r="D104" s="29" t="n">
        <v>0.69</v>
      </c>
      <c r="E104" s="29" t="n">
        <v>0.37</v>
      </c>
      <c r="F104" s="29" t="n">
        <v>0.59</v>
      </c>
    </row>
    <row r="105" customFormat="false" ht="15" hidden="false" customHeight="false" outlineLevel="0" collapsed="false">
      <c r="A105" s="6" t="s">
        <v>125</v>
      </c>
      <c r="B105" s="29" t="n">
        <v>2.28</v>
      </c>
      <c r="C105" s="29" t="n">
        <v>1.01</v>
      </c>
      <c r="D105" s="29" t="n">
        <v>0.26</v>
      </c>
      <c r="E105" s="29" t="n">
        <v>0.36</v>
      </c>
      <c r="F105" s="29" t="n">
        <v>0.62</v>
      </c>
    </row>
    <row r="106" customFormat="false" ht="15" hidden="false" customHeight="false" outlineLevel="0" collapsed="false">
      <c r="A106" s="6" t="s">
        <v>259</v>
      </c>
      <c r="B106" s="29" t="n">
        <v>5.23</v>
      </c>
      <c r="C106" s="29" t="n">
        <v>3.16</v>
      </c>
      <c r="D106" s="29" t="n">
        <v>1.84</v>
      </c>
      <c r="E106" s="29" t="n">
        <v>1.84</v>
      </c>
      <c r="F106" s="29" t="n">
        <v>1.22</v>
      </c>
    </row>
    <row r="107" customFormat="false" ht="15" hidden="false" customHeight="false" outlineLevel="0" collapsed="false">
      <c r="A107" s="6" t="s">
        <v>260</v>
      </c>
      <c r="B107" s="29" t="n">
        <v>8.89</v>
      </c>
      <c r="C107" s="29" t="n">
        <v>6.07</v>
      </c>
      <c r="D107" s="29" t="n">
        <v>2.66</v>
      </c>
      <c r="E107" s="29" t="n">
        <v>3.5</v>
      </c>
      <c r="F107" s="29" t="n">
        <v>1.4</v>
      </c>
    </row>
    <row r="108" customFormat="false" ht="15" hidden="false" customHeight="false" outlineLevel="0" collapsed="false">
      <c r="A108" s="6" t="s">
        <v>134</v>
      </c>
      <c r="B108" s="29" t="n">
        <v>11.33</v>
      </c>
      <c r="C108" s="29" t="n">
        <v>8.06</v>
      </c>
      <c r="D108" s="29" t="n">
        <v>3.66</v>
      </c>
      <c r="E108" s="29" t="n">
        <v>4.27</v>
      </c>
      <c r="F108" s="29" t="n">
        <v>1.4</v>
      </c>
    </row>
    <row r="109" customFormat="false" ht="15" hidden="false" customHeight="false" outlineLevel="0" collapsed="false">
      <c r="A109" s="6" t="s">
        <v>138</v>
      </c>
      <c r="B109" s="29" t="n">
        <v>10.88</v>
      </c>
      <c r="C109" s="29" t="n">
        <v>7.12</v>
      </c>
      <c r="D109" s="29" t="n">
        <v>2.56</v>
      </c>
      <c r="E109" s="29" t="n">
        <v>3.66</v>
      </c>
      <c r="F109" s="29" t="n">
        <v>1.16</v>
      </c>
    </row>
    <row r="110" customFormat="false" ht="15" hidden="false" customHeight="false" outlineLevel="0" collapsed="false">
      <c r="A110" s="6" t="s">
        <v>141</v>
      </c>
      <c r="B110" s="29" t="n">
        <v>7.29</v>
      </c>
      <c r="C110" s="29" t="n">
        <v>3.68</v>
      </c>
      <c r="D110" s="29" t="n">
        <v>1.11</v>
      </c>
      <c r="E110" s="29" t="n">
        <v>1.07</v>
      </c>
      <c r="F110" s="29" t="n">
        <v>0.14</v>
      </c>
    </row>
    <row r="111" customFormat="false" ht="15" hidden="false" customHeight="false" outlineLevel="0" collapsed="false">
      <c r="A111" s="6" t="s">
        <v>128</v>
      </c>
      <c r="B111" s="29" t="n">
        <v>0</v>
      </c>
      <c r="C111" s="29" t="n">
        <v>0</v>
      </c>
      <c r="D111" s="29" t="n">
        <v>0</v>
      </c>
      <c r="E111" s="29" t="n">
        <v>0</v>
      </c>
      <c r="F111" s="29" t="n">
        <v>0</v>
      </c>
    </row>
    <row r="112" customFormat="false" ht="15" hidden="false" customHeight="false" outlineLevel="0" collapsed="false">
      <c r="A112" s="6" t="s">
        <v>261</v>
      </c>
      <c r="B112" s="29" t="n">
        <v>0</v>
      </c>
      <c r="C112" s="29" t="n">
        <v>0</v>
      </c>
      <c r="D112" s="29" t="n">
        <v>0</v>
      </c>
      <c r="E112" s="29" t="n">
        <v>0</v>
      </c>
      <c r="F112" s="29" t="n">
        <v>0</v>
      </c>
    </row>
    <row r="113" customFormat="false" ht="15" hidden="false" customHeight="false" outlineLevel="0" collapsed="false">
      <c r="A113" s="6" t="s">
        <v>262</v>
      </c>
      <c r="B113" s="29" t="n">
        <v>0</v>
      </c>
      <c r="C113" s="29" t="n">
        <v>0</v>
      </c>
      <c r="D113" s="29" t="n">
        <v>0</v>
      </c>
      <c r="E113" s="29" t="n">
        <v>0</v>
      </c>
      <c r="F113" s="29" t="n">
        <v>0</v>
      </c>
    </row>
  </sheetData>
  <mergeCells count="16">
    <mergeCell ref="A5:I5"/>
    <mergeCell ref="A6:I6"/>
    <mergeCell ref="A7:I7"/>
    <mergeCell ref="A8:I8"/>
    <mergeCell ref="A9:I9"/>
    <mergeCell ref="A10:I10"/>
    <mergeCell ref="A11:I11"/>
    <mergeCell ref="A12:I12"/>
    <mergeCell ref="B25:E25"/>
    <mergeCell ref="G38:I46"/>
    <mergeCell ref="A86:I86"/>
    <mergeCell ref="A87:I87"/>
    <mergeCell ref="A88:I88"/>
    <mergeCell ref="A89:I89"/>
    <mergeCell ref="A90:I90"/>
    <mergeCell ref="A91:I9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2" min="2" style="0" width="16"/>
    <col collapsed="false" customWidth="true" hidden="false" outlineLevel="0" max="3" min="3" style="0" width="12"/>
  </cols>
  <sheetData>
    <row r="1" customFormat="false" ht="17.35" hidden="false" customHeight="false" outlineLevel="0" collapsed="false">
      <c r="A1" s="1" t="s">
        <v>465</v>
      </c>
      <c r="B1" s="2"/>
      <c r="C1" s="2"/>
    </row>
    <row r="2" customFormat="false" ht="15" hidden="false" customHeight="false" outlineLevel="0" collapsed="false">
      <c r="A2" s="15" t="s">
        <v>466</v>
      </c>
    </row>
    <row r="4" customFormat="false" ht="30" hidden="false" customHeight="true" outlineLevel="0" collapsed="false">
      <c r="A4" s="16" t="s">
        <v>467</v>
      </c>
      <c r="B4" s="16" t="s">
        <v>46</v>
      </c>
      <c r="C4" s="16" t="s">
        <v>468</v>
      </c>
    </row>
    <row r="5" customFormat="false" ht="15" hidden="false" customHeight="false" outlineLevel="0" collapsed="false">
      <c r="A5" s="12" t="s">
        <v>469</v>
      </c>
      <c r="B5" s="58" t="n">
        <f aca="false">(SUMPRODUCT(('Sim Data'!$A$5:$A$364="Today (no screens)")*('Sim Data'!$B$5:$B$364="Central CT")*('Sim Data'!$C$5:$C$364="Whole visit")*'Sim Data'!$E$5:$E$364)*10+SUMPRODUCT(('Sim Data'!$A$5:$A$364="Today (no screens)")*('Sim Data'!$B$5:$B$364="Munch Mess")*('Sim Data'!$C$5:$C$364="Whole visit")*'Sim Data'!$E$5:$E$364)*10)/Assumptions!$B$6</f>
        <v>0.999307432432433</v>
      </c>
      <c r="C5" s="59" t="str">
        <f aca="false">IF(ABS(B5-1)&lt;0.02,"OK","CHECK")</f>
        <v>OK</v>
      </c>
    </row>
    <row r="6" customFormat="false" ht="15" hidden="false" customHeight="false" outlineLevel="0" collapsed="false">
      <c r="A6" s="12" t="s">
        <v>470</v>
      </c>
      <c r="B6" s="38" t="n">
        <f aca="false">SUMPRODUCT(--ISERROR('Q1 Scanner'!$A$4:$P$84))</f>
        <v>0</v>
      </c>
      <c r="C6" s="59" t="str">
        <f aca="false">IF(B6=0,"OK","CHECK")</f>
        <v>OK</v>
      </c>
    </row>
    <row r="7" customFormat="false" ht="15" hidden="false" customHeight="false" outlineLevel="0" collapsed="false">
      <c r="A7" s="12" t="s">
        <v>471</v>
      </c>
      <c r="B7" s="38" t="n">
        <f aca="false">SUMPRODUCT(--ISERROR('Q2 Serving stations'!$A$4:$P$84))</f>
        <v>0</v>
      </c>
      <c r="C7" s="59" t="str">
        <f aca="false">IF(B7=0,"OK","CHECK")</f>
        <v>OK</v>
      </c>
    </row>
    <row r="8" customFormat="false" ht="15" hidden="false" customHeight="false" outlineLevel="0" collapsed="false">
      <c r="A8" s="12" t="s">
        <v>472</v>
      </c>
      <c r="B8" s="38" t="n">
        <f aca="false">SUMPRODUCT(--ISERROR('Q3 Seats &amp; disposal'!$A$4:$L$76))</f>
        <v>0</v>
      </c>
      <c r="C8" s="59" t="str">
        <f aca="false">IF(B8=0,"OK","CHECK")</f>
        <v>OK</v>
      </c>
    </row>
    <row r="9" customFormat="false" ht="15" hidden="false" customHeight="false" outlineLevel="0" collapsed="false">
      <c r="A9" s="12" t="s">
        <v>473</v>
      </c>
      <c r="B9" s="38" t="n">
        <f aca="false">SUMPRODUCT(--ISERROR(Capacity!$B$5:$C$35))</f>
        <v>0</v>
      </c>
      <c r="C9" s="59" t="str">
        <f aca="false">IF(B9=0,"OK","CHECK")</f>
        <v>OK</v>
      </c>
    </row>
    <row r="10" customFormat="false" ht="23.85" hidden="false" customHeight="false" outlineLevel="0" collapsed="false">
      <c r="A10" s="12" t="s">
        <v>474</v>
      </c>
      <c r="B10" s="35" t="n">
        <f aca="false">SUMPRODUCT('Sim Data'!$I$77:$I$94)/SUMPRODUCT('Sim Data'!$E$77:$E$94,'Sim Data'!$G$77:$G$94)</f>
        <v>0.99999877944608</v>
      </c>
      <c r="C10" s="59" t="str">
        <f aca="false">IF(ABS(B10-1)&lt;0.1,"OK","CHECK")</f>
        <v>OK</v>
      </c>
    </row>
    <row r="11" customFormat="false" ht="15" hidden="false" customHeight="false" outlineLevel="0" collapsed="false">
      <c r="A11" s="12" t="s">
        <v>475</v>
      </c>
      <c r="B11" s="49" t="n">
        <f aca="false">MAX(Capacity!B22,Capacity!C22)</f>
        <v>0.322111111111111</v>
      </c>
      <c r="C11" s="59" t="str">
        <f aca="false">IF(B11&lt;1,"OK","CHECK")</f>
        <v>OK</v>
      </c>
    </row>
    <row r="12" customFormat="false" ht="15" hidden="false" customHeight="false" outlineLevel="0" collapsed="false">
      <c r="A12" s="12" t="s">
        <v>476</v>
      </c>
      <c r="B12" s="35" t="n">
        <f aca="false">'Load Balancing'!B83</f>
        <v>0.62</v>
      </c>
      <c r="C12" s="59" t="str">
        <f aca="false">IF(B12&gt;0,"OK","CHECK")</f>
        <v>OK</v>
      </c>
    </row>
    <row r="14" customFormat="false" ht="15" hidden="false" customHeight="false" outlineLevel="0" collapsed="false">
      <c r="A14" s="4" t="s">
        <v>477</v>
      </c>
      <c r="C14" s="60" t="str">
        <f aca="false">IF(COUNTIF(C5:C12,"OK")=8,"ALL OK","CHECK")</f>
        <v>ALL OK</v>
      </c>
    </row>
    <row r="15" customFormat="false" ht="43.5" hidden="false" customHeight="true" outlineLevel="0" collapsed="false">
      <c r="A15" s="30" t="s">
        <v>478</v>
      </c>
      <c r="B15" s="30"/>
      <c r="C15" s="30"/>
    </row>
  </sheetData>
  <mergeCells count="1">
    <mergeCell ref="A15:C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2026-10-25T10:33:42Z</dcterms:created>
  <dc:creator>openpyxl</dc:creator>
  <dc:description/>
  <dc:language>en-US</dc:language>
  <cp:lastModifiedBy/>
  <dcterms:modified xsi:type="dcterms:W3CDTF">2026-10-25T10:33:45Z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